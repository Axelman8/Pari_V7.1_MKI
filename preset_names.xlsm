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ractal Audio\PROJECT_Github files\Pari_V7.1_MKI\"/>
    </mc:Choice>
  </mc:AlternateContent>
  <xr:revisionPtr revIDLastSave="0" documentId="13_ncr:1_{B653F7AF-A20F-481A-A38E-EC64B2DEA6D6}" xr6:coauthVersionLast="41" xr6:coauthVersionMax="41" xr10:uidLastSave="{00000000-0000-0000-0000-000000000000}"/>
  <bookViews>
    <workbookView xWindow="4680" yWindow="4680" windowWidth="57600" windowHeight="15435" tabRatio="682" xr2:uid="{00000000-000D-0000-FFFF-FFFF00000000}"/>
  </bookViews>
  <sheets>
    <sheet name="preset_Names" sheetId="1" r:id="rId1"/>
    <sheet name="preset_AMP" sheetId="10" r:id="rId2"/>
    <sheet name="AMP models AxeFxIII" sheetId="3" r:id="rId3"/>
    <sheet name="Sysex HEX conversion" sheetId="4" r:id="rId4"/>
    <sheet name="Preset_Numb" sheetId="9" r:id="rId5"/>
    <sheet name="Copy and paste code" sheetId="2" r:id="rId6"/>
    <sheet name="EffectId" sheetId="5" r:id="rId7"/>
  </sheets>
  <definedNames>
    <definedName name="_xlnm._FilterDatabase" localSheetId="2" hidden="1">'AMP models AxeFxIII'!$H$2:$I$299</definedName>
    <definedName name="_xlnm._FilterDatabase" localSheetId="0" hidden="1">preset_Names!$C$3:$W$515</definedName>
    <definedName name="_xlcn.WorksheetConnection_preset_names.xlsmTabel11" hidden="1">'AMP models AxeFxIII'!$E$1:$F$299</definedName>
    <definedName name="Tabel1_1" localSheetId="1" hidden="1">preset_AMP!#REF!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el1" name="Tabel1" connection="WorksheetConnection_preset_names.xlsm!Tabel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3" i="2" l="1"/>
  <c r="M11" i="2" s="1"/>
  <c r="H23" i="2"/>
  <c r="G23" i="2"/>
  <c r="F23" i="2"/>
  <c r="E23" i="2"/>
  <c r="H22" i="2"/>
  <c r="G22" i="2"/>
  <c r="F22" i="2"/>
  <c r="E22" i="2"/>
  <c r="J22" i="2" s="1"/>
  <c r="M10" i="2" s="1"/>
  <c r="H21" i="2"/>
  <c r="G21" i="2"/>
  <c r="F21" i="2"/>
  <c r="E21" i="2"/>
  <c r="J21" i="2" s="1"/>
  <c r="M9" i="2" s="1"/>
  <c r="H20" i="2"/>
  <c r="G20" i="2"/>
  <c r="F20" i="2"/>
  <c r="E20" i="2"/>
  <c r="J20" i="2" s="1"/>
  <c r="M8" i="2" s="1"/>
  <c r="H19" i="2"/>
  <c r="G19" i="2"/>
  <c r="F19" i="2"/>
  <c r="E19" i="2"/>
  <c r="J19" i="2" s="1"/>
  <c r="M7" i="2" s="1"/>
  <c r="A34" i="2" s="1"/>
  <c r="H18" i="2"/>
  <c r="J18" i="2" s="1"/>
  <c r="M6" i="2" s="1"/>
  <c r="G18" i="2"/>
  <c r="F18" i="2"/>
  <c r="E18" i="2"/>
  <c r="H17" i="2"/>
  <c r="G17" i="2"/>
  <c r="F17" i="2"/>
  <c r="J17" i="2" s="1"/>
  <c r="M5" i="2" s="1"/>
  <c r="E17" i="2"/>
  <c r="H16" i="2"/>
  <c r="G16" i="2"/>
  <c r="F16" i="2"/>
  <c r="E16" i="2"/>
  <c r="J16" i="2" s="1"/>
  <c r="M4" i="2" s="1"/>
  <c r="A31" i="2" s="1"/>
  <c r="H11" i="2"/>
  <c r="G11" i="2"/>
  <c r="F11" i="2"/>
  <c r="E11" i="2"/>
  <c r="J11" i="2" s="1"/>
  <c r="N11" i="2" s="1"/>
  <c r="H10" i="2"/>
  <c r="J10" i="2" s="1"/>
  <c r="N10" i="2" s="1"/>
  <c r="G10" i="2"/>
  <c r="F10" i="2"/>
  <c r="E10" i="2"/>
  <c r="H9" i="2"/>
  <c r="G9" i="2"/>
  <c r="F9" i="2"/>
  <c r="E9" i="2"/>
  <c r="J9" i="2" s="1"/>
  <c r="N9" i="2" s="1"/>
  <c r="H8" i="2"/>
  <c r="G8" i="2"/>
  <c r="F8" i="2"/>
  <c r="E8" i="2"/>
  <c r="J8" i="2" s="1"/>
  <c r="N8" i="2" s="1"/>
  <c r="H7" i="2"/>
  <c r="G7" i="2"/>
  <c r="F7" i="2"/>
  <c r="E7" i="2"/>
  <c r="J7" i="2" s="1"/>
  <c r="N7" i="2" s="1"/>
  <c r="H6" i="2"/>
  <c r="G6" i="2"/>
  <c r="F6" i="2"/>
  <c r="E6" i="2"/>
  <c r="J6" i="2" s="1"/>
  <c r="N6" i="2" s="1"/>
  <c r="J5" i="2"/>
  <c r="N5" i="2" s="1"/>
  <c r="H5" i="2"/>
  <c r="G5" i="2"/>
  <c r="F5" i="2"/>
  <c r="E5" i="2"/>
  <c r="J4" i="2"/>
  <c r="N4" i="2" s="1"/>
  <c r="H4" i="2"/>
  <c r="G4" i="2"/>
  <c r="F4" i="2"/>
  <c r="E4" i="2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H18" i="4"/>
  <c r="F18" i="4"/>
  <c r="D18" i="4"/>
  <c r="J18" i="4" s="1"/>
  <c r="K18" i="4" s="1"/>
  <c r="L18" i="4" s="1"/>
  <c r="H12" i="4"/>
  <c r="F12" i="4"/>
  <c r="D12" i="4"/>
  <c r="J12" i="4" s="1"/>
  <c r="K12" i="4" s="1"/>
  <c r="L12" i="4" s="1"/>
  <c r="M12" i="4" s="1"/>
  <c r="H6" i="4"/>
  <c r="F6" i="4"/>
  <c r="H5" i="4"/>
  <c r="F5" i="4"/>
  <c r="Q515" i="10"/>
  <c r="P515" i="10"/>
  <c r="O515" i="10"/>
  <c r="N515" i="10"/>
  <c r="M515" i="10"/>
  <c r="L515" i="10"/>
  <c r="K515" i="10"/>
  <c r="J515" i="10"/>
  <c r="A515" i="10"/>
  <c r="Q514" i="10"/>
  <c r="P514" i="10"/>
  <c r="O514" i="10"/>
  <c r="N514" i="10"/>
  <c r="M514" i="10"/>
  <c r="L514" i="10"/>
  <c r="K514" i="10"/>
  <c r="J514" i="10"/>
  <c r="A514" i="10"/>
  <c r="Q513" i="10"/>
  <c r="P513" i="10"/>
  <c r="O513" i="10"/>
  <c r="N513" i="10"/>
  <c r="M513" i="10"/>
  <c r="L513" i="10"/>
  <c r="K513" i="10"/>
  <c r="J513" i="10"/>
  <c r="A513" i="10"/>
  <c r="Q512" i="10"/>
  <c r="P512" i="10"/>
  <c r="O512" i="10"/>
  <c r="N512" i="10"/>
  <c r="M512" i="10"/>
  <c r="L512" i="10"/>
  <c r="K512" i="10"/>
  <c r="J512" i="10"/>
  <c r="A512" i="10"/>
  <c r="Q511" i="10"/>
  <c r="P511" i="10"/>
  <c r="O511" i="10"/>
  <c r="N511" i="10"/>
  <c r="M511" i="10"/>
  <c r="L511" i="10"/>
  <c r="K511" i="10"/>
  <c r="J511" i="10"/>
  <c r="A511" i="10"/>
  <c r="Q510" i="10"/>
  <c r="P510" i="10"/>
  <c r="O510" i="10"/>
  <c r="N510" i="10"/>
  <c r="M510" i="10"/>
  <c r="L510" i="10"/>
  <c r="K510" i="10"/>
  <c r="J510" i="10"/>
  <c r="A510" i="10"/>
  <c r="Q509" i="10"/>
  <c r="P509" i="10"/>
  <c r="O509" i="10"/>
  <c r="N509" i="10"/>
  <c r="M509" i="10"/>
  <c r="L509" i="10"/>
  <c r="K509" i="10"/>
  <c r="J509" i="10"/>
  <c r="A509" i="10"/>
  <c r="Q508" i="10"/>
  <c r="P508" i="10"/>
  <c r="O508" i="10"/>
  <c r="N508" i="10"/>
  <c r="M508" i="10"/>
  <c r="L508" i="10"/>
  <c r="K508" i="10"/>
  <c r="J508" i="10"/>
  <c r="A508" i="10"/>
  <c r="Q507" i="10"/>
  <c r="P507" i="10"/>
  <c r="O507" i="10"/>
  <c r="N507" i="10"/>
  <c r="M507" i="10"/>
  <c r="L507" i="10"/>
  <c r="K507" i="10"/>
  <c r="J507" i="10"/>
  <c r="A507" i="10"/>
  <c r="Q506" i="10"/>
  <c r="P506" i="10"/>
  <c r="O506" i="10"/>
  <c r="N506" i="10"/>
  <c r="M506" i="10"/>
  <c r="L506" i="10"/>
  <c r="K506" i="10"/>
  <c r="J506" i="10"/>
  <c r="A506" i="10"/>
  <c r="Q505" i="10"/>
  <c r="P505" i="10"/>
  <c r="O505" i="10"/>
  <c r="N505" i="10"/>
  <c r="M505" i="10"/>
  <c r="L505" i="10"/>
  <c r="K505" i="10"/>
  <c r="J505" i="10"/>
  <c r="A505" i="10"/>
  <c r="Q504" i="10"/>
  <c r="P504" i="10"/>
  <c r="O504" i="10"/>
  <c r="N504" i="10"/>
  <c r="M504" i="10"/>
  <c r="L504" i="10"/>
  <c r="K504" i="10"/>
  <c r="J504" i="10"/>
  <c r="A504" i="10"/>
  <c r="Q503" i="10"/>
  <c r="P503" i="10"/>
  <c r="O503" i="10"/>
  <c r="N503" i="10"/>
  <c r="M503" i="10"/>
  <c r="L503" i="10"/>
  <c r="K503" i="10"/>
  <c r="J503" i="10"/>
  <c r="A503" i="10"/>
  <c r="Q502" i="10"/>
  <c r="P502" i="10"/>
  <c r="O502" i="10"/>
  <c r="N502" i="10"/>
  <c r="M502" i="10"/>
  <c r="L502" i="10"/>
  <c r="K502" i="10"/>
  <c r="J502" i="10"/>
  <c r="A502" i="10"/>
  <c r="Q501" i="10"/>
  <c r="P501" i="10"/>
  <c r="O501" i="10"/>
  <c r="N501" i="10"/>
  <c r="M501" i="10"/>
  <c r="L501" i="10"/>
  <c r="K501" i="10"/>
  <c r="J501" i="10"/>
  <c r="A501" i="10"/>
  <c r="Q500" i="10"/>
  <c r="P500" i="10"/>
  <c r="O500" i="10"/>
  <c r="N500" i="10"/>
  <c r="M500" i="10"/>
  <c r="L500" i="10"/>
  <c r="K500" i="10"/>
  <c r="J500" i="10"/>
  <c r="A500" i="10"/>
  <c r="Q499" i="10"/>
  <c r="P499" i="10"/>
  <c r="O499" i="10"/>
  <c r="N499" i="10"/>
  <c r="M499" i="10"/>
  <c r="L499" i="10"/>
  <c r="K499" i="10"/>
  <c r="J499" i="10"/>
  <c r="A499" i="10"/>
  <c r="Q498" i="10"/>
  <c r="P498" i="10"/>
  <c r="O498" i="10"/>
  <c r="N498" i="10"/>
  <c r="M498" i="10"/>
  <c r="L498" i="10"/>
  <c r="K498" i="10"/>
  <c r="J498" i="10"/>
  <c r="A498" i="10"/>
  <c r="Q497" i="10"/>
  <c r="P497" i="10"/>
  <c r="O497" i="10"/>
  <c r="N497" i="10"/>
  <c r="M497" i="10"/>
  <c r="L497" i="10"/>
  <c r="K497" i="10"/>
  <c r="J497" i="10"/>
  <c r="A497" i="10"/>
  <c r="Q496" i="10"/>
  <c r="P496" i="10"/>
  <c r="O496" i="10"/>
  <c r="N496" i="10"/>
  <c r="M496" i="10"/>
  <c r="L496" i="10"/>
  <c r="K496" i="10"/>
  <c r="J496" i="10"/>
  <c r="A496" i="10"/>
  <c r="Q495" i="10"/>
  <c r="P495" i="10"/>
  <c r="O495" i="10"/>
  <c r="N495" i="10"/>
  <c r="M495" i="10"/>
  <c r="L495" i="10"/>
  <c r="K495" i="10"/>
  <c r="J495" i="10"/>
  <c r="A495" i="10"/>
  <c r="Q494" i="10"/>
  <c r="P494" i="10"/>
  <c r="O494" i="10"/>
  <c r="N494" i="10"/>
  <c r="M494" i="10"/>
  <c r="L494" i="10"/>
  <c r="K494" i="10"/>
  <c r="J494" i="10"/>
  <c r="A494" i="10"/>
  <c r="Q493" i="10"/>
  <c r="P493" i="10"/>
  <c r="O493" i="10"/>
  <c r="N493" i="10"/>
  <c r="M493" i="10"/>
  <c r="L493" i="10"/>
  <c r="K493" i="10"/>
  <c r="J493" i="10"/>
  <c r="A493" i="10"/>
  <c r="Q492" i="10"/>
  <c r="P492" i="10"/>
  <c r="O492" i="10"/>
  <c r="N492" i="10"/>
  <c r="M492" i="10"/>
  <c r="L492" i="10"/>
  <c r="K492" i="10"/>
  <c r="J492" i="10"/>
  <c r="A492" i="10"/>
  <c r="Q491" i="10"/>
  <c r="P491" i="10"/>
  <c r="O491" i="10"/>
  <c r="N491" i="10"/>
  <c r="M491" i="10"/>
  <c r="L491" i="10"/>
  <c r="K491" i="10"/>
  <c r="J491" i="10"/>
  <c r="A491" i="10"/>
  <c r="Q490" i="10"/>
  <c r="P490" i="10"/>
  <c r="O490" i="10"/>
  <c r="N490" i="10"/>
  <c r="M490" i="10"/>
  <c r="L490" i="10"/>
  <c r="K490" i="10"/>
  <c r="J490" i="10"/>
  <c r="A490" i="10"/>
  <c r="Q489" i="10"/>
  <c r="P489" i="10"/>
  <c r="O489" i="10"/>
  <c r="N489" i="10"/>
  <c r="M489" i="10"/>
  <c r="L489" i="10"/>
  <c r="K489" i="10"/>
  <c r="J489" i="10"/>
  <c r="A489" i="10"/>
  <c r="Q488" i="10"/>
  <c r="P488" i="10"/>
  <c r="O488" i="10"/>
  <c r="N488" i="10"/>
  <c r="M488" i="10"/>
  <c r="L488" i="10"/>
  <c r="K488" i="10"/>
  <c r="J488" i="10"/>
  <c r="A488" i="10"/>
  <c r="Q487" i="10"/>
  <c r="P487" i="10"/>
  <c r="O487" i="10"/>
  <c r="N487" i="10"/>
  <c r="M487" i="10"/>
  <c r="L487" i="10"/>
  <c r="K487" i="10"/>
  <c r="J487" i="10"/>
  <c r="A487" i="10"/>
  <c r="Q486" i="10"/>
  <c r="P486" i="10"/>
  <c r="O486" i="10"/>
  <c r="N486" i="10"/>
  <c r="M486" i="10"/>
  <c r="L486" i="10"/>
  <c r="K486" i="10"/>
  <c r="J486" i="10"/>
  <c r="A486" i="10"/>
  <c r="Q485" i="10"/>
  <c r="P485" i="10"/>
  <c r="O485" i="10"/>
  <c r="N485" i="10"/>
  <c r="M485" i="10"/>
  <c r="L485" i="10"/>
  <c r="K485" i="10"/>
  <c r="J485" i="10"/>
  <c r="A485" i="10"/>
  <c r="Q484" i="10"/>
  <c r="P484" i="10"/>
  <c r="O484" i="10"/>
  <c r="N484" i="10"/>
  <c r="M484" i="10"/>
  <c r="L484" i="10"/>
  <c r="K484" i="10"/>
  <c r="J484" i="10"/>
  <c r="A484" i="10"/>
  <c r="Q483" i="10"/>
  <c r="P483" i="10"/>
  <c r="O483" i="10"/>
  <c r="N483" i="10"/>
  <c r="M483" i="10"/>
  <c r="L483" i="10"/>
  <c r="K483" i="10"/>
  <c r="J483" i="10"/>
  <c r="A483" i="10"/>
  <c r="Q482" i="10"/>
  <c r="P482" i="10"/>
  <c r="O482" i="10"/>
  <c r="N482" i="10"/>
  <c r="M482" i="10"/>
  <c r="L482" i="10"/>
  <c r="K482" i="10"/>
  <c r="J482" i="10"/>
  <c r="A482" i="10"/>
  <c r="Q481" i="10"/>
  <c r="P481" i="10"/>
  <c r="O481" i="10"/>
  <c r="N481" i="10"/>
  <c r="M481" i="10"/>
  <c r="L481" i="10"/>
  <c r="K481" i="10"/>
  <c r="J481" i="10"/>
  <c r="A481" i="10"/>
  <c r="Q480" i="10"/>
  <c r="P480" i="10"/>
  <c r="O480" i="10"/>
  <c r="N480" i="10"/>
  <c r="M480" i="10"/>
  <c r="L480" i="10"/>
  <c r="K480" i="10"/>
  <c r="J480" i="10"/>
  <c r="A480" i="10"/>
  <c r="Q479" i="10"/>
  <c r="P479" i="10"/>
  <c r="O479" i="10"/>
  <c r="N479" i="10"/>
  <c r="M479" i="10"/>
  <c r="L479" i="10"/>
  <c r="K479" i="10"/>
  <c r="J479" i="10"/>
  <c r="A479" i="10"/>
  <c r="Q478" i="10"/>
  <c r="P478" i="10"/>
  <c r="O478" i="10"/>
  <c r="N478" i="10"/>
  <c r="M478" i="10"/>
  <c r="L478" i="10"/>
  <c r="K478" i="10"/>
  <c r="J478" i="10"/>
  <c r="A478" i="10"/>
  <c r="Q477" i="10"/>
  <c r="P477" i="10"/>
  <c r="O477" i="10"/>
  <c r="N477" i="10"/>
  <c r="M477" i="10"/>
  <c r="L477" i="10"/>
  <c r="K477" i="10"/>
  <c r="J477" i="10"/>
  <c r="A477" i="10"/>
  <c r="Q476" i="10"/>
  <c r="P476" i="10"/>
  <c r="O476" i="10"/>
  <c r="N476" i="10"/>
  <c r="M476" i="10"/>
  <c r="L476" i="10"/>
  <c r="K476" i="10"/>
  <c r="J476" i="10"/>
  <c r="A476" i="10"/>
  <c r="Q475" i="10"/>
  <c r="P475" i="10"/>
  <c r="O475" i="10"/>
  <c r="N475" i="10"/>
  <c r="M475" i="10"/>
  <c r="L475" i="10"/>
  <c r="K475" i="10"/>
  <c r="J475" i="10"/>
  <c r="A475" i="10"/>
  <c r="Q474" i="10"/>
  <c r="P474" i="10"/>
  <c r="O474" i="10"/>
  <c r="N474" i="10"/>
  <c r="M474" i="10"/>
  <c r="L474" i="10"/>
  <c r="K474" i="10"/>
  <c r="J474" i="10"/>
  <c r="A474" i="10"/>
  <c r="Q473" i="10"/>
  <c r="P473" i="10"/>
  <c r="O473" i="10"/>
  <c r="N473" i="10"/>
  <c r="M473" i="10"/>
  <c r="L473" i="10"/>
  <c r="K473" i="10"/>
  <c r="J473" i="10"/>
  <c r="A473" i="10"/>
  <c r="Q472" i="10"/>
  <c r="P472" i="10"/>
  <c r="O472" i="10"/>
  <c r="N472" i="10"/>
  <c r="M472" i="10"/>
  <c r="L472" i="10"/>
  <c r="K472" i="10"/>
  <c r="J472" i="10"/>
  <c r="A472" i="10"/>
  <c r="Q471" i="10"/>
  <c r="P471" i="10"/>
  <c r="O471" i="10"/>
  <c r="N471" i="10"/>
  <c r="M471" i="10"/>
  <c r="L471" i="10"/>
  <c r="K471" i="10"/>
  <c r="J471" i="10"/>
  <c r="A471" i="10"/>
  <c r="Q470" i="10"/>
  <c r="P470" i="10"/>
  <c r="O470" i="10"/>
  <c r="N470" i="10"/>
  <c r="M470" i="10"/>
  <c r="L470" i="10"/>
  <c r="K470" i="10"/>
  <c r="J470" i="10"/>
  <c r="A470" i="10"/>
  <c r="Q469" i="10"/>
  <c r="P469" i="10"/>
  <c r="O469" i="10"/>
  <c r="N469" i="10"/>
  <c r="M469" i="10"/>
  <c r="L469" i="10"/>
  <c r="K469" i="10"/>
  <c r="J469" i="10"/>
  <c r="A469" i="10"/>
  <c r="Q468" i="10"/>
  <c r="P468" i="10"/>
  <c r="O468" i="10"/>
  <c r="N468" i="10"/>
  <c r="M468" i="10"/>
  <c r="L468" i="10"/>
  <c r="K468" i="10"/>
  <c r="J468" i="10"/>
  <c r="A468" i="10"/>
  <c r="Q467" i="10"/>
  <c r="P467" i="10"/>
  <c r="O467" i="10"/>
  <c r="N467" i="10"/>
  <c r="M467" i="10"/>
  <c r="L467" i="10"/>
  <c r="K467" i="10"/>
  <c r="J467" i="10"/>
  <c r="A467" i="10"/>
  <c r="Q466" i="10"/>
  <c r="P466" i="10"/>
  <c r="O466" i="10"/>
  <c r="N466" i="10"/>
  <c r="M466" i="10"/>
  <c r="L466" i="10"/>
  <c r="K466" i="10"/>
  <c r="J466" i="10"/>
  <c r="A466" i="10"/>
  <c r="Q465" i="10"/>
  <c r="P465" i="10"/>
  <c r="O465" i="10"/>
  <c r="N465" i="10"/>
  <c r="M465" i="10"/>
  <c r="L465" i="10"/>
  <c r="K465" i="10"/>
  <c r="J465" i="10"/>
  <c r="A465" i="10"/>
  <c r="Q464" i="10"/>
  <c r="P464" i="10"/>
  <c r="O464" i="10"/>
  <c r="N464" i="10"/>
  <c r="M464" i="10"/>
  <c r="L464" i="10"/>
  <c r="K464" i="10"/>
  <c r="J464" i="10"/>
  <c r="A464" i="10"/>
  <c r="Q463" i="10"/>
  <c r="P463" i="10"/>
  <c r="O463" i="10"/>
  <c r="N463" i="10"/>
  <c r="M463" i="10"/>
  <c r="L463" i="10"/>
  <c r="K463" i="10"/>
  <c r="J463" i="10"/>
  <c r="A463" i="10"/>
  <c r="Q462" i="10"/>
  <c r="P462" i="10"/>
  <c r="O462" i="10"/>
  <c r="N462" i="10"/>
  <c r="M462" i="10"/>
  <c r="L462" i="10"/>
  <c r="K462" i="10"/>
  <c r="J462" i="10"/>
  <c r="A462" i="10"/>
  <c r="Q461" i="10"/>
  <c r="P461" i="10"/>
  <c r="O461" i="10"/>
  <c r="N461" i="10"/>
  <c r="M461" i="10"/>
  <c r="L461" i="10"/>
  <c r="K461" i="10"/>
  <c r="J461" i="10"/>
  <c r="A461" i="10"/>
  <c r="Q460" i="10"/>
  <c r="P460" i="10"/>
  <c r="O460" i="10"/>
  <c r="N460" i="10"/>
  <c r="M460" i="10"/>
  <c r="L460" i="10"/>
  <c r="K460" i="10"/>
  <c r="J460" i="10"/>
  <c r="A460" i="10"/>
  <c r="Q459" i="10"/>
  <c r="P459" i="10"/>
  <c r="O459" i="10"/>
  <c r="N459" i="10"/>
  <c r="M459" i="10"/>
  <c r="L459" i="10"/>
  <c r="K459" i="10"/>
  <c r="J459" i="10"/>
  <c r="A459" i="10"/>
  <c r="Q458" i="10"/>
  <c r="P458" i="10"/>
  <c r="O458" i="10"/>
  <c r="N458" i="10"/>
  <c r="M458" i="10"/>
  <c r="L458" i="10"/>
  <c r="K458" i="10"/>
  <c r="J458" i="10"/>
  <c r="A458" i="10"/>
  <c r="Q457" i="10"/>
  <c r="P457" i="10"/>
  <c r="O457" i="10"/>
  <c r="N457" i="10"/>
  <c r="M457" i="10"/>
  <c r="L457" i="10"/>
  <c r="K457" i="10"/>
  <c r="J457" i="10"/>
  <c r="A457" i="10"/>
  <c r="Q456" i="10"/>
  <c r="P456" i="10"/>
  <c r="O456" i="10"/>
  <c r="N456" i="10"/>
  <c r="M456" i="10"/>
  <c r="L456" i="10"/>
  <c r="K456" i="10"/>
  <c r="J456" i="10"/>
  <c r="A456" i="10"/>
  <c r="Q455" i="10"/>
  <c r="P455" i="10"/>
  <c r="O455" i="10"/>
  <c r="N455" i="10"/>
  <c r="M455" i="10"/>
  <c r="L455" i="10"/>
  <c r="K455" i="10"/>
  <c r="J455" i="10"/>
  <c r="A455" i="10"/>
  <c r="Q454" i="10"/>
  <c r="P454" i="10"/>
  <c r="O454" i="10"/>
  <c r="N454" i="10"/>
  <c r="M454" i="10"/>
  <c r="L454" i="10"/>
  <c r="K454" i="10"/>
  <c r="J454" i="10"/>
  <c r="A454" i="10"/>
  <c r="Q453" i="10"/>
  <c r="P453" i="10"/>
  <c r="O453" i="10"/>
  <c r="N453" i="10"/>
  <c r="M453" i="10"/>
  <c r="L453" i="10"/>
  <c r="K453" i="10"/>
  <c r="J453" i="10"/>
  <c r="A453" i="10"/>
  <c r="Q452" i="10"/>
  <c r="P452" i="10"/>
  <c r="O452" i="10"/>
  <c r="N452" i="10"/>
  <c r="M452" i="10"/>
  <c r="L452" i="10"/>
  <c r="K452" i="10"/>
  <c r="J452" i="10"/>
  <c r="A452" i="10"/>
  <c r="Q451" i="10"/>
  <c r="P451" i="10"/>
  <c r="O451" i="10"/>
  <c r="N451" i="10"/>
  <c r="M451" i="10"/>
  <c r="L451" i="10"/>
  <c r="K451" i="10"/>
  <c r="J451" i="10"/>
  <c r="A451" i="10"/>
  <c r="Q450" i="10"/>
  <c r="P450" i="10"/>
  <c r="O450" i="10"/>
  <c r="N450" i="10"/>
  <c r="M450" i="10"/>
  <c r="L450" i="10"/>
  <c r="K450" i="10"/>
  <c r="J450" i="10"/>
  <c r="A450" i="10"/>
  <c r="Q449" i="10"/>
  <c r="P449" i="10"/>
  <c r="O449" i="10"/>
  <c r="N449" i="10"/>
  <c r="M449" i="10"/>
  <c r="L449" i="10"/>
  <c r="K449" i="10"/>
  <c r="J449" i="10"/>
  <c r="A449" i="10"/>
  <c r="Q448" i="10"/>
  <c r="P448" i="10"/>
  <c r="O448" i="10"/>
  <c r="N448" i="10"/>
  <c r="M448" i="10"/>
  <c r="L448" i="10"/>
  <c r="K448" i="10"/>
  <c r="J448" i="10"/>
  <c r="A448" i="10"/>
  <c r="Q447" i="10"/>
  <c r="P447" i="10"/>
  <c r="O447" i="10"/>
  <c r="N447" i="10"/>
  <c r="M447" i="10"/>
  <c r="L447" i="10"/>
  <c r="K447" i="10"/>
  <c r="J447" i="10"/>
  <c r="A447" i="10"/>
  <c r="Q446" i="10"/>
  <c r="P446" i="10"/>
  <c r="O446" i="10"/>
  <c r="N446" i="10"/>
  <c r="M446" i="10"/>
  <c r="L446" i="10"/>
  <c r="K446" i="10"/>
  <c r="J446" i="10"/>
  <c r="A446" i="10"/>
  <c r="Q445" i="10"/>
  <c r="P445" i="10"/>
  <c r="O445" i="10"/>
  <c r="N445" i="10"/>
  <c r="M445" i="10"/>
  <c r="L445" i="10"/>
  <c r="K445" i="10"/>
  <c r="J445" i="10"/>
  <c r="A445" i="10"/>
  <c r="Q444" i="10"/>
  <c r="P444" i="10"/>
  <c r="O444" i="10"/>
  <c r="N444" i="10"/>
  <c r="M444" i="10"/>
  <c r="L444" i="10"/>
  <c r="K444" i="10"/>
  <c r="J444" i="10"/>
  <c r="A444" i="10"/>
  <c r="Q443" i="10"/>
  <c r="P443" i="10"/>
  <c r="O443" i="10"/>
  <c r="N443" i="10"/>
  <c r="M443" i="10"/>
  <c r="L443" i="10"/>
  <c r="K443" i="10"/>
  <c r="J443" i="10"/>
  <c r="A443" i="10"/>
  <c r="Q442" i="10"/>
  <c r="P442" i="10"/>
  <c r="O442" i="10"/>
  <c r="N442" i="10"/>
  <c r="M442" i="10"/>
  <c r="L442" i="10"/>
  <c r="K442" i="10"/>
  <c r="J442" i="10"/>
  <c r="A442" i="10"/>
  <c r="Q441" i="10"/>
  <c r="P441" i="10"/>
  <c r="O441" i="10"/>
  <c r="N441" i="10"/>
  <c r="M441" i="10"/>
  <c r="L441" i="10"/>
  <c r="K441" i="10"/>
  <c r="J441" i="10"/>
  <c r="A441" i="10"/>
  <c r="Q440" i="10"/>
  <c r="P440" i="10"/>
  <c r="O440" i="10"/>
  <c r="N440" i="10"/>
  <c r="M440" i="10"/>
  <c r="L440" i="10"/>
  <c r="K440" i="10"/>
  <c r="J440" i="10"/>
  <c r="A440" i="10"/>
  <c r="Q439" i="10"/>
  <c r="P439" i="10"/>
  <c r="O439" i="10"/>
  <c r="N439" i="10"/>
  <c r="M439" i="10"/>
  <c r="L439" i="10"/>
  <c r="K439" i="10"/>
  <c r="J439" i="10"/>
  <c r="A439" i="10"/>
  <c r="Q438" i="10"/>
  <c r="P438" i="10"/>
  <c r="O438" i="10"/>
  <c r="N438" i="10"/>
  <c r="M438" i="10"/>
  <c r="L438" i="10"/>
  <c r="K438" i="10"/>
  <c r="J438" i="10"/>
  <c r="A438" i="10"/>
  <c r="Q437" i="10"/>
  <c r="P437" i="10"/>
  <c r="O437" i="10"/>
  <c r="N437" i="10"/>
  <c r="M437" i="10"/>
  <c r="L437" i="10"/>
  <c r="K437" i="10"/>
  <c r="J437" i="10"/>
  <c r="A437" i="10"/>
  <c r="Q436" i="10"/>
  <c r="P436" i="10"/>
  <c r="O436" i="10"/>
  <c r="N436" i="10"/>
  <c r="M436" i="10"/>
  <c r="L436" i="10"/>
  <c r="K436" i="10"/>
  <c r="J436" i="10"/>
  <c r="A436" i="10"/>
  <c r="Q435" i="10"/>
  <c r="P435" i="10"/>
  <c r="O435" i="10"/>
  <c r="N435" i="10"/>
  <c r="M435" i="10"/>
  <c r="L435" i="10"/>
  <c r="K435" i="10"/>
  <c r="J435" i="10"/>
  <c r="A435" i="10"/>
  <c r="Q434" i="10"/>
  <c r="P434" i="10"/>
  <c r="O434" i="10"/>
  <c r="N434" i="10"/>
  <c r="M434" i="10"/>
  <c r="L434" i="10"/>
  <c r="K434" i="10"/>
  <c r="J434" i="10"/>
  <c r="A434" i="10"/>
  <c r="Q433" i="10"/>
  <c r="P433" i="10"/>
  <c r="O433" i="10"/>
  <c r="N433" i="10"/>
  <c r="M433" i="10"/>
  <c r="L433" i="10"/>
  <c r="K433" i="10"/>
  <c r="J433" i="10"/>
  <c r="A433" i="10"/>
  <c r="Q432" i="10"/>
  <c r="P432" i="10"/>
  <c r="O432" i="10"/>
  <c r="N432" i="10"/>
  <c r="M432" i="10"/>
  <c r="L432" i="10"/>
  <c r="K432" i="10"/>
  <c r="J432" i="10"/>
  <c r="A432" i="10"/>
  <c r="Q431" i="10"/>
  <c r="P431" i="10"/>
  <c r="O431" i="10"/>
  <c r="N431" i="10"/>
  <c r="M431" i="10"/>
  <c r="L431" i="10"/>
  <c r="K431" i="10"/>
  <c r="J431" i="10"/>
  <c r="A431" i="10"/>
  <c r="Q430" i="10"/>
  <c r="P430" i="10"/>
  <c r="O430" i="10"/>
  <c r="N430" i="10"/>
  <c r="M430" i="10"/>
  <c r="L430" i="10"/>
  <c r="K430" i="10"/>
  <c r="J430" i="10"/>
  <c r="A430" i="10"/>
  <c r="Q429" i="10"/>
  <c r="P429" i="10"/>
  <c r="O429" i="10"/>
  <c r="N429" i="10"/>
  <c r="M429" i="10"/>
  <c r="L429" i="10"/>
  <c r="K429" i="10"/>
  <c r="J429" i="10"/>
  <c r="A429" i="10"/>
  <c r="Q428" i="10"/>
  <c r="P428" i="10"/>
  <c r="O428" i="10"/>
  <c r="N428" i="10"/>
  <c r="M428" i="10"/>
  <c r="L428" i="10"/>
  <c r="K428" i="10"/>
  <c r="J428" i="10"/>
  <c r="A428" i="10"/>
  <c r="Q427" i="10"/>
  <c r="P427" i="10"/>
  <c r="O427" i="10"/>
  <c r="N427" i="10"/>
  <c r="M427" i="10"/>
  <c r="L427" i="10"/>
  <c r="K427" i="10"/>
  <c r="J427" i="10"/>
  <c r="A427" i="10"/>
  <c r="Q426" i="10"/>
  <c r="P426" i="10"/>
  <c r="O426" i="10"/>
  <c r="N426" i="10"/>
  <c r="M426" i="10"/>
  <c r="L426" i="10"/>
  <c r="K426" i="10"/>
  <c r="J426" i="10"/>
  <c r="A426" i="10"/>
  <c r="Q425" i="10"/>
  <c r="P425" i="10"/>
  <c r="O425" i="10"/>
  <c r="N425" i="10"/>
  <c r="M425" i="10"/>
  <c r="L425" i="10"/>
  <c r="K425" i="10"/>
  <c r="J425" i="10"/>
  <c r="A425" i="10"/>
  <c r="Q424" i="10"/>
  <c r="P424" i="10"/>
  <c r="O424" i="10"/>
  <c r="N424" i="10"/>
  <c r="M424" i="10"/>
  <c r="L424" i="10"/>
  <c r="K424" i="10"/>
  <c r="J424" i="10"/>
  <c r="A424" i="10"/>
  <c r="Q423" i="10"/>
  <c r="P423" i="10"/>
  <c r="O423" i="10"/>
  <c r="N423" i="10"/>
  <c r="M423" i="10"/>
  <c r="L423" i="10"/>
  <c r="K423" i="10"/>
  <c r="J423" i="10"/>
  <c r="A423" i="10"/>
  <c r="Q422" i="10"/>
  <c r="P422" i="10"/>
  <c r="O422" i="10"/>
  <c r="N422" i="10"/>
  <c r="M422" i="10"/>
  <c r="L422" i="10"/>
  <c r="K422" i="10"/>
  <c r="J422" i="10"/>
  <c r="A422" i="10"/>
  <c r="Q421" i="10"/>
  <c r="P421" i="10"/>
  <c r="O421" i="10"/>
  <c r="N421" i="10"/>
  <c r="M421" i="10"/>
  <c r="L421" i="10"/>
  <c r="K421" i="10"/>
  <c r="J421" i="10"/>
  <c r="A421" i="10"/>
  <c r="Q420" i="10"/>
  <c r="P420" i="10"/>
  <c r="O420" i="10"/>
  <c r="N420" i="10"/>
  <c r="M420" i="10"/>
  <c r="L420" i="10"/>
  <c r="K420" i="10"/>
  <c r="J420" i="10"/>
  <c r="A420" i="10"/>
  <c r="Q419" i="10"/>
  <c r="P419" i="10"/>
  <c r="O419" i="10"/>
  <c r="N419" i="10"/>
  <c r="M419" i="10"/>
  <c r="L419" i="10"/>
  <c r="K419" i="10"/>
  <c r="J419" i="10"/>
  <c r="A419" i="10"/>
  <c r="Q418" i="10"/>
  <c r="P418" i="10"/>
  <c r="O418" i="10"/>
  <c r="N418" i="10"/>
  <c r="M418" i="10"/>
  <c r="L418" i="10"/>
  <c r="K418" i="10"/>
  <c r="J418" i="10"/>
  <c r="A418" i="10"/>
  <c r="Q417" i="10"/>
  <c r="P417" i="10"/>
  <c r="O417" i="10"/>
  <c r="N417" i="10"/>
  <c r="M417" i="10"/>
  <c r="L417" i="10"/>
  <c r="K417" i="10"/>
  <c r="J417" i="10"/>
  <c r="A417" i="10"/>
  <c r="Q416" i="10"/>
  <c r="P416" i="10"/>
  <c r="O416" i="10"/>
  <c r="N416" i="10"/>
  <c r="M416" i="10"/>
  <c r="L416" i="10"/>
  <c r="K416" i="10"/>
  <c r="J416" i="10"/>
  <c r="A416" i="10"/>
  <c r="Q415" i="10"/>
  <c r="P415" i="10"/>
  <c r="O415" i="10"/>
  <c r="N415" i="10"/>
  <c r="M415" i="10"/>
  <c r="L415" i="10"/>
  <c r="K415" i="10"/>
  <c r="J415" i="10"/>
  <c r="A415" i="10"/>
  <c r="Q414" i="10"/>
  <c r="P414" i="10"/>
  <c r="O414" i="10"/>
  <c r="N414" i="10"/>
  <c r="M414" i="10"/>
  <c r="L414" i="10"/>
  <c r="K414" i="10"/>
  <c r="J414" i="10"/>
  <c r="A414" i="10"/>
  <c r="Q413" i="10"/>
  <c r="P413" i="10"/>
  <c r="O413" i="10"/>
  <c r="N413" i="10"/>
  <c r="M413" i="10"/>
  <c r="L413" i="10"/>
  <c r="K413" i="10"/>
  <c r="J413" i="10"/>
  <c r="A413" i="10"/>
  <c r="Q412" i="10"/>
  <c r="P412" i="10"/>
  <c r="O412" i="10"/>
  <c r="N412" i="10"/>
  <c r="M412" i="10"/>
  <c r="L412" i="10"/>
  <c r="K412" i="10"/>
  <c r="J412" i="10"/>
  <c r="A412" i="10"/>
  <c r="Q411" i="10"/>
  <c r="P411" i="10"/>
  <c r="O411" i="10"/>
  <c r="N411" i="10"/>
  <c r="M411" i="10"/>
  <c r="L411" i="10"/>
  <c r="K411" i="10"/>
  <c r="J411" i="10"/>
  <c r="A411" i="10"/>
  <c r="Q410" i="10"/>
  <c r="P410" i="10"/>
  <c r="O410" i="10"/>
  <c r="N410" i="10"/>
  <c r="M410" i="10"/>
  <c r="L410" i="10"/>
  <c r="K410" i="10"/>
  <c r="J410" i="10"/>
  <c r="A410" i="10"/>
  <c r="Q409" i="10"/>
  <c r="P409" i="10"/>
  <c r="O409" i="10"/>
  <c r="N409" i="10"/>
  <c r="M409" i="10"/>
  <c r="L409" i="10"/>
  <c r="K409" i="10"/>
  <c r="J409" i="10"/>
  <c r="A409" i="10"/>
  <c r="Q408" i="10"/>
  <c r="P408" i="10"/>
  <c r="O408" i="10"/>
  <c r="N408" i="10"/>
  <c r="M408" i="10"/>
  <c r="L408" i="10"/>
  <c r="K408" i="10"/>
  <c r="J408" i="10"/>
  <c r="A408" i="10"/>
  <c r="Q407" i="10"/>
  <c r="P407" i="10"/>
  <c r="O407" i="10"/>
  <c r="N407" i="10"/>
  <c r="M407" i="10"/>
  <c r="L407" i="10"/>
  <c r="K407" i="10"/>
  <c r="J407" i="10"/>
  <c r="A407" i="10"/>
  <c r="Q406" i="10"/>
  <c r="P406" i="10"/>
  <c r="O406" i="10"/>
  <c r="N406" i="10"/>
  <c r="M406" i="10"/>
  <c r="L406" i="10"/>
  <c r="K406" i="10"/>
  <c r="J406" i="10"/>
  <c r="A406" i="10"/>
  <c r="Q405" i="10"/>
  <c r="P405" i="10"/>
  <c r="O405" i="10"/>
  <c r="N405" i="10"/>
  <c r="M405" i="10"/>
  <c r="L405" i="10"/>
  <c r="K405" i="10"/>
  <c r="J405" i="10"/>
  <c r="A405" i="10"/>
  <c r="Q404" i="10"/>
  <c r="P404" i="10"/>
  <c r="O404" i="10"/>
  <c r="N404" i="10"/>
  <c r="M404" i="10"/>
  <c r="L404" i="10"/>
  <c r="K404" i="10"/>
  <c r="J404" i="10"/>
  <c r="A404" i="10"/>
  <c r="Q403" i="10"/>
  <c r="P403" i="10"/>
  <c r="O403" i="10"/>
  <c r="N403" i="10"/>
  <c r="M403" i="10"/>
  <c r="L403" i="10"/>
  <c r="K403" i="10"/>
  <c r="J403" i="10"/>
  <c r="A403" i="10"/>
  <c r="Q402" i="10"/>
  <c r="P402" i="10"/>
  <c r="O402" i="10"/>
  <c r="N402" i="10"/>
  <c r="M402" i="10"/>
  <c r="L402" i="10"/>
  <c r="K402" i="10"/>
  <c r="J402" i="10"/>
  <c r="A402" i="10"/>
  <c r="Q401" i="10"/>
  <c r="P401" i="10"/>
  <c r="O401" i="10"/>
  <c r="N401" i="10"/>
  <c r="M401" i="10"/>
  <c r="L401" i="10"/>
  <c r="K401" i="10"/>
  <c r="J401" i="10"/>
  <c r="A401" i="10"/>
  <c r="Q400" i="10"/>
  <c r="P400" i="10"/>
  <c r="O400" i="10"/>
  <c r="N400" i="10"/>
  <c r="M400" i="10"/>
  <c r="L400" i="10"/>
  <c r="K400" i="10"/>
  <c r="J400" i="10"/>
  <c r="A400" i="10"/>
  <c r="Q399" i="10"/>
  <c r="P399" i="10"/>
  <c r="O399" i="10"/>
  <c r="N399" i="10"/>
  <c r="M399" i="10"/>
  <c r="L399" i="10"/>
  <c r="K399" i="10"/>
  <c r="J399" i="10"/>
  <c r="A399" i="10"/>
  <c r="Q398" i="10"/>
  <c r="P398" i="10"/>
  <c r="O398" i="10"/>
  <c r="N398" i="10"/>
  <c r="M398" i="10"/>
  <c r="L398" i="10"/>
  <c r="K398" i="10"/>
  <c r="J398" i="10"/>
  <c r="A398" i="10"/>
  <c r="Q397" i="10"/>
  <c r="P397" i="10"/>
  <c r="O397" i="10"/>
  <c r="N397" i="10"/>
  <c r="M397" i="10"/>
  <c r="L397" i="10"/>
  <c r="K397" i="10"/>
  <c r="J397" i="10"/>
  <c r="A397" i="10"/>
  <c r="Q396" i="10"/>
  <c r="P396" i="10"/>
  <c r="O396" i="10"/>
  <c r="N396" i="10"/>
  <c r="M396" i="10"/>
  <c r="L396" i="10"/>
  <c r="K396" i="10"/>
  <c r="J396" i="10"/>
  <c r="A396" i="10"/>
  <c r="Q395" i="10"/>
  <c r="P395" i="10"/>
  <c r="O395" i="10"/>
  <c r="N395" i="10"/>
  <c r="M395" i="10"/>
  <c r="L395" i="10"/>
  <c r="K395" i="10"/>
  <c r="J395" i="10"/>
  <c r="A395" i="10"/>
  <c r="Q394" i="10"/>
  <c r="P394" i="10"/>
  <c r="O394" i="10"/>
  <c r="N394" i="10"/>
  <c r="M394" i="10"/>
  <c r="L394" i="10"/>
  <c r="K394" i="10"/>
  <c r="J394" i="10"/>
  <c r="A394" i="10"/>
  <c r="Q393" i="10"/>
  <c r="P393" i="10"/>
  <c r="O393" i="10"/>
  <c r="N393" i="10"/>
  <c r="M393" i="10"/>
  <c r="L393" i="10"/>
  <c r="K393" i="10"/>
  <c r="J393" i="10"/>
  <c r="A393" i="10"/>
  <c r="Q392" i="10"/>
  <c r="P392" i="10"/>
  <c r="O392" i="10"/>
  <c r="N392" i="10"/>
  <c r="M392" i="10"/>
  <c r="L392" i="10"/>
  <c r="K392" i="10"/>
  <c r="J392" i="10"/>
  <c r="A392" i="10"/>
  <c r="Q391" i="10"/>
  <c r="P391" i="10"/>
  <c r="O391" i="10"/>
  <c r="N391" i="10"/>
  <c r="M391" i="10"/>
  <c r="L391" i="10"/>
  <c r="K391" i="10"/>
  <c r="J391" i="10"/>
  <c r="A391" i="10"/>
  <c r="Q390" i="10"/>
  <c r="P390" i="10"/>
  <c r="O390" i="10"/>
  <c r="N390" i="10"/>
  <c r="M390" i="10"/>
  <c r="L390" i="10"/>
  <c r="K390" i="10"/>
  <c r="J390" i="10"/>
  <c r="A390" i="10"/>
  <c r="Q389" i="10"/>
  <c r="P389" i="10"/>
  <c r="O389" i="10"/>
  <c r="N389" i="10"/>
  <c r="M389" i="10"/>
  <c r="L389" i="10"/>
  <c r="K389" i="10"/>
  <c r="J389" i="10"/>
  <c r="A389" i="10"/>
  <c r="Q388" i="10"/>
  <c r="P388" i="10"/>
  <c r="O388" i="10"/>
  <c r="N388" i="10"/>
  <c r="M388" i="10"/>
  <c r="L388" i="10"/>
  <c r="K388" i="10"/>
  <c r="J388" i="10"/>
  <c r="A388" i="10"/>
  <c r="Q387" i="10"/>
  <c r="P387" i="10"/>
  <c r="O387" i="10"/>
  <c r="N387" i="10"/>
  <c r="M387" i="10"/>
  <c r="L387" i="10"/>
  <c r="K387" i="10"/>
  <c r="J387" i="10"/>
  <c r="A387" i="10"/>
  <c r="Q386" i="10"/>
  <c r="P386" i="10"/>
  <c r="O386" i="10"/>
  <c r="N386" i="10"/>
  <c r="M386" i="10"/>
  <c r="L386" i="10"/>
  <c r="K386" i="10"/>
  <c r="J386" i="10"/>
  <c r="A386" i="10"/>
  <c r="Q385" i="10"/>
  <c r="P385" i="10"/>
  <c r="O385" i="10"/>
  <c r="N385" i="10"/>
  <c r="M385" i="10"/>
  <c r="L385" i="10"/>
  <c r="K385" i="10"/>
  <c r="J385" i="10"/>
  <c r="A385" i="10"/>
  <c r="Q384" i="10"/>
  <c r="P384" i="10"/>
  <c r="O384" i="10"/>
  <c r="N384" i="10"/>
  <c r="M384" i="10"/>
  <c r="L384" i="10"/>
  <c r="K384" i="10"/>
  <c r="J384" i="10"/>
  <c r="A384" i="10"/>
  <c r="Q383" i="10"/>
  <c r="P383" i="10"/>
  <c r="O383" i="10"/>
  <c r="N383" i="10"/>
  <c r="M383" i="10"/>
  <c r="L383" i="10"/>
  <c r="K383" i="10"/>
  <c r="J383" i="10"/>
  <c r="A383" i="10"/>
  <c r="Q382" i="10"/>
  <c r="P382" i="10"/>
  <c r="O382" i="10"/>
  <c r="N382" i="10"/>
  <c r="M382" i="10"/>
  <c r="L382" i="10"/>
  <c r="K382" i="10"/>
  <c r="J382" i="10"/>
  <c r="A382" i="10"/>
  <c r="Q381" i="10"/>
  <c r="P381" i="10"/>
  <c r="O381" i="10"/>
  <c r="N381" i="10"/>
  <c r="M381" i="10"/>
  <c r="L381" i="10"/>
  <c r="K381" i="10"/>
  <c r="J381" i="10"/>
  <c r="A381" i="10"/>
  <c r="Q380" i="10"/>
  <c r="P380" i="10"/>
  <c r="O380" i="10"/>
  <c r="N380" i="10"/>
  <c r="M380" i="10"/>
  <c r="L380" i="10"/>
  <c r="K380" i="10"/>
  <c r="J380" i="10"/>
  <c r="A380" i="10"/>
  <c r="Q379" i="10"/>
  <c r="P379" i="10"/>
  <c r="O379" i="10"/>
  <c r="N379" i="10"/>
  <c r="M379" i="10"/>
  <c r="L379" i="10"/>
  <c r="K379" i="10"/>
  <c r="J379" i="10"/>
  <c r="A379" i="10"/>
  <c r="Q378" i="10"/>
  <c r="P378" i="10"/>
  <c r="O378" i="10"/>
  <c r="N378" i="10"/>
  <c r="M378" i="10"/>
  <c r="L378" i="10"/>
  <c r="K378" i="10"/>
  <c r="J378" i="10"/>
  <c r="A378" i="10"/>
  <c r="Q377" i="10"/>
  <c r="P377" i="10"/>
  <c r="O377" i="10"/>
  <c r="N377" i="10"/>
  <c r="M377" i="10"/>
  <c r="L377" i="10"/>
  <c r="K377" i="10"/>
  <c r="J377" i="10"/>
  <c r="A377" i="10"/>
  <c r="Q376" i="10"/>
  <c r="P376" i="10"/>
  <c r="O376" i="10"/>
  <c r="N376" i="10"/>
  <c r="M376" i="10"/>
  <c r="L376" i="10"/>
  <c r="K376" i="10"/>
  <c r="J376" i="10"/>
  <c r="A376" i="10"/>
  <c r="Q375" i="10"/>
  <c r="P375" i="10"/>
  <c r="O375" i="10"/>
  <c r="N375" i="10"/>
  <c r="M375" i="10"/>
  <c r="L375" i="10"/>
  <c r="K375" i="10"/>
  <c r="J375" i="10"/>
  <c r="A375" i="10"/>
  <c r="Q374" i="10"/>
  <c r="P374" i="10"/>
  <c r="O374" i="10"/>
  <c r="N374" i="10"/>
  <c r="M374" i="10"/>
  <c r="L374" i="10"/>
  <c r="K374" i="10"/>
  <c r="J374" i="10"/>
  <c r="A374" i="10"/>
  <c r="Q373" i="10"/>
  <c r="P373" i="10"/>
  <c r="O373" i="10"/>
  <c r="N373" i="10"/>
  <c r="M373" i="10"/>
  <c r="L373" i="10"/>
  <c r="K373" i="10"/>
  <c r="J373" i="10"/>
  <c r="A373" i="10"/>
  <c r="Q372" i="10"/>
  <c r="P372" i="10"/>
  <c r="O372" i="10"/>
  <c r="N372" i="10"/>
  <c r="M372" i="10"/>
  <c r="L372" i="10"/>
  <c r="K372" i="10"/>
  <c r="J372" i="10"/>
  <c r="A372" i="10"/>
  <c r="Q371" i="10"/>
  <c r="P371" i="10"/>
  <c r="O371" i="10"/>
  <c r="N371" i="10"/>
  <c r="M371" i="10"/>
  <c r="L371" i="10"/>
  <c r="K371" i="10"/>
  <c r="J371" i="10"/>
  <c r="A371" i="10"/>
  <c r="Q370" i="10"/>
  <c r="P370" i="10"/>
  <c r="O370" i="10"/>
  <c r="N370" i="10"/>
  <c r="M370" i="10"/>
  <c r="L370" i="10"/>
  <c r="K370" i="10"/>
  <c r="J370" i="10"/>
  <c r="A370" i="10"/>
  <c r="Q369" i="10"/>
  <c r="P369" i="10"/>
  <c r="O369" i="10"/>
  <c r="N369" i="10"/>
  <c r="M369" i="10"/>
  <c r="L369" i="10"/>
  <c r="K369" i="10"/>
  <c r="J369" i="10"/>
  <c r="A369" i="10"/>
  <c r="Q368" i="10"/>
  <c r="P368" i="10"/>
  <c r="O368" i="10"/>
  <c r="N368" i="10"/>
  <c r="M368" i="10"/>
  <c r="L368" i="10"/>
  <c r="K368" i="10"/>
  <c r="J368" i="10"/>
  <c r="A368" i="10"/>
  <c r="Q367" i="10"/>
  <c r="P367" i="10"/>
  <c r="O367" i="10"/>
  <c r="N367" i="10"/>
  <c r="M367" i="10"/>
  <c r="L367" i="10"/>
  <c r="K367" i="10"/>
  <c r="J367" i="10"/>
  <c r="A367" i="10"/>
  <c r="Q366" i="10"/>
  <c r="P366" i="10"/>
  <c r="O366" i="10"/>
  <c r="N366" i="10"/>
  <c r="M366" i="10"/>
  <c r="L366" i="10"/>
  <c r="K366" i="10"/>
  <c r="J366" i="10"/>
  <c r="A366" i="10"/>
  <c r="Q365" i="10"/>
  <c r="P365" i="10"/>
  <c r="O365" i="10"/>
  <c r="N365" i="10"/>
  <c r="M365" i="10"/>
  <c r="L365" i="10"/>
  <c r="K365" i="10"/>
  <c r="J365" i="10"/>
  <c r="A365" i="10"/>
  <c r="Q364" i="10"/>
  <c r="P364" i="10"/>
  <c r="O364" i="10"/>
  <c r="N364" i="10"/>
  <c r="M364" i="10"/>
  <c r="L364" i="10"/>
  <c r="K364" i="10"/>
  <c r="J364" i="10"/>
  <c r="A364" i="10"/>
  <c r="Q363" i="10"/>
  <c r="P363" i="10"/>
  <c r="O363" i="10"/>
  <c r="N363" i="10"/>
  <c r="M363" i="10"/>
  <c r="L363" i="10"/>
  <c r="K363" i="10"/>
  <c r="J363" i="10"/>
  <c r="A363" i="10"/>
  <c r="Q362" i="10"/>
  <c r="P362" i="10"/>
  <c r="O362" i="10"/>
  <c r="N362" i="10"/>
  <c r="M362" i="10"/>
  <c r="L362" i="10"/>
  <c r="K362" i="10"/>
  <c r="J362" i="10"/>
  <c r="A362" i="10"/>
  <c r="Q361" i="10"/>
  <c r="P361" i="10"/>
  <c r="O361" i="10"/>
  <c r="N361" i="10"/>
  <c r="M361" i="10"/>
  <c r="L361" i="10"/>
  <c r="K361" i="10"/>
  <c r="J361" i="10"/>
  <c r="A361" i="10"/>
  <c r="Q360" i="10"/>
  <c r="P360" i="10"/>
  <c r="O360" i="10"/>
  <c r="N360" i="10"/>
  <c r="M360" i="10"/>
  <c r="L360" i="10"/>
  <c r="K360" i="10"/>
  <c r="J360" i="10"/>
  <c r="A360" i="10"/>
  <c r="Q359" i="10"/>
  <c r="P359" i="10"/>
  <c r="O359" i="10"/>
  <c r="N359" i="10"/>
  <c r="M359" i="10"/>
  <c r="L359" i="10"/>
  <c r="K359" i="10"/>
  <c r="J359" i="10"/>
  <c r="A359" i="10"/>
  <c r="Q358" i="10"/>
  <c r="P358" i="10"/>
  <c r="O358" i="10"/>
  <c r="N358" i="10"/>
  <c r="M358" i="10"/>
  <c r="L358" i="10"/>
  <c r="K358" i="10"/>
  <c r="J358" i="10"/>
  <c r="A358" i="10"/>
  <c r="Q357" i="10"/>
  <c r="P357" i="10"/>
  <c r="O357" i="10"/>
  <c r="N357" i="10"/>
  <c r="M357" i="10"/>
  <c r="L357" i="10"/>
  <c r="K357" i="10"/>
  <c r="J357" i="10"/>
  <c r="A357" i="10"/>
  <c r="Q356" i="10"/>
  <c r="P356" i="10"/>
  <c r="O356" i="10"/>
  <c r="N356" i="10"/>
  <c r="M356" i="10"/>
  <c r="L356" i="10"/>
  <c r="K356" i="10"/>
  <c r="J356" i="10"/>
  <c r="A356" i="10"/>
  <c r="Q355" i="10"/>
  <c r="P355" i="10"/>
  <c r="O355" i="10"/>
  <c r="N355" i="10"/>
  <c r="M355" i="10"/>
  <c r="L355" i="10"/>
  <c r="K355" i="10"/>
  <c r="J355" i="10"/>
  <c r="A355" i="10"/>
  <c r="Q354" i="10"/>
  <c r="P354" i="10"/>
  <c r="O354" i="10"/>
  <c r="N354" i="10"/>
  <c r="M354" i="10"/>
  <c r="L354" i="10"/>
  <c r="K354" i="10"/>
  <c r="J354" i="10"/>
  <c r="A354" i="10"/>
  <c r="Q353" i="10"/>
  <c r="P353" i="10"/>
  <c r="O353" i="10"/>
  <c r="N353" i="10"/>
  <c r="M353" i="10"/>
  <c r="L353" i="10"/>
  <c r="K353" i="10"/>
  <c r="J353" i="10"/>
  <c r="A353" i="10"/>
  <c r="Q352" i="10"/>
  <c r="P352" i="10"/>
  <c r="O352" i="10"/>
  <c r="N352" i="10"/>
  <c r="M352" i="10"/>
  <c r="L352" i="10"/>
  <c r="K352" i="10"/>
  <c r="J352" i="10"/>
  <c r="A352" i="10"/>
  <c r="Q351" i="10"/>
  <c r="P351" i="10"/>
  <c r="O351" i="10"/>
  <c r="N351" i="10"/>
  <c r="M351" i="10"/>
  <c r="L351" i="10"/>
  <c r="K351" i="10"/>
  <c r="J351" i="10"/>
  <c r="A351" i="10"/>
  <c r="Q350" i="10"/>
  <c r="P350" i="10"/>
  <c r="O350" i="10"/>
  <c r="N350" i="10"/>
  <c r="M350" i="10"/>
  <c r="L350" i="10"/>
  <c r="K350" i="10"/>
  <c r="J350" i="10"/>
  <c r="A350" i="10"/>
  <c r="Q349" i="10"/>
  <c r="P349" i="10"/>
  <c r="O349" i="10"/>
  <c r="N349" i="10"/>
  <c r="M349" i="10"/>
  <c r="L349" i="10"/>
  <c r="K349" i="10"/>
  <c r="J349" i="10"/>
  <c r="A349" i="10"/>
  <c r="Q348" i="10"/>
  <c r="P348" i="10"/>
  <c r="O348" i="10"/>
  <c r="N348" i="10"/>
  <c r="M348" i="10"/>
  <c r="L348" i="10"/>
  <c r="K348" i="10"/>
  <c r="J348" i="10"/>
  <c r="A348" i="10"/>
  <c r="Q347" i="10"/>
  <c r="P347" i="10"/>
  <c r="O347" i="10"/>
  <c r="N347" i="10"/>
  <c r="M347" i="10"/>
  <c r="L347" i="10"/>
  <c r="K347" i="10"/>
  <c r="J347" i="10"/>
  <c r="A347" i="10"/>
  <c r="Q346" i="10"/>
  <c r="P346" i="10"/>
  <c r="O346" i="10"/>
  <c r="N346" i="10"/>
  <c r="M346" i="10"/>
  <c r="L346" i="10"/>
  <c r="K346" i="10"/>
  <c r="J346" i="10"/>
  <c r="A346" i="10"/>
  <c r="Q345" i="10"/>
  <c r="P345" i="10"/>
  <c r="O345" i="10"/>
  <c r="N345" i="10"/>
  <c r="M345" i="10"/>
  <c r="L345" i="10"/>
  <c r="K345" i="10"/>
  <c r="J345" i="10"/>
  <c r="A345" i="10"/>
  <c r="Q344" i="10"/>
  <c r="P344" i="10"/>
  <c r="O344" i="10"/>
  <c r="N344" i="10"/>
  <c r="M344" i="10"/>
  <c r="L344" i="10"/>
  <c r="K344" i="10"/>
  <c r="J344" i="10"/>
  <c r="A344" i="10"/>
  <c r="Q343" i="10"/>
  <c r="P343" i="10"/>
  <c r="O343" i="10"/>
  <c r="N343" i="10"/>
  <c r="M343" i="10"/>
  <c r="L343" i="10"/>
  <c r="K343" i="10"/>
  <c r="J343" i="10"/>
  <c r="A343" i="10"/>
  <c r="Q342" i="10"/>
  <c r="P342" i="10"/>
  <c r="O342" i="10"/>
  <c r="N342" i="10"/>
  <c r="M342" i="10"/>
  <c r="L342" i="10"/>
  <c r="K342" i="10"/>
  <c r="J342" i="10"/>
  <c r="A342" i="10"/>
  <c r="Q341" i="10"/>
  <c r="P341" i="10"/>
  <c r="O341" i="10"/>
  <c r="N341" i="10"/>
  <c r="M341" i="10"/>
  <c r="L341" i="10"/>
  <c r="K341" i="10"/>
  <c r="J341" i="10"/>
  <c r="A341" i="10"/>
  <c r="Q340" i="10"/>
  <c r="P340" i="10"/>
  <c r="O340" i="10"/>
  <c r="N340" i="10"/>
  <c r="M340" i="10"/>
  <c r="L340" i="10"/>
  <c r="K340" i="10"/>
  <c r="J340" i="10"/>
  <c r="A340" i="10"/>
  <c r="Q339" i="10"/>
  <c r="P339" i="10"/>
  <c r="O339" i="10"/>
  <c r="N339" i="10"/>
  <c r="M339" i="10"/>
  <c r="L339" i="10"/>
  <c r="K339" i="10"/>
  <c r="J339" i="10"/>
  <c r="A339" i="10"/>
  <c r="Q338" i="10"/>
  <c r="P338" i="10"/>
  <c r="O338" i="10"/>
  <c r="N338" i="10"/>
  <c r="M338" i="10"/>
  <c r="L338" i="10"/>
  <c r="K338" i="10"/>
  <c r="J338" i="10"/>
  <c r="A338" i="10"/>
  <c r="Q337" i="10"/>
  <c r="P337" i="10"/>
  <c r="O337" i="10"/>
  <c r="N337" i="10"/>
  <c r="M337" i="10"/>
  <c r="L337" i="10"/>
  <c r="K337" i="10"/>
  <c r="J337" i="10"/>
  <c r="A337" i="10"/>
  <c r="Q336" i="10"/>
  <c r="P336" i="10"/>
  <c r="O336" i="10"/>
  <c r="N336" i="10"/>
  <c r="M336" i="10"/>
  <c r="L336" i="10"/>
  <c r="K336" i="10"/>
  <c r="J336" i="10"/>
  <c r="A336" i="10"/>
  <c r="Q335" i="10"/>
  <c r="P335" i="10"/>
  <c r="O335" i="10"/>
  <c r="N335" i="10"/>
  <c r="M335" i="10"/>
  <c r="L335" i="10"/>
  <c r="K335" i="10"/>
  <c r="J335" i="10"/>
  <c r="A335" i="10"/>
  <c r="Q334" i="10"/>
  <c r="P334" i="10"/>
  <c r="O334" i="10"/>
  <c r="N334" i="10"/>
  <c r="M334" i="10"/>
  <c r="L334" i="10"/>
  <c r="K334" i="10"/>
  <c r="J334" i="10"/>
  <c r="A334" i="10"/>
  <c r="Q333" i="10"/>
  <c r="P333" i="10"/>
  <c r="O333" i="10"/>
  <c r="N333" i="10"/>
  <c r="M333" i="10"/>
  <c r="L333" i="10"/>
  <c r="K333" i="10"/>
  <c r="J333" i="10"/>
  <c r="A333" i="10"/>
  <c r="Q332" i="10"/>
  <c r="P332" i="10"/>
  <c r="O332" i="10"/>
  <c r="N332" i="10"/>
  <c r="M332" i="10"/>
  <c r="L332" i="10"/>
  <c r="K332" i="10"/>
  <c r="J332" i="10"/>
  <c r="A332" i="10"/>
  <c r="Q331" i="10"/>
  <c r="P331" i="10"/>
  <c r="O331" i="10"/>
  <c r="N331" i="10"/>
  <c r="M331" i="10"/>
  <c r="L331" i="10"/>
  <c r="K331" i="10"/>
  <c r="J331" i="10"/>
  <c r="A331" i="10"/>
  <c r="Q330" i="10"/>
  <c r="P330" i="10"/>
  <c r="O330" i="10"/>
  <c r="N330" i="10"/>
  <c r="M330" i="10"/>
  <c r="L330" i="10"/>
  <c r="K330" i="10"/>
  <c r="J330" i="10"/>
  <c r="A330" i="10"/>
  <c r="Q329" i="10"/>
  <c r="P329" i="10"/>
  <c r="O329" i="10"/>
  <c r="N329" i="10"/>
  <c r="M329" i="10"/>
  <c r="L329" i="10"/>
  <c r="K329" i="10"/>
  <c r="J329" i="10"/>
  <c r="A329" i="10"/>
  <c r="Q328" i="10"/>
  <c r="P328" i="10"/>
  <c r="O328" i="10"/>
  <c r="N328" i="10"/>
  <c r="M328" i="10"/>
  <c r="L328" i="10"/>
  <c r="K328" i="10"/>
  <c r="J328" i="10"/>
  <c r="A328" i="10"/>
  <c r="Q327" i="10"/>
  <c r="P327" i="10"/>
  <c r="O327" i="10"/>
  <c r="N327" i="10"/>
  <c r="M327" i="10"/>
  <c r="L327" i="10"/>
  <c r="K327" i="10"/>
  <c r="J327" i="10"/>
  <c r="A327" i="10"/>
  <c r="Q326" i="10"/>
  <c r="P326" i="10"/>
  <c r="O326" i="10"/>
  <c r="N326" i="10"/>
  <c r="M326" i="10"/>
  <c r="L326" i="10"/>
  <c r="K326" i="10"/>
  <c r="J326" i="10"/>
  <c r="A326" i="10"/>
  <c r="Q325" i="10"/>
  <c r="P325" i="10"/>
  <c r="O325" i="10"/>
  <c r="N325" i="10"/>
  <c r="M325" i="10"/>
  <c r="L325" i="10"/>
  <c r="K325" i="10"/>
  <c r="J325" i="10"/>
  <c r="A325" i="10"/>
  <c r="Q324" i="10"/>
  <c r="P324" i="10"/>
  <c r="O324" i="10"/>
  <c r="N324" i="10"/>
  <c r="M324" i="10"/>
  <c r="L324" i="10"/>
  <c r="K324" i="10"/>
  <c r="J324" i="10"/>
  <c r="A324" i="10"/>
  <c r="Q323" i="10"/>
  <c r="P323" i="10"/>
  <c r="O323" i="10"/>
  <c r="N323" i="10"/>
  <c r="M323" i="10"/>
  <c r="L323" i="10"/>
  <c r="K323" i="10"/>
  <c r="J323" i="10"/>
  <c r="A323" i="10"/>
  <c r="Q322" i="10"/>
  <c r="P322" i="10"/>
  <c r="O322" i="10"/>
  <c r="N322" i="10"/>
  <c r="M322" i="10"/>
  <c r="L322" i="10"/>
  <c r="K322" i="10"/>
  <c r="J322" i="10"/>
  <c r="A322" i="10"/>
  <c r="Q321" i="10"/>
  <c r="P321" i="10"/>
  <c r="O321" i="10"/>
  <c r="N321" i="10"/>
  <c r="M321" i="10"/>
  <c r="L321" i="10"/>
  <c r="K321" i="10"/>
  <c r="J321" i="10"/>
  <c r="A321" i="10"/>
  <c r="Q320" i="10"/>
  <c r="P320" i="10"/>
  <c r="O320" i="10"/>
  <c r="N320" i="10"/>
  <c r="M320" i="10"/>
  <c r="L320" i="10"/>
  <c r="K320" i="10"/>
  <c r="J320" i="10"/>
  <c r="A320" i="10"/>
  <c r="Q319" i="10"/>
  <c r="P319" i="10"/>
  <c r="O319" i="10"/>
  <c r="N319" i="10"/>
  <c r="M319" i="10"/>
  <c r="L319" i="10"/>
  <c r="K319" i="10"/>
  <c r="J319" i="10"/>
  <c r="A319" i="10"/>
  <c r="Q318" i="10"/>
  <c r="P318" i="10"/>
  <c r="O318" i="10"/>
  <c r="N318" i="10"/>
  <c r="M318" i="10"/>
  <c r="L318" i="10"/>
  <c r="K318" i="10"/>
  <c r="J318" i="10"/>
  <c r="A318" i="10"/>
  <c r="Q317" i="10"/>
  <c r="P317" i="10"/>
  <c r="O317" i="10"/>
  <c r="N317" i="10"/>
  <c r="M317" i="10"/>
  <c r="L317" i="10"/>
  <c r="K317" i="10"/>
  <c r="J317" i="10"/>
  <c r="A317" i="10"/>
  <c r="Q316" i="10"/>
  <c r="P316" i="10"/>
  <c r="O316" i="10"/>
  <c r="N316" i="10"/>
  <c r="M316" i="10"/>
  <c r="L316" i="10"/>
  <c r="K316" i="10"/>
  <c r="J316" i="10"/>
  <c r="A316" i="10"/>
  <c r="Q315" i="10"/>
  <c r="P315" i="10"/>
  <c r="O315" i="10"/>
  <c r="N315" i="10"/>
  <c r="M315" i="10"/>
  <c r="L315" i="10"/>
  <c r="K315" i="10"/>
  <c r="J315" i="10"/>
  <c r="A315" i="10"/>
  <c r="Q314" i="10"/>
  <c r="P314" i="10"/>
  <c r="O314" i="10"/>
  <c r="N314" i="10"/>
  <c r="M314" i="10"/>
  <c r="L314" i="10"/>
  <c r="K314" i="10"/>
  <c r="J314" i="10"/>
  <c r="A314" i="10"/>
  <c r="Q313" i="10"/>
  <c r="P313" i="10"/>
  <c r="O313" i="10"/>
  <c r="N313" i="10"/>
  <c r="M313" i="10"/>
  <c r="L313" i="10"/>
  <c r="K313" i="10"/>
  <c r="J313" i="10"/>
  <c r="A313" i="10"/>
  <c r="Q312" i="10"/>
  <c r="P312" i="10"/>
  <c r="O312" i="10"/>
  <c r="N312" i="10"/>
  <c r="M312" i="10"/>
  <c r="L312" i="10"/>
  <c r="K312" i="10"/>
  <c r="J312" i="10"/>
  <c r="A312" i="10"/>
  <c r="Q311" i="10"/>
  <c r="P311" i="10"/>
  <c r="O311" i="10"/>
  <c r="N311" i="10"/>
  <c r="M311" i="10"/>
  <c r="L311" i="10"/>
  <c r="K311" i="10"/>
  <c r="J311" i="10"/>
  <c r="A311" i="10"/>
  <c r="Q310" i="10"/>
  <c r="P310" i="10"/>
  <c r="O310" i="10"/>
  <c r="N310" i="10"/>
  <c r="M310" i="10"/>
  <c r="L310" i="10"/>
  <c r="K310" i="10"/>
  <c r="J310" i="10"/>
  <c r="A310" i="10"/>
  <c r="Q309" i="10"/>
  <c r="P309" i="10"/>
  <c r="O309" i="10"/>
  <c r="N309" i="10"/>
  <c r="M309" i="10"/>
  <c r="L309" i="10"/>
  <c r="K309" i="10"/>
  <c r="J309" i="10"/>
  <c r="A309" i="10"/>
  <c r="Q308" i="10"/>
  <c r="P308" i="10"/>
  <c r="O308" i="10"/>
  <c r="N308" i="10"/>
  <c r="M308" i="10"/>
  <c r="L308" i="10"/>
  <c r="K308" i="10"/>
  <c r="J308" i="10"/>
  <c r="A308" i="10"/>
  <c r="Q307" i="10"/>
  <c r="P307" i="10"/>
  <c r="O307" i="10"/>
  <c r="N307" i="10"/>
  <c r="M307" i="10"/>
  <c r="L307" i="10"/>
  <c r="K307" i="10"/>
  <c r="J307" i="10"/>
  <c r="A307" i="10"/>
  <c r="Q306" i="10"/>
  <c r="P306" i="10"/>
  <c r="O306" i="10"/>
  <c r="N306" i="10"/>
  <c r="M306" i="10"/>
  <c r="L306" i="10"/>
  <c r="K306" i="10"/>
  <c r="J306" i="10"/>
  <c r="A306" i="10"/>
  <c r="Q305" i="10"/>
  <c r="P305" i="10"/>
  <c r="O305" i="10"/>
  <c r="N305" i="10"/>
  <c r="M305" i="10"/>
  <c r="L305" i="10"/>
  <c r="K305" i="10"/>
  <c r="J305" i="10"/>
  <c r="A305" i="10"/>
  <c r="Q304" i="10"/>
  <c r="P304" i="10"/>
  <c r="O304" i="10"/>
  <c r="N304" i="10"/>
  <c r="M304" i="10"/>
  <c r="L304" i="10"/>
  <c r="K304" i="10"/>
  <c r="J304" i="10"/>
  <c r="A304" i="10"/>
  <c r="Q303" i="10"/>
  <c r="P303" i="10"/>
  <c r="O303" i="10"/>
  <c r="N303" i="10"/>
  <c r="M303" i="10"/>
  <c r="L303" i="10"/>
  <c r="K303" i="10"/>
  <c r="J303" i="10"/>
  <c r="A303" i="10"/>
  <c r="Q302" i="10"/>
  <c r="P302" i="10"/>
  <c r="O302" i="10"/>
  <c r="N302" i="10"/>
  <c r="M302" i="10"/>
  <c r="L302" i="10"/>
  <c r="K302" i="10"/>
  <c r="J302" i="10"/>
  <c r="A302" i="10"/>
  <c r="Q301" i="10"/>
  <c r="P301" i="10"/>
  <c r="O301" i="10"/>
  <c r="N301" i="10"/>
  <c r="M301" i="10"/>
  <c r="L301" i="10"/>
  <c r="K301" i="10"/>
  <c r="J301" i="10"/>
  <c r="A301" i="10"/>
  <c r="Q300" i="10"/>
  <c r="P300" i="10"/>
  <c r="O300" i="10"/>
  <c r="N300" i="10"/>
  <c r="M300" i="10"/>
  <c r="L300" i="10"/>
  <c r="K300" i="10"/>
  <c r="J300" i="10"/>
  <c r="A300" i="10"/>
  <c r="Q299" i="10"/>
  <c r="P299" i="10"/>
  <c r="O299" i="10"/>
  <c r="N299" i="10"/>
  <c r="M299" i="10"/>
  <c r="L299" i="10"/>
  <c r="K299" i="10"/>
  <c r="J299" i="10"/>
  <c r="A299" i="10"/>
  <c r="Q298" i="10"/>
  <c r="P298" i="10"/>
  <c r="O298" i="10"/>
  <c r="N298" i="10"/>
  <c r="M298" i="10"/>
  <c r="L298" i="10"/>
  <c r="K298" i="10"/>
  <c r="J298" i="10"/>
  <c r="A298" i="10"/>
  <c r="Q297" i="10"/>
  <c r="P297" i="10"/>
  <c r="O297" i="10"/>
  <c r="N297" i="10"/>
  <c r="M297" i="10"/>
  <c r="L297" i="10"/>
  <c r="K297" i="10"/>
  <c r="J297" i="10"/>
  <c r="A297" i="10"/>
  <c r="Q296" i="10"/>
  <c r="P296" i="10"/>
  <c r="O296" i="10"/>
  <c r="N296" i="10"/>
  <c r="M296" i="10"/>
  <c r="L296" i="10"/>
  <c r="K296" i="10"/>
  <c r="J296" i="10"/>
  <c r="A296" i="10"/>
  <c r="Q295" i="10"/>
  <c r="P295" i="10"/>
  <c r="O295" i="10"/>
  <c r="N295" i="10"/>
  <c r="M295" i="10"/>
  <c r="L295" i="10"/>
  <c r="K295" i="10"/>
  <c r="J295" i="10"/>
  <c r="A295" i="10"/>
  <c r="Q294" i="10"/>
  <c r="P294" i="10"/>
  <c r="O294" i="10"/>
  <c r="N294" i="10"/>
  <c r="M294" i="10"/>
  <c r="L294" i="10"/>
  <c r="K294" i="10"/>
  <c r="J294" i="10"/>
  <c r="A294" i="10"/>
  <c r="Q293" i="10"/>
  <c r="P293" i="10"/>
  <c r="O293" i="10"/>
  <c r="N293" i="10"/>
  <c r="M293" i="10"/>
  <c r="L293" i="10"/>
  <c r="K293" i="10"/>
  <c r="J293" i="10"/>
  <c r="A293" i="10"/>
  <c r="Q292" i="10"/>
  <c r="P292" i="10"/>
  <c r="O292" i="10"/>
  <c r="N292" i="10"/>
  <c r="M292" i="10"/>
  <c r="L292" i="10"/>
  <c r="K292" i="10"/>
  <c r="J292" i="10"/>
  <c r="A292" i="10"/>
  <c r="Q291" i="10"/>
  <c r="P291" i="10"/>
  <c r="O291" i="10"/>
  <c r="N291" i="10"/>
  <c r="M291" i="10"/>
  <c r="L291" i="10"/>
  <c r="K291" i="10"/>
  <c r="J291" i="10"/>
  <c r="A291" i="10"/>
  <c r="Q290" i="10"/>
  <c r="P290" i="10"/>
  <c r="O290" i="10"/>
  <c r="N290" i="10"/>
  <c r="M290" i="10"/>
  <c r="L290" i="10"/>
  <c r="K290" i="10"/>
  <c r="J290" i="10"/>
  <c r="A290" i="10"/>
  <c r="Q289" i="10"/>
  <c r="P289" i="10"/>
  <c r="O289" i="10"/>
  <c r="N289" i="10"/>
  <c r="M289" i="10"/>
  <c r="L289" i="10"/>
  <c r="K289" i="10"/>
  <c r="J289" i="10"/>
  <c r="A289" i="10"/>
  <c r="Q288" i="10"/>
  <c r="P288" i="10"/>
  <c r="O288" i="10"/>
  <c r="N288" i="10"/>
  <c r="M288" i="10"/>
  <c r="L288" i="10"/>
  <c r="K288" i="10"/>
  <c r="J288" i="10"/>
  <c r="A288" i="10"/>
  <c r="Q287" i="10"/>
  <c r="P287" i="10"/>
  <c r="O287" i="10"/>
  <c r="N287" i="10"/>
  <c r="M287" i="10"/>
  <c r="L287" i="10"/>
  <c r="K287" i="10"/>
  <c r="J287" i="10"/>
  <c r="A287" i="10"/>
  <c r="Q286" i="10"/>
  <c r="P286" i="10"/>
  <c r="O286" i="10"/>
  <c r="N286" i="10"/>
  <c r="M286" i="10"/>
  <c r="L286" i="10"/>
  <c r="K286" i="10"/>
  <c r="J286" i="10"/>
  <c r="A286" i="10"/>
  <c r="Q285" i="10"/>
  <c r="P285" i="10"/>
  <c r="O285" i="10"/>
  <c r="N285" i="10"/>
  <c r="M285" i="10"/>
  <c r="L285" i="10"/>
  <c r="K285" i="10"/>
  <c r="J285" i="10"/>
  <c r="A285" i="10"/>
  <c r="Q284" i="10"/>
  <c r="P284" i="10"/>
  <c r="O284" i="10"/>
  <c r="N284" i="10"/>
  <c r="M284" i="10"/>
  <c r="L284" i="10"/>
  <c r="K284" i="10"/>
  <c r="J284" i="10"/>
  <c r="A284" i="10"/>
  <c r="Q283" i="10"/>
  <c r="P283" i="10"/>
  <c r="O283" i="10"/>
  <c r="N283" i="10"/>
  <c r="M283" i="10"/>
  <c r="L283" i="10"/>
  <c r="K283" i="10"/>
  <c r="J283" i="10"/>
  <c r="A283" i="10"/>
  <c r="Q282" i="10"/>
  <c r="P282" i="10"/>
  <c r="O282" i="10"/>
  <c r="N282" i="10"/>
  <c r="M282" i="10"/>
  <c r="L282" i="10"/>
  <c r="K282" i="10"/>
  <c r="J282" i="10"/>
  <c r="A282" i="10"/>
  <c r="Q281" i="10"/>
  <c r="P281" i="10"/>
  <c r="O281" i="10"/>
  <c r="N281" i="10"/>
  <c r="M281" i="10"/>
  <c r="L281" i="10"/>
  <c r="K281" i="10"/>
  <c r="J281" i="10"/>
  <c r="A281" i="10"/>
  <c r="Q280" i="10"/>
  <c r="P280" i="10"/>
  <c r="O280" i="10"/>
  <c r="N280" i="10"/>
  <c r="M280" i="10"/>
  <c r="L280" i="10"/>
  <c r="K280" i="10"/>
  <c r="J280" i="10"/>
  <c r="A280" i="10"/>
  <c r="Q279" i="10"/>
  <c r="P279" i="10"/>
  <c r="O279" i="10"/>
  <c r="N279" i="10"/>
  <c r="M279" i="10"/>
  <c r="L279" i="10"/>
  <c r="K279" i="10"/>
  <c r="J279" i="10"/>
  <c r="A279" i="10"/>
  <c r="Q278" i="10"/>
  <c r="P278" i="10"/>
  <c r="O278" i="10"/>
  <c r="N278" i="10"/>
  <c r="M278" i="10"/>
  <c r="L278" i="10"/>
  <c r="K278" i="10"/>
  <c r="J278" i="10"/>
  <c r="A278" i="10"/>
  <c r="Q277" i="10"/>
  <c r="P277" i="10"/>
  <c r="O277" i="10"/>
  <c r="N277" i="10"/>
  <c r="M277" i="10"/>
  <c r="L277" i="10"/>
  <c r="K277" i="10"/>
  <c r="J277" i="10"/>
  <c r="A277" i="10"/>
  <c r="Q276" i="10"/>
  <c r="P276" i="10"/>
  <c r="O276" i="10"/>
  <c r="N276" i="10"/>
  <c r="M276" i="10"/>
  <c r="L276" i="10"/>
  <c r="K276" i="10"/>
  <c r="J276" i="10"/>
  <c r="A276" i="10"/>
  <c r="Q275" i="10"/>
  <c r="P275" i="10"/>
  <c r="O275" i="10"/>
  <c r="N275" i="10"/>
  <c r="M275" i="10"/>
  <c r="L275" i="10"/>
  <c r="K275" i="10"/>
  <c r="J275" i="10"/>
  <c r="A275" i="10"/>
  <c r="Q274" i="10"/>
  <c r="P274" i="10"/>
  <c r="O274" i="10"/>
  <c r="N274" i="10"/>
  <c r="M274" i="10"/>
  <c r="L274" i="10"/>
  <c r="K274" i="10"/>
  <c r="J274" i="10"/>
  <c r="A274" i="10"/>
  <c r="Q273" i="10"/>
  <c r="P273" i="10"/>
  <c r="O273" i="10"/>
  <c r="N273" i="10"/>
  <c r="M273" i="10"/>
  <c r="L273" i="10"/>
  <c r="K273" i="10"/>
  <c r="J273" i="10"/>
  <c r="A273" i="10"/>
  <c r="Q272" i="10"/>
  <c r="P272" i="10"/>
  <c r="O272" i="10"/>
  <c r="N272" i="10"/>
  <c r="M272" i="10"/>
  <c r="L272" i="10"/>
  <c r="K272" i="10"/>
  <c r="J272" i="10"/>
  <c r="A272" i="10"/>
  <c r="Q271" i="10"/>
  <c r="P271" i="10"/>
  <c r="O271" i="10"/>
  <c r="N271" i="10"/>
  <c r="M271" i="10"/>
  <c r="L271" i="10"/>
  <c r="K271" i="10"/>
  <c r="J271" i="10"/>
  <c r="A271" i="10"/>
  <c r="Q270" i="10"/>
  <c r="P270" i="10"/>
  <c r="O270" i="10"/>
  <c r="N270" i="10"/>
  <c r="M270" i="10"/>
  <c r="L270" i="10"/>
  <c r="K270" i="10"/>
  <c r="J270" i="10"/>
  <c r="A270" i="10"/>
  <c r="Q269" i="10"/>
  <c r="P269" i="10"/>
  <c r="O269" i="10"/>
  <c r="N269" i="10"/>
  <c r="M269" i="10"/>
  <c r="L269" i="10"/>
  <c r="K269" i="10"/>
  <c r="J269" i="10"/>
  <c r="A269" i="10"/>
  <c r="Q268" i="10"/>
  <c r="P268" i="10"/>
  <c r="O268" i="10"/>
  <c r="N268" i="10"/>
  <c r="M268" i="10"/>
  <c r="L268" i="10"/>
  <c r="K268" i="10"/>
  <c r="J268" i="10"/>
  <c r="A268" i="10"/>
  <c r="Q267" i="10"/>
  <c r="P267" i="10"/>
  <c r="O267" i="10"/>
  <c r="N267" i="10"/>
  <c r="M267" i="10"/>
  <c r="L267" i="10"/>
  <c r="K267" i="10"/>
  <c r="J267" i="10"/>
  <c r="A267" i="10"/>
  <c r="Q266" i="10"/>
  <c r="P266" i="10"/>
  <c r="O266" i="10"/>
  <c r="N266" i="10"/>
  <c r="M266" i="10"/>
  <c r="L266" i="10"/>
  <c r="K266" i="10"/>
  <c r="J266" i="10"/>
  <c r="A266" i="10"/>
  <c r="Q265" i="10"/>
  <c r="P265" i="10"/>
  <c r="O265" i="10"/>
  <c r="N265" i="10"/>
  <c r="M265" i="10"/>
  <c r="L265" i="10"/>
  <c r="K265" i="10"/>
  <c r="J265" i="10"/>
  <c r="A265" i="10"/>
  <c r="Q264" i="10"/>
  <c r="P264" i="10"/>
  <c r="O264" i="10"/>
  <c r="N264" i="10"/>
  <c r="M264" i="10"/>
  <c r="L264" i="10"/>
  <c r="K264" i="10"/>
  <c r="J264" i="10"/>
  <c r="A264" i="10"/>
  <c r="Q263" i="10"/>
  <c r="P263" i="10"/>
  <c r="O263" i="10"/>
  <c r="N263" i="10"/>
  <c r="M263" i="10"/>
  <c r="L263" i="10"/>
  <c r="K263" i="10"/>
  <c r="J263" i="10"/>
  <c r="A263" i="10"/>
  <c r="Q262" i="10"/>
  <c r="P262" i="10"/>
  <c r="O262" i="10"/>
  <c r="N262" i="10"/>
  <c r="M262" i="10"/>
  <c r="L262" i="10"/>
  <c r="K262" i="10"/>
  <c r="J262" i="10"/>
  <c r="A262" i="10"/>
  <c r="Q261" i="10"/>
  <c r="P261" i="10"/>
  <c r="O261" i="10"/>
  <c r="N261" i="10"/>
  <c r="M261" i="10"/>
  <c r="L261" i="10"/>
  <c r="K261" i="10"/>
  <c r="J261" i="10"/>
  <c r="A261" i="10"/>
  <c r="Q260" i="10"/>
  <c r="P260" i="10"/>
  <c r="O260" i="10"/>
  <c r="N260" i="10"/>
  <c r="M260" i="10"/>
  <c r="L260" i="10"/>
  <c r="K260" i="10"/>
  <c r="J260" i="10"/>
  <c r="A260" i="10"/>
  <c r="Q259" i="10"/>
  <c r="P259" i="10"/>
  <c r="O259" i="10"/>
  <c r="N259" i="10"/>
  <c r="M259" i="10"/>
  <c r="L259" i="10"/>
  <c r="K259" i="10"/>
  <c r="J259" i="10"/>
  <c r="A259" i="10"/>
  <c r="Q258" i="10"/>
  <c r="P258" i="10"/>
  <c r="O258" i="10"/>
  <c r="N258" i="10"/>
  <c r="M258" i="10"/>
  <c r="L258" i="10"/>
  <c r="K258" i="10"/>
  <c r="J258" i="10"/>
  <c r="A258" i="10"/>
  <c r="Q257" i="10"/>
  <c r="P257" i="10"/>
  <c r="O257" i="10"/>
  <c r="N257" i="10"/>
  <c r="M257" i="10"/>
  <c r="L257" i="10"/>
  <c r="K257" i="10"/>
  <c r="J257" i="10"/>
  <c r="A257" i="10"/>
  <c r="Q256" i="10"/>
  <c r="P256" i="10"/>
  <c r="O256" i="10"/>
  <c r="N256" i="10"/>
  <c r="M256" i="10"/>
  <c r="L256" i="10"/>
  <c r="K256" i="10"/>
  <c r="J256" i="10"/>
  <c r="A256" i="10"/>
  <c r="Q255" i="10"/>
  <c r="P255" i="10"/>
  <c r="O255" i="10"/>
  <c r="N255" i="10"/>
  <c r="M255" i="10"/>
  <c r="L255" i="10"/>
  <c r="K255" i="10"/>
  <c r="J255" i="10"/>
  <c r="A255" i="10"/>
  <c r="Q254" i="10"/>
  <c r="P254" i="10"/>
  <c r="O254" i="10"/>
  <c r="N254" i="10"/>
  <c r="M254" i="10"/>
  <c r="L254" i="10"/>
  <c r="K254" i="10"/>
  <c r="J254" i="10"/>
  <c r="A254" i="10"/>
  <c r="Q253" i="10"/>
  <c r="P253" i="10"/>
  <c r="O253" i="10"/>
  <c r="N253" i="10"/>
  <c r="M253" i="10"/>
  <c r="L253" i="10"/>
  <c r="K253" i="10"/>
  <c r="J253" i="10"/>
  <c r="A253" i="10"/>
  <c r="Q252" i="10"/>
  <c r="P252" i="10"/>
  <c r="O252" i="10"/>
  <c r="N252" i="10"/>
  <c r="M252" i="10"/>
  <c r="L252" i="10"/>
  <c r="K252" i="10"/>
  <c r="J252" i="10"/>
  <c r="A252" i="10"/>
  <c r="Q251" i="10"/>
  <c r="P251" i="10"/>
  <c r="O251" i="10"/>
  <c r="N251" i="10"/>
  <c r="M251" i="10"/>
  <c r="L251" i="10"/>
  <c r="K251" i="10"/>
  <c r="J251" i="10"/>
  <c r="A251" i="10"/>
  <c r="Q250" i="10"/>
  <c r="P250" i="10"/>
  <c r="O250" i="10"/>
  <c r="N250" i="10"/>
  <c r="M250" i="10"/>
  <c r="L250" i="10"/>
  <c r="K250" i="10"/>
  <c r="J250" i="10"/>
  <c r="A250" i="10"/>
  <c r="Q249" i="10"/>
  <c r="P249" i="10"/>
  <c r="O249" i="10"/>
  <c r="N249" i="10"/>
  <c r="M249" i="10"/>
  <c r="L249" i="10"/>
  <c r="K249" i="10"/>
  <c r="J249" i="10"/>
  <c r="A249" i="10"/>
  <c r="Q248" i="10"/>
  <c r="P248" i="10"/>
  <c r="O248" i="10"/>
  <c r="N248" i="10"/>
  <c r="M248" i="10"/>
  <c r="L248" i="10"/>
  <c r="K248" i="10"/>
  <c r="J248" i="10"/>
  <c r="A248" i="10"/>
  <c r="Q247" i="10"/>
  <c r="P247" i="10"/>
  <c r="O247" i="10"/>
  <c r="N247" i="10"/>
  <c r="M247" i="10"/>
  <c r="L247" i="10"/>
  <c r="K247" i="10"/>
  <c r="J247" i="10"/>
  <c r="A247" i="10"/>
  <c r="Q246" i="10"/>
  <c r="P246" i="10"/>
  <c r="O246" i="10"/>
  <c r="N246" i="10"/>
  <c r="M246" i="10"/>
  <c r="L246" i="10"/>
  <c r="K246" i="10"/>
  <c r="J246" i="10"/>
  <c r="A246" i="10"/>
  <c r="Q245" i="10"/>
  <c r="P245" i="10"/>
  <c r="O245" i="10"/>
  <c r="N245" i="10"/>
  <c r="M245" i="10"/>
  <c r="L245" i="10"/>
  <c r="K245" i="10"/>
  <c r="J245" i="10"/>
  <c r="A245" i="10"/>
  <c r="Q244" i="10"/>
  <c r="P244" i="10"/>
  <c r="O244" i="10"/>
  <c r="N244" i="10"/>
  <c r="M244" i="10"/>
  <c r="L244" i="10"/>
  <c r="K244" i="10"/>
  <c r="J244" i="10"/>
  <c r="A244" i="10"/>
  <c r="Q243" i="10"/>
  <c r="P243" i="10"/>
  <c r="O243" i="10"/>
  <c r="N243" i="10"/>
  <c r="M243" i="10"/>
  <c r="L243" i="10"/>
  <c r="K243" i="10"/>
  <c r="J243" i="10"/>
  <c r="A243" i="10"/>
  <c r="Q242" i="10"/>
  <c r="P242" i="10"/>
  <c r="O242" i="10"/>
  <c r="N242" i="10"/>
  <c r="M242" i="10"/>
  <c r="L242" i="10"/>
  <c r="K242" i="10"/>
  <c r="J242" i="10"/>
  <c r="A242" i="10"/>
  <c r="Q241" i="10"/>
  <c r="P241" i="10"/>
  <c r="O241" i="10"/>
  <c r="N241" i="10"/>
  <c r="M241" i="10"/>
  <c r="L241" i="10"/>
  <c r="K241" i="10"/>
  <c r="J241" i="10"/>
  <c r="A241" i="10"/>
  <c r="Q240" i="10"/>
  <c r="P240" i="10"/>
  <c r="O240" i="10"/>
  <c r="N240" i="10"/>
  <c r="M240" i="10"/>
  <c r="L240" i="10"/>
  <c r="K240" i="10"/>
  <c r="J240" i="10"/>
  <c r="A240" i="10"/>
  <c r="Q239" i="10"/>
  <c r="P239" i="10"/>
  <c r="O239" i="10"/>
  <c r="N239" i="10"/>
  <c r="M239" i="10"/>
  <c r="L239" i="10"/>
  <c r="K239" i="10"/>
  <c r="J239" i="10"/>
  <c r="A239" i="10"/>
  <c r="Q238" i="10"/>
  <c r="P238" i="10"/>
  <c r="O238" i="10"/>
  <c r="N238" i="10"/>
  <c r="M238" i="10"/>
  <c r="L238" i="10"/>
  <c r="K238" i="10"/>
  <c r="J238" i="10"/>
  <c r="A238" i="10"/>
  <c r="Q237" i="10"/>
  <c r="P237" i="10"/>
  <c r="O237" i="10"/>
  <c r="N237" i="10"/>
  <c r="M237" i="10"/>
  <c r="L237" i="10"/>
  <c r="K237" i="10"/>
  <c r="J237" i="10"/>
  <c r="A237" i="10"/>
  <c r="Q236" i="10"/>
  <c r="P236" i="10"/>
  <c r="O236" i="10"/>
  <c r="N236" i="10"/>
  <c r="M236" i="10"/>
  <c r="L236" i="10"/>
  <c r="K236" i="10"/>
  <c r="J236" i="10"/>
  <c r="A236" i="10"/>
  <c r="Q235" i="10"/>
  <c r="P235" i="10"/>
  <c r="O235" i="10"/>
  <c r="N235" i="10"/>
  <c r="M235" i="10"/>
  <c r="L235" i="10"/>
  <c r="K235" i="10"/>
  <c r="J235" i="10"/>
  <c r="A235" i="10"/>
  <c r="Q234" i="10"/>
  <c r="P234" i="10"/>
  <c r="O234" i="10"/>
  <c r="N234" i="10"/>
  <c r="M234" i="10"/>
  <c r="L234" i="10"/>
  <c r="K234" i="10"/>
  <c r="J234" i="10"/>
  <c r="A234" i="10"/>
  <c r="Q233" i="10"/>
  <c r="P233" i="10"/>
  <c r="O233" i="10"/>
  <c r="N233" i="10"/>
  <c r="M233" i="10"/>
  <c r="L233" i="10"/>
  <c r="K233" i="10"/>
  <c r="J233" i="10"/>
  <c r="A233" i="10"/>
  <c r="Q232" i="10"/>
  <c r="P232" i="10"/>
  <c r="O232" i="10"/>
  <c r="N232" i="10"/>
  <c r="M232" i="10"/>
  <c r="L232" i="10"/>
  <c r="K232" i="10"/>
  <c r="J232" i="10"/>
  <c r="A232" i="10"/>
  <c r="Q231" i="10"/>
  <c r="P231" i="10"/>
  <c r="O231" i="10"/>
  <c r="N231" i="10"/>
  <c r="M231" i="10"/>
  <c r="L231" i="10"/>
  <c r="K231" i="10"/>
  <c r="J231" i="10"/>
  <c r="A231" i="10"/>
  <c r="Q230" i="10"/>
  <c r="P230" i="10"/>
  <c r="O230" i="10"/>
  <c r="N230" i="10"/>
  <c r="M230" i="10"/>
  <c r="L230" i="10"/>
  <c r="K230" i="10"/>
  <c r="J230" i="10"/>
  <c r="A230" i="10"/>
  <c r="Q229" i="10"/>
  <c r="P229" i="10"/>
  <c r="O229" i="10"/>
  <c r="N229" i="10"/>
  <c r="M229" i="10"/>
  <c r="L229" i="10"/>
  <c r="K229" i="10"/>
  <c r="J229" i="10"/>
  <c r="A229" i="10"/>
  <c r="Q228" i="10"/>
  <c r="P228" i="10"/>
  <c r="O228" i="10"/>
  <c r="N228" i="10"/>
  <c r="M228" i="10"/>
  <c r="L228" i="10"/>
  <c r="K228" i="10"/>
  <c r="J228" i="10"/>
  <c r="A228" i="10"/>
  <c r="Q227" i="10"/>
  <c r="P227" i="10"/>
  <c r="O227" i="10"/>
  <c r="N227" i="10"/>
  <c r="M227" i="10"/>
  <c r="L227" i="10"/>
  <c r="K227" i="10"/>
  <c r="J227" i="10"/>
  <c r="A227" i="10"/>
  <c r="Q226" i="10"/>
  <c r="P226" i="10"/>
  <c r="O226" i="10"/>
  <c r="N226" i="10"/>
  <c r="M226" i="10"/>
  <c r="L226" i="10"/>
  <c r="K226" i="10"/>
  <c r="J226" i="10"/>
  <c r="A226" i="10"/>
  <c r="Q225" i="10"/>
  <c r="P225" i="10"/>
  <c r="O225" i="10"/>
  <c r="N225" i="10"/>
  <c r="M225" i="10"/>
  <c r="L225" i="10"/>
  <c r="K225" i="10"/>
  <c r="J225" i="10"/>
  <c r="A225" i="10"/>
  <c r="Q224" i="10"/>
  <c r="P224" i="10"/>
  <c r="O224" i="10"/>
  <c r="N224" i="10"/>
  <c r="M224" i="10"/>
  <c r="L224" i="10"/>
  <c r="K224" i="10"/>
  <c r="J224" i="10"/>
  <c r="A224" i="10"/>
  <c r="Q223" i="10"/>
  <c r="P223" i="10"/>
  <c r="O223" i="10"/>
  <c r="N223" i="10"/>
  <c r="M223" i="10"/>
  <c r="L223" i="10"/>
  <c r="K223" i="10"/>
  <c r="J223" i="10"/>
  <c r="A223" i="10"/>
  <c r="Q222" i="10"/>
  <c r="P222" i="10"/>
  <c r="O222" i="10"/>
  <c r="N222" i="10"/>
  <c r="M222" i="10"/>
  <c r="L222" i="10"/>
  <c r="K222" i="10"/>
  <c r="J222" i="10"/>
  <c r="A222" i="10"/>
  <c r="Q221" i="10"/>
  <c r="P221" i="10"/>
  <c r="O221" i="10"/>
  <c r="N221" i="10"/>
  <c r="M221" i="10"/>
  <c r="L221" i="10"/>
  <c r="K221" i="10"/>
  <c r="J221" i="10"/>
  <c r="A221" i="10"/>
  <c r="Q220" i="10"/>
  <c r="P220" i="10"/>
  <c r="O220" i="10"/>
  <c r="N220" i="10"/>
  <c r="M220" i="10"/>
  <c r="L220" i="10"/>
  <c r="K220" i="10"/>
  <c r="J220" i="10"/>
  <c r="A220" i="10"/>
  <c r="Q219" i="10"/>
  <c r="P219" i="10"/>
  <c r="O219" i="10"/>
  <c r="N219" i="10"/>
  <c r="M219" i="10"/>
  <c r="L219" i="10"/>
  <c r="K219" i="10"/>
  <c r="J219" i="10"/>
  <c r="A219" i="10"/>
  <c r="Q218" i="10"/>
  <c r="P218" i="10"/>
  <c r="O218" i="10"/>
  <c r="N218" i="10"/>
  <c r="M218" i="10"/>
  <c r="L218" i="10"/>
  <c r="K218" i="10"/>
  <c r="J218" i="10"/>
  <c r="A218" i="10"/>
  <c r="Q217" i="10"/>
  <c r="P217" i="10"/>
  <c r="O217" i="10"/>
  <c r="N217" i="10"/>
  <c r="M217" i="10"/>
  <c r="L217" i="10"/>
  <c r="K217" i="10"/>
  <c r="J217" i="10"/>
  <c r="A217" i="10"/>
  <c r="Q216" i="10"/>
  <c r="P216" i="10"/>
  <c r="O216" i="10"/>
  <c r="N216" i="10"/>
  <c r="M216" i="10"/>
  <c r="L216" i="10"/>
  <c r="K216" i="10"/>
  <c r="J216" i="10"/>
  <c r="A216" i="10"/>
  <c r="Q215" i="10"/>
  <c r="P215" i="10"/>
  <c r="O215" i="10"/>
  <c r="N215" i="10"/>
  <c r="M215" i="10"/>
  <c r="L215" i="10"/>
  <c r="K215" i="10"/>
  <c r="J215" i="10"/>
  <c r="A215" i="10"/>
  <c r="Q214" i="10"/>
  <c r="P214" i="10"/>
  <c r="O214" i="10"/>
  <c r="N214" i="10"/>
  <c r="M214" i="10"/>
  <c r="L214" i="10"/>
  <c r="K214" i="10"/>
  <c r="J214" i="10"/>
  <c r="A214" i="10"/>
  <c r="Q213" i="10"/>
  <c r="P213" i="10"/>
  <c r="O213" i="10"/>
  <c r="N213" i="10"/>
  <c r="M213" i="10"/>
  <c r="L213" i="10"/>
  <c r="K213" i="10"/>
  <c r="J213" i="10"/>
  <c r="A213" i="10"/>
  <c r="Q212" i="10"/>
  <c r="P212" i="10"/>
  <c r="O212" i="10"/>
  <c r="N212" i="10"/>
  <c r="M212" i="10"/>
  <c r="L212" i="10"/>
  <c r="K212" i="10"/>
  <c r="J212" i="10"/>
  <c r="A212" i="10"/>
  <c r="Q211" i="10"/>
  <c r="P211" i="10"/>
  <c r="O211" i="10"/>
  <c r="N211" i="10"/>
  <c r="M211" i="10"/>
  <c r="L211" i="10"/>
  <c r="K211" i="10"/>
  <c r="J211" i="10"/>
  <c r="A211" i="10"/>
  <c r="Q210" i="10"/>
  <c r="P210" i="10"/>
  <c r="O210" i="10"/>
  <c r="N210" i="10"/>
  <c r="M210" i="10"/>
  <c r="L210" i="10"/>
  <c r="K210" i="10"/>
  <c r="J210" i="10"/>
  <c r="A210" i="10"/>
  <c r="Q209" i="10"/>
  <c r="P209" i="10"/>
  <c r="O209" i="10"/>
  <c r="N209" i="10"/>
  <c r="M209" i="10"/>
  <c r="L209" i="10"/>
  <c r="K209" i="10"/>
  <c r="J209" i="10"/>
  <c r="A209" i="10"/>
  <c r="Q208" i="10"/>
  <c r="P208" i="10"/>
  <c r="O208" i="10"/>
  <c r="N208" i="10"/>
  <c r="M208" i="10"/>
  <c r="L208" i="10"/>
  <c r="K208" i="10"/>
  <c r="J208" i="10"/>
  <c r="A208" i="10"/>
  <c r="Q207" i="10"/>
  <c r="P207" i="10"/>
  <c r="O207" i="10"/>
  <c r="N207" i="10"/>
  <c r="M207" i="10"/>
  <c r="L207" i="10"/>
  <c r="K207" i="10"/>
  <c r="J207" i="10"/>
  <c r="A207" i="10"/>
  <c r="Q206" i="10"/>
  <c r="P206" i="10"/>
  <c r="O206" i="10"/>
  <c r="N206" i="10"/>
  <c r="M206" i="10"/>
  <c r="L206" i="10"/>
  <c r="K206" i="10"/>
  <c r="J206" i="10"/>
  <c r="A206" i="10"/>
  <c r="Q205" i="10"/>
  <c r="P205" i="10"/>
  <c r="O205" i="10"/>
  <c r="N205" i="10"/>
  <c r="M205" i="10"/>
  <c r="L205" i="10"/>
  <c r="K205" i="10"/>
  <c r="J205" i="10"/>
  <c r="A205" i="10"/>
  <c r="Q204" i="10"/>
  <c r="P204" i="10"/>
  <c r="O204" i="10"/>
  <c r="N204" i="10"/>
  <c r="M204" i="10"/>
  <c r="L204" i="10"/>
  <c r="K204" i="10"/>
  <c r="J204" i="10"/>
  <c r="A204" i="10"/>
  <c r="Q203" i="10"/>
  <c r="P203" i="10"/>
  <c r="O203" i="10"/>
  <c r="N203" i="10"/>
  <c r="M203" i="10"/>
  <c r="L203" i="10"/>
  <c r="K203" i="10"/>
  <c r="J203" i="10"/>
  <c r="A203" i="10"/>
  <c r="Q202" i="10"/>
  <c r="P202" i="10"/>
  <c r="O202" i="10"/>
  <c r="N202" i="10"/>
  <c r="M202" i="10"/>
  <c r="L202" i="10"/>
  <c r="K202" i="10"/>
  <c r="J202" i="10"/>
  <c r="A202" i="10"/>
  <c r="Q201" i="10"/>
  <c r="P201" i="10"/>
  <c r="O201" i="10"/>
  <c r="N201" i="10"/>
  <c r="M201" i="10"/>
  <c r="L201" i="10"/>
  <c r="K201" i="10"/>
  <c r="J201" i="10"/>
  <c r="A201" i="10"/>
  <c r="Q200" i="10"/>
  <c r="P200" i="10"/>
  <c r="O200" i="10"/>
  <c r="N200" i="10"/>
  <c r="M200" i="10"/>
  <c r="L200" i="10"/>
  <c r="K200" i="10"/>
  <c r="J200" i="10"/>
  <c r="A200" i="10"/>
  <c r="Q199" i="10"/>
  <c r="P199" i="10"/>
  <c r="O199" i="10"/>
  <c r="N199" i="10"/>
  <c r="M199" i="10"/>
  <c r="L199" i="10"/>
  <c r="K199" i="10"/>
  <c r="J199" i="10"/>
  <c r="A199" i="10"/>
  <c r="Q198" i="10"/>
  <c r="P198" i="10"/>
  <c r="O198" i="10"/>
  <c r="N198" i="10"/>
  <c r="M198" i="10"/>
  <c r="L198" i="10"/>
  <c r="K198" i="10"/>
  <c r="J198" i="10"/>
  <c r="A198" i="10"/>
  <c r="Q197" i="10"/>
  <c r="P197" i="10"/>
  <c r="O197" i="10"/>
  <c r="N197" i="10"/>
  <c r="M197" i="10"/>
  <c r="L197" i="10"/>
  <c r="K197" i="10"/>
  <c r="J197" i="10"/>
  <c r="A197" i="10"/>
  <c r="Q196" i="10"/>
  <c r="P196" i="10"/>
  <c r="O196" i="10"/>
  <c r="N196" i="10"/>
  <c r="M196" i="10"/>
  <c r="L196" i="10"/>
  <c r="K196" i="10"/>
  <c r="J196" i="10"/>
  <c r="A196" i="10"/>
  <c r="Q195" i="10"/>
  <c r="P195" i="10"/>
  <c r="O195" i="10"/>
  <c r="N195" i="10"/>
  <c r="M195" i="10"/>
  <c r="L195" i="10"/>
  <c r="K195" i="10"/>
  <c r="J195" i="10"/>
  <c r="A195" i="10"/>
  <c r="Q194" i="10"/>
  <c r="P194" i="10"/>
  <c r="O194" i="10"/>
  <c r="N194" i="10"/>
  <c r="M194" i="10"/>
  <c r="L194" i="10"/>
  <c r="K194" i="10"/>
  <c r="J194" i="10"/>
  <c r="A194" i="10"/>
  <c r="Q193" i="10"/>
  <c r="P193" i="10"/>
  <c r="O193" i="10"/>
  <c r="N193" i="10"/>
  <c r="M193" i="10"/>
  <c r="L193" i="10"/>
  <c r="K193" i="10"/>
  <c r="J193" i="10"/>
  <c r="A193" i="10"/>
  <c r="Q192" i="10"/>
  <c r="P192" i="10"/>
  <c r="O192" i="10"/>
  <c r="N192" i="10"/>
  <c r="M192" i="10"/>
  <c r="L192" i="10"/>
  <c r="K192" i="10"/>
  <c r="J192" i="10"/>
  <c r="A192" i="10"/>
  <c r="Q191" i="10"/>
  <c r="P191" i="10"/>
  <c r="O191" i="10"/>
  <c r="N191" i="10"/>
  <c r="M191" i="10"/>
  <c r="L191" i="10"/>
  <c r="K191" i="10"/>
  <c r="J191" i="10"/>
  <c r="A191" i="10"/>
  <c r="Q190" i="10"/>
  <c r="P190" i="10"/>
  <c r="O190" i="10"/>
  <c r="N190" i="10"/>
  <c r="M190" i="10"/>
  <c r="L190" i="10"/>
  <c r="K190" i="10"/>
  <c r="J190" i="10"/>
  <c r="A190" i="10"/>
  <c r="Q189" i="10"/>
  <c r="P189" i="10"/>
  <c r="O189" i="10"/>
  <c r="N189" i="10"/>
  <c r="M189" i="10"/>
  <c r="L189" i="10"/>
  <c r="K189" i="10"/>
  <c r="J189" i="10"/>
  <c r="A189" i="10"/>
  <c r="Q188" i="10"/>
  <c r="P188" i="10"/>
  <c r="O188" i="10"/>
  <c r="N188" i="10"/>
  <c r="M188" i="10"/>
  <c r="L188" i="10"/>
  <c r="K188" i="10"/>
  <c r="J188" i="10"/>
  <c r="A188" i="10"/>
  <c r="Q187" i="10"/>
  <c r="P187" i="10"/>
  <c r="O187" i="10"/>
  <c r="N187" i="10"/>
  <c r="M187" i="10"/>
  <c r="L187" i="10"/>
  <c r="K187" i="10"/>
  <c r="J187" i="10"/>
  <c r="A187" i="10"/>
  <c r="Q186" i="10"/>
  <c r="P186" i="10"/>
  <c r="O186" i="10"/>
  <c r="N186" i="10"/>
  <c r="M186" i="10"/>
  <c r="L186" i="10"/>
  <c r="K186" i="10"/>
  <c r="J186" i="10"/>
  <c r="A186" i="10"/>
  <c r="Q185" i="10"/>
  <c r="P185" i="10"/>
  <c r="O185" i="10"/>
  <c r="N185" i="10"/>
  <c r="M185" i="10"/>
  <c r="L185" i="10"/>
  <c r="K185" i="10"/>
  <c r="J185" i="10"/>
  <c r="A185" i="10"/>
  <c r="Q184" i="10"/>
  <c r="P184" i="10"/>
  <c r="O184" i="10"/>
  <c r="N184" i="10"/>
  <c r="M184" i="10"/>
  <c r="L184" i="10"/>
  <c r="K184" i="10"/>
  <c r="J184" i="10"/>
  <c r="A184" i="10"/>
  <c r="Q183" i="10"/>
  <c r="P183" i="10"/>
  <c r="O183" i="10"/>
  <c r="N183" i="10"/>
  <c r="M183" i="10"/>
  <c r="L183" i="10"/>
  <c r="K183" i="10"/>
  <c r="J183" i="10"/>
  <c r="A183" i="10"/>
  <c r="Q182" i="10"/>
  <c r="P182" i="10"/>
  <c r="O182" i="10"/>
  <c r="N182" i="10"/>
  <c r="M182" i="10"/>
  <c r="L182" i="10"/>
  <c r="K182" i="10"/>
  <c r="J182" i="10"/>
  <c r="A182" i="10"/>
  <c r="Q181" i="10"/>
  <c r="P181" i="10"/>
  <c r="O181" i="10"/>
  <c r="N181" i="10"/>
  <c r="M181" i="10"/>
  <c r="L181" i="10"/>
  <c r="K181" i="10"/>
  <c r="J181" i="10"/>
  <c r="A181" i="10"/>
  <c r="Q180" i="10"/>
  <c r="P180" i="10"/>
  <c r="O180" i="10"/>
  <c r="N180" i="10"/>
  <c r="M180" i="10"/>
  <c r="L180" i="10"/>
  <c r="K180" i="10"/>
  <c r="J180" i="10"/>
  <c r="A180" i="10"/>
  <c r="Q179" i="10"/>
  <c r="P179" i="10"/>
  <c r="O179" i="10"/>
  <c r="N179" i="10"/>
  <c r="M179" i="10"/>
  <c r="L179" i="10"/>
  <c r="K179" i="10"/>
  <c r="J179" i="10"/>
  <c r="A179" i="10"/>
  <c r="Q178" i="10"/>
  <c r="P178" i="10"/>
  <c r="O178" i="10"/>
  <c r="N178" i="10"/>
  <c r="M178" i="10"/>
  <c r="L178" i="10"/>
  <c r="K178" i="10"/>
  <c r="J178" i="10"/>
  <c r="A178" i="10"/>
  <c r="Q177" i="10"/>
  <c r="P177" i="10"/>
  <c r="O177" i="10"/>
  <c r="N177" i="10"/>
  <c r="M177" i="10"/>
  <c r="L177" i="10"/>
  <c r="K177" i="10"/>
  <c r="J177" i="10"/>
  <c r="A177" i="10"/>
  <c r="Q176" i="10"/>
  <c r="P176" i="10"/>
  <c r="O176" i="10"/>
  <c r="N176" i="10"/>
  <c r="M176" i="10"/>
  <c r="L176" i="10"/>
  <c r="K176" i="10"/>
  <c r="J176" i="10"/>
  <c r="A176" i="10"/>
  <c r="Q175" i="10"/>
  <c r="P175" i="10"/>
  <c r="O175" i="10"/>
  <c r="N175" i="10"/>
  <c r="M175" i="10"/>
  <c r="L175" i="10"/>
  <c r="K175" i="10"/>
  <c r="J175" i="10"/>
  <c r="A175" i="10"/>
  <c r="Q174" i="10"/>
  <c r="P174" i="10"/>
  <c r="O174" i="10"/>
  <c r="N174" i="10"/>
  <c r="M174" i="10"/>
  <c r="L174" i="10"/>
  <c r="K174" i="10"/>
  <c r="J174" i="10"/>
  <c r="A174" i="10"/>
  <c r="Q173" i="10"/>
  <c r="P173" i="10"/>
  <c r="O173" i="10"/>
  <c r="N173" i="10"/>
  <c r="M173" i="10"/>
  <c r="L173" i="10"/>
  <c r="K173" i="10"/>
  <c r="J173" i="10"/>
  <c r="A173" i="10"/>
  <c r="Q172" i="10"/>
  <c r="P172" i="10"/>
  <c r="O172" i="10"/>
  <c r="N172" i="10"/>
  <c r="M172" i="10"/>
  <c r="L172" i="10"/>
  <c r="K172" i="10"/>
  <c r="J172" i="10"/>
  <c r="A172" i="10"/>
  <c r="Q171" i="10"/>
  <c r="P171" i="10"/>
  <c r="O171" i="10"/>
  <c r="N171" i="10"/>
  <c r="M171" i="10"/>
  <c r="L171" i="10"/>
  <c r="K171" i="10"/>
  <c r="J171" i="10"/>
  <c r="A171" i="10"/>
  <c r="Q170" i="10"/>
  <c r="P170" i="10"/>
  <c r="O170" i="10"/>
  <c r="N170" i="10"/>
  <c r="M170" i="10"/>
  <c r="L170" i="10"/>
  <c r="K170" i="10"/>
  <c r="J170" i="10"/>
  <c r="A170" i="10"/>
  <c r="Q169" i="10"/>
  <c r="P169" i="10"/>
  <c r="O169" i="10"/>
  <c r="N169" i="10"/>
  <c r="M169" i="10"/>
  <c r="L169" i="10"/>
  <c r="K169" i="10"/>
  <c r="J169" i="10"/>
  <c r="A169" i="10"/>
  <c r="Q168" i="10"/>
  <c r="P168" i="10"/>
  <c r="O168" i="10"/>
  <c r="N168" i="10"/>
  <c r="M168" i="10"/>
  <c r="L168" i="10"/>
  <c r="K168" i="10"/>
  <c r="J168" i="10"/>
  <c r="A168" i="10"/>
  <c r="Q167" i="10"/>
  <c r="P167" i="10"/>
  <c r="O167" i="10"/>
  <c r="N167" i="10"/>
  <c r="M167" i="10"/>
  <c r="L167" i="10"/>
  <c r="K167" i="10"/>
  <c r="J167" i="10"/>
  <c r="A167" i="10"/>
  <c r="Q166" i="10"/>
  <c r="P166" i="10"/>
  <c r="O166" i="10"/>
  <c r="N166" i="10"/>
  <c r="M166" i="10"/>
  <c r="L166" i="10"/>
  <c r="K166" i="10"/>
  <c r="J166" i="10"/>
  <c r="A166" i="10"/>
  <c r="Q165" i="10"/>
  <c r="P165" i="10"/>
  <c r="O165" i="10"/>
  <c r="N165" i="10"/>
  <c r="M165" i="10"/>
  <c r="L165" i="10"/>
  <c r="K165" i="10"/>
  <c r="J165" i="10"/>
  <c r="A165" i="10"/>
  <c r="Q164" i="10"/>
  <c r="P164" i="10"/>
  <c r="O164" i="10"/>
  <c r="N164" i="10"/>
  <c r="M164" i="10"/>
  <c r="L164" i="10"/>
  <c r="K164" i="10"/>
  <c r="J164" i="10"/>
  <c r="A164" i="10"/>
  <c r="Q163" i="10"/>
  <c r="P163" i="10"/>
  <c r="O163" i="10"/>
  <c r="N163" i="10"/>
  <c r="M163" i="10"/>
  <c r="L163" i="10"/>
  <c r="K163" i="10"/>
  <c r="J163" i="10"/>
  <c r="A163" i="10"/>
  <c r="Q162" i="10"/>
  <c r="P162" i="10"/>
  <c r="O162" i="10"/>
  <c r="N162" i="10"/>
  <c r="M162" i="10"/>
  <c r="L162" i="10"/>
  <c r="K162" i="10"/>
  <c r="J162" i="10"/>
  <c r="A162" i="10"/>
  <c r="Q161" i="10"/>
  <c r="P161" i="10"/>
  <c r="O161" i="10"/>
  <c r="N161" i="10"/>
  <c r="M161" i="10"/>
  <c r="L161" i="10"/>
  <c r="K161" i="10"/>
  <c r="J161" i="10"/>
  <c r="A161" i="10"/>
  <c r="Q160" i="10"/>
  <c r="P160" i="10"/>
  <c r="O160" i="10"/>
  <c r="N160" i="10"/>
  <c r="M160" i="10"/>
  <c r="L160" i="10"/>
  <c r="K160" i="10"/>
  <c r="J160" i="10"/>
  <c r="A160" i="10"/>
  <c r="Q159" i="10"/>
  <c r="P159" i="10"/>
  <c r="O159" i="10"/>
  <c r="N159" i="10"/>
  <c r="M159" i="10"/>
  <c r="L159" i="10"/>
  <c r="K159" i="10"/>
  <c r="J159" i="10"/>
  <c r="A159" i="10"/>
  <c r="Q158" i="10"/>
  <c r="P158" i="10"/>
  <c r="O158" i="10"/>
  <c r="N158" i="10"/>
  <c r="M158" i="10"/>
  <c r="L158" i="10"/>
  <c r="K158" i="10"/>
  <c r="J158" i="10"/>
  <c r="A158" i="10"/>
  <c r="Q157" i="10"/>
  <c r="P157" i="10"/>
  <c r="O157" i="10"/>
  <c r="N157" i="10"/>
  <c r="M157" i="10"/>
  <c r="L157" i="10"/>
  <c r="K157" i="10"/>
  <c r="J157" i="10"/>
  <c r="A157" i="10"/>
  <c r="Q156" i="10"/>
  <c r="P156" i="10"/>
  <c r="O156" i="10"/>
  <c r="N156" i="10"/>
  <c r="M156" i="10"/>
  <c r="L156" i="10"/>
  <c r="K156" i="10"/>
  <c r="J156" i="10"/>
  <c r="A156" i="10"/>
  <c r="Q155" i="10"/>
  <c r="P155" i="10"/>
  <c r="O155" i="10"/>
  <c r="N155" i="10"/>
  <c r="M155" i="10"/>
  <c r="L155" i="10"/>
  <c r="K155" i="10"/>
  <c r="J155" i="10"/>
  <c r="A155" i="10"/>
  <c r="Q154" i="10"/>
  <c r="P154" i="10"/>
  <c r="O154" i="10"/>
  <c r="N154" i="10"/>
  <c r="M154" i="10"/>
  <c r="L154" i="10"/>
  <c r="K154" i="10"/>
  <c r="J154" i="10"/>
  <c r="A154" i="10"/>
  <c r="Q153" i="10"/>
  <c r="P153" i="10"/>
  <c r="O153" i="10"/>
  <c r="N153" i="10"/>
  <c r="M153" i="10"/>
  <c r="L153" i="10"/>
  <c r="K153" i="10"/>
  <c r="J153" i="10"/>
  <c r="A153" i="10"/>
  <c r="Q152" i="10"/>
  <c r="P152" i="10"/>
  <c r="O152" i="10"/>
  <c r="N152" i="10"/>
  <c r="M152" i="10"/>
  <c r="L152" i="10"/>
  <c r="K152" i="10"/>
  <c r="J152" i="10"/>
  <c r="A152" i="10"/>
  <c r="Q151" i="10"/>
  <c r="P151" i="10"/>
  <c r="O151" i="10"/>
  <c r="N151" i="10"/>
  <c r="M151" i="10"/>
  <c r="L151" i="10"/>
  <c r="K151" i="10"/>
  <c r="J151" i="10"/>
  <c r="A151" i="10"/>
  <c r="Q150" i="10"/>
  <c r="P150" i="10"/>
  <c r="O150" i="10"/>
  <c r="N150" i="10"/>
  <c r="M150" i="10"/>
  <c r="L150" i="10"/>
  <c r="K150" i="10"/>
  <c r="J150" i="10"/>
  <c r="A150" i="10"/>
  <c r="Q149" i="10"/>
  <c r="P149" i="10"/>
  <c r="O149" i="10"/>
  <c r="N149" i="10"/>
  <c r="M149" i="10"/>
  <c r="L149" i="10"/>
  <c r="K149" i="10"/>
  <c r="J149" i="10"/>
  <c r="A149" i="10"/>
  <c r="Q148" i="10"/>
  <c r="P148" i="10"/>
  <c r="O148" i="10"/>
  <c r="N148" i="10"/>
  <c r="M148" i="10"/>
  <c r="L148" i="10"/>
  <c r="K148" i="10"/>
  <c r="J148" i="10"/>
  <c r="A148" i="10"/>
  <c r="Q147" i="10"/>
  <c r="P147" i="10"/>
  <c r="O147" i="10"/>
  <c r="N147" i="10"/>
  <c r="M147" i="10"/>
  <c r="L147" i="10"/>
  <c r="K147" i="10"/>
  <c r="J147" i="10"/>
  <c r="A147" i="10"/>
  <c r="Q146" i="10"/>
  <c r="P146" i="10"/>
  <c r="O146" i="10"/>
  <c r="N146" i="10"/>
  <c r="M146" i="10"/>
  <c r="L146" i="10"/>
  <c r="K146" i="10"/>
  <c r="J146" i="10"/>
  <c r="A146" i="10"/>
  <c r="Q145" i="10"/>
  <c r="P145" i="10"/>
  <c r="O145" i="10"/>
  <c r="N145" i="10"/>
  <c r="M145" i="10"/>
  <c r="L145" i="10"/>
  <c r="K145" i="10"/>
  <c r="J145" i="10"/>
  <c r="A145" i="10"/>
  <c r="Q144" i="10"/>
  <c r="P144" i="10"/>
  <c r="O144" i="10"/>
  <c r="N144" i="10"/>
  <c r="M144" i="10"/>
  <c r="L144" i="10"/>
  <c r="K144" i="10"/>
  <c r="J144" i="10"/>
  <c r="A144" i="10"/>
  <c r="Q143" i="10"/>
  <c r="P143" i="10"/>
  <c r="O143" i="10"/>
  <c r="N143" i="10"/>
  <c r="M143" i="10"/>
  <c r="L143" i="10"/>
  <c r="K143" i="10"/>
  <c r="J143" i="10"/>
  <c r="A143" i="10"/>
  <c r="Q142" i="10"/>
  <c r="P142" i="10"/>
  <c r="O142" i="10"/>
  <c r="N142" i="10"/>
  <c r="M142" i="10"/>
  <c r="L142" i="10"/>
  <c r="K142" i="10"/>
  <c r="J142" i="10"/>
  <c r="A142" i="10"/>
  <c r="Q141" i="10"/>
  <c r="P141" i="10"/>
  <c r="O141" i="10"/>
  <c r="N141" i="10"/>
  <c r="M141" i="10"/>
  <c r="L141" i="10"/>
  <c r="K141" i="10"/>
  <c r="J141" i="10"/>
  <c r="A141" i="10"/>
  <c r="Q140" i="10"/>
  <c r="P140" i="10"/>
  <c r="O140" i="10"/>
  <c r="N140" i="10"/>
  <c r="M140" i="10"/>
  <c r="L140" i="10"/>
  <c r="K140" i="10"/>
  <c r="J140" i="10"/>
  <c r="A140" i="10"/>
  <c r="Q139" i="10"/>
  <c r="P139" i="10"/>
  <c r="O139" i="10"/>
  <c r="N139" i="10"/>
  <c r="M139" i="10"/>
  <c r="L139" i="10"/>
  <c r="K139" i="10"/>
  <c r="J139" i="10"/>
  <c r="A139" i="10"/>
  <c r="Q138" i="10"/>
  <c r="P138" i="10"/>
  <c r="O138" i="10"/>
  <c r="N138" i="10"/>
  <c r="M138" i="10"/>
  <c r="L138" i="10"/>
  <c r="K138" i="10"/>
  <c r="J138" i="10"/>
  <c r="A138" i="10"/>
  <c r="Q137" i="10"/>
  <c r="P137" i="10"/>
  <c r="O137" i="10"/>
  <c r="N137" i="10"/>
  <c r="M137" i="10"/>
  <c r="L137" i="10"/>
  <c r="K137" i="10"/>
  <c r="J137" i="10"/>
  <c r="A137" i="10"/>
  <c r="Q136" i="10"/>
  <c r="P136" i="10"/>
  <c r="O136" i="10"/>
  <c r="N136" i="10"/>
  <c r="M136" i="10"/>
  <c r="L136" i="10"/>
  <c r="K136" i="10"/>
  <c r="J136" i="10"/>
  <c r="A136" i="10"/>
  <c r="Q135" i="10"/>
  <c r="P135" i="10"/>
  <c r="O135" i="10"/>
  <c r="N135" i="10"/>
  <c r="M135" i="10"/>
  <c r="L135" i="10"/>
  <c r="K135" i="10"/>
  <c r="J135" i="10"/>
  <c r="A135" i="10"/>
  <c r="Q134" i="10"/>
  <c r="P134" i="10"/>
  <c r="O134" i="10"/>
  <c r="N134" i="10"/>
  <c r="M134" i="10"/>
  <c r="L134" i="10"/>
  <c r="K134" i="10"/>
  <c r="J134" i="10"/>
  <c r="A134" i="10"/>
  <c r="Q133" i="10"/>
  <c r="P133" i="10"/>
  <c r="O133" i="10"/>
  <c r="N133" i="10"/>
  <c r="M133" i="10"/>
  <c r="L133" i="10"/>
  <c r="K133" i="10"/>
  <c r="J133" i="10"/>
  <c r="A133" i="10"/>
  <c r="Q132" i="10"/>
  <c r="P132" i="10"/>
  <c r="O132" i="10"/>
  <c r="N132" i="10"/>
  <c r="M132" i="10"/>
  <c r="L132" i="10"/>
  <c r="K132" i="10"/>
  <c r="J132" i="10"/>
  <c r="A132" i="10"/>
  <c r="Q131" i="10"/>
  <c r="P131" i="10"/>
  <c r="O131" i="10"/>
  <c r="N131" i="10"/>
  <c r="M131" i="10"/>
  <c r="L131" i="10"/>
  <c r="K131" i="10"/>
  <c r="J131" i="10"/>
  <c r="A131" i="10"/>
  <c r="Q130" i="10"/>
  <c r="P130" i="10"/>
  <c r="O130" i="10"/>
  <c r="N130" i="10"/>
  <c r="M130" i="10"/>
  <c r="L130" i="10"/>
  <c r="K130" i="10"/>
  <c r="J130" i="10"/>
  <c r="A130" i="10"/>
  <c r="Q129" i="10"/>
  <c r="P129" i="10"/>
  <c r="O129" i="10"/>
  <c r="N129" i="10"/>
  <c r="M129" i="10"/>
  <c r="L129" i="10"/>
  <c r="K129" i="10"/>
  <c r="J129" i="10"/>
  <c r="A129" i="10"/>
  <c r="Q128" i="10"/>
  <c r="P128" i="10"/>
  <c r="O128" i="10"/>
  <c r="N128" i="10"/>
  <c r="M128" i="10"/>
  <c r="L128" i="10"/>
  <c r="K128" i="10"/>
  <c r="J128" i="10"/>
  <c r="A128" i="10"/>
  <c r="Q127" i="10"/>
  <c r="P127" i="10"/>
  <c r="O127" i="10"/>
  <c r="N127" i="10"/>
  <c r="M127" i="10"/>
  <c r="L127" i="10"/>
  <c r="K127" i="10"/>
  <c r="J127" i="10"/>
  <c r="A127" i="10"/>
  <c r="Q126" i="10"/>
  <c r="P126" i="10"/>
  <c r="O126" i="10"/>
  <c r="N126" i="10"/>
  <c r="M126" i="10"/>
  <c r="L126" i="10"/>
  <c r="K126" i="10"/>
  <c r="J126" i="10"/>
  <c r="A126" i="10"/>
  <c r="Q125" i="10"/>
  <c r="P125" i="10"/>
  <c r="O125" i="10"/>
  <c r="N125" i="10"/>
  <c r="M125" i="10"/>
  <c r="L125" i="10"/>
  <c r="K125" i="10"/>
  <c r="J125" i="10"/>
  <c r="A125" i="10"/>
  <c r="Q124" i="10"/>
  <c r="P124" i="10"/>
  <c r="O124" i="10"/>
  <c r="N124" i="10"/>
  <c r="M124" i="10"/>
  <c r="L124" i="10"/>
  <c r="K124" i="10"/>
  <c r="J124" i="10"/>
  <c r="A124" i="10"/>
  <c r="Q123" i="10"/>
  <c r="P123" i="10"/>
  <c r="O123" i="10"/>
  <c r="N123" i="10"/>
  <c r="M123" i="10"/>
  <c r="L123" i="10"/>
  <c r="K123" i="10"/>
  <c r="J123" i="10"/>
  <c r="A123" i="10"/>
  <c r="Q122" i="10"/>
  <c r="P122" i="10"/>
  <c r="O122" i="10"/>
  <c r="N122" i="10"/>
  <c r="M122" i="10"/>
  <c r="L122" i="10"/>
  <c r="K122" i="10"/>
  <c r="J122" i="10"/>
  <c r="A122" i="10"/>
  <c r="Q121" i="10"/>
  <c r="P121" i="10"/>
  <c r="O121" i="10"/>
  <c r="N121" i="10"/>
  <c r="M121" i="10"/>
  <c r="L121" i="10"/>
  <c r="K121" i="10"/>
  <c r="J121" i="10"/>
  <c r="A121" i="10"/>
  <c r="Q120" i="10"/>
  <c r="P120" i="10"/>
  <c r="O120" i="10"/>
  <c r="N120" i="10"/>
  <c r="M120" i="10"/>
  <c r="L120" i="10"/>
  <c r="K120" i="10"/>
  <c r="J120" i="10"/>
  <c r="A120" i="10"/>
  <c r="Q119" i="10"/>
  <c r="P119" i="10"/>
  <c r="O119" i="10"/>
  <c r="N119" i="10"/>
  <c r="M119" i="10"/>
  <c r="L119" i="10"/>
  <c r="K119" i="10"/>
  <c r="J119" i="10"/>
  <c r="A119" i="10"/>
  <c r="Q118" i="10"/>
  <c r="P118" i="10"/>
  <c r="O118" i="10"/>
  <c r="N118" i="10"/>
  <c r="M118" i="10"/>
  <c r="L118" i="10"/>
  <c r="K118" i="10"/>
  <c r="J118" i="10"/>
  <c r="A118" i="10"/>
  <c r="Q117" i="10"/>
  <c r="P117" i="10"/>
  <c r="O117" i="10"/>
  <c r="N117" i="10"/>
  <c r="M117" i="10"/>
  <c r="L117" i="10"/>
  <c r="K117" i="10"/>
  <c r="J117" i="10"/>
  <c r="A117" i="10"/>
  <c r="Q116" i="10"/>
  <c r="P116" i="10"/>
  <c r="O116" i="10"/>
  <c r="N116" i="10"/>
  <c r="M116" i="10"/>
  <c r="L116" i="10"/>
  <c r="K116" i="10"/>
  <c r="J116" i="10"/>
  <c r="A116" i="10"/>
  <c r="Q115" i="10"/>
  <c r="P115" i="10"/>
  <c r="O115" i="10"/>
  <c r="N115" i="10"/>
  <c r="M115" i="10"/>
  <c r="L115" i="10"/>
  <c r="K115" i="10"/>
  <c r="J115" i="10"/>
  <c r="A115" i="10"/>
  <c r="Q114" i="10"/>
  <c r="P114" i="10"/>
  <c r="O114" i="10"/>
  <c r="N114" i="10"/>
  <c r="M114" i="10"/>
  <c r="L114" i="10"/>
  <c r="K114" i="10"/>
  <c r="J114" i="10"/>
  <c r="A114" i="10"/>
  <c r="Q113" i="10"/>
  <c r="P113" i="10"/>
  <c r="O113" i="10"/>
  <c r="N113" i="10"/>
  <c r="M113" i="10"/>
  <c r="L113" i="10"/>
  <c r="K113" i="10"/>
  <c r="J113" i="10"/>
  <c r="A113" i="10"/>
  <c r="Q112" i="10"/>
  <c r="P112" i="10"/>
  <c r="O112" i="10"/>
  <c r="N112" i="10"/>
  <c r="M112" i="10"/>
  <c r="L112" i="10"/>
  <c r="K112" i="10"/>
  <c r="J112" i="10"/>
  <c r="A112" i="10"/>
  <c r="Q111" i="10"/>
  <c r="P111" i="10"/>
  <c r="O111" i="10"/>
  <c r="N111" i="10"/>
  <c r="M111" i="10"/>
  <c r="L111" i="10"/>
  <c r="K111" i="10"/>
  <c r="J111" i="10"/>
  <c r="A111" i="10"/>
  <c r="Q110" i="10"/>
  <c r="P110" i="10"/>
  <c r="O110" i="10"/>
  <c r="N110" i="10"/>
  <c r="M110" i="10"/>
  <c r="L110" i="10"/>
  <c r="K110" i="10"/>
  <c r="J110" i="10"/>
  <c r="A110" i="10"/>
  <c r="Q109" i="10"/>
  <c r="P109" i="10"/>
  <c r="O109" i="10"/>
  <c r="N109" i="10"/>
  <c r="M109" i="10"/>
  <c r="L109" i="10"/>
  <c r="K109" i="10"/>
  <c r="J109" i="10"/>
  <c r="A109" i="10"/>
  <c r="Q108" i="10"/>
  <c r="P108" i="10"/>
  <c r="O108" i="10"/>
  <c r="N108" i="10"/>
  <c r="M108" i="10"/>
  <c r="L108" i="10"/>
  <c r="K108" i="10"/>
  <c r="J108" i="10"/>
  <c r="A108" i="10"/>
  <c r="Q107" i="10"/>
  <c r="P107" i="10"/>
  <c r="O107" i="10"/>
  <c r="N107" i="10"/>
  <c r="M107" i="10"/>
  <c r="L107" i="10"/>
  <c r="K107" i="10"/>
  <c r="J107" i="10"/>
  <c r="A107" i="10"/>
  <c r="Q106" i="10"/>
  <c r="P106" i="10"/>
  <c r="O106" i="10"/>
  <c r="N106" i="10"/>
  <c r="M106" i="10"/>
  <c r="L106" i="10"/>
  <c r="K106" i="10"/>
  <c r="J106" i="10"/>
  <c r="A106" i="10"/>
  <c r="Q105" i="10"/>
  <c r="P105" i="10"/>
  <c r="O105" i="10"/>
  <c r="N105" i="10"/>
  <c r="M105" i="10"/>
  <c r="L105" i="10"/>
  <c r="K105" i="10"/>
  <c r="J105" i="10"/>
  <c r="A105" i="10"/>
  <c r="Q104" i="10"/>
  <c r="P104" i="10"/>
  <c r="O104" i="10"/>
  <c r="N104" i="10"/>
  <c r="M104" i="10"/>
  <c r="L104" i="10"/>
  <c r="K104" i="10"/>
  <c r="J104" i="10"/>
  <c r="A104" i="10"/>
  <c r="Q103" i="10"/>
  <c r="P103" i="10"/>
  <c r="O103" i="10"/>
  <c r="N103" i="10"/>
  <c r="M103" i="10"/>
  <c r="L103" i="10"/>
  <c r="K103" i="10"/>
  <c r="J103" i="10"/>
  <c r="A103" i="10"/>
  <c r="Q102" i="10"/>
  <c r="P102" i="10"/>
  <c r="O102" i="10"/>
  <c r="N102" i="10"/>
  <c r="M102" i="10"/>
  <c r="L102" i="10"/>
  <c r="K102" i="10"/>
  <c r="J102" i="10"/>
  <c r="A102" i="10"/>
  <c r="Q101" i="10"/>
  <c r="P101" i="10"/>
  <c r="O101" i="10"/>
  <c r="N101" i="10"/>
  <c r="M101" i="10"/>
  <c r="L101" i="10"/>
  <c r="K101" i="10"/>
  <c r="J101" i="10"/>
  <c r="A101" i="10"/>
  <c r="Q100" i="10"/>
  <c r="P100" i="10"/>
  <c r="O100" i="10"/>
  <c r="N100" i="10"/>
  <c r="M100" i="10"/>
  <c r="L100" i="10"/>
  <c r="K100" i="10"/>
  <c r="J100" i="10"/>
  <c r="A100" i="10"/>
  <c r="Q99" i="10"/>
  <c r="P99" i="10"/>
  <c r="O99" i="10"/>
  <c r="N99" i="10"/>
  <c r="M99" i="10"/>
  <c r="L99" i="10"/>
  <c r="K99" i="10"/>
  <c r="J99" i="10"/>
  <c r="A99" i="10"/>
  <c r="Q98" i="10"/>
  <c r="P98" i="10"/>
  <c r="O98" i="10"/>
  <c r="N98" i="10"/>
  <c r="M98" i="10"/>
  <c r="L98" i="10"/>
  <c r="K98" i="10"/>
  <c r="J98" i="10"/>
  <c r="A98" i="10"/>
  <c r="Q97" i="10"/>
  <c r="P97" i="10"/>
  <c r="O97" i="10"/>
  <c r="N97" i="10"/>
  <c r="M97" i="10"/>
  <c r="L97" i="10"/>
  <c r="K97" i="10"/>
  <c r="J97" i="10"/>
  <c r="A97" i="10"/>
  <c r="Q96" i="10"/>
  <c r="P96" i="10"/>
  <c r="O96" i="10"/>
  <c r="N96" i="10"/>
  <c r="M96" i="10"/>
  <c r="L96" i="10"/>
  <c r="K96" i="10"/>
  <c r="J96" i="10"/>
  <c r="A96" i="10"/>
  <c r="Q95" i="10"/>
  <c r="P95" i="10"/>
  <c r="O95" i="10"/>
  <c r="N95" i="10"/>
  <c r="M95" i="10"/>
  <c r="L95" i="10"/>
  <c r="K95" i="10"/>
  <c r="J95" i="10"/>
  <c r="A95" i="10"/>
  <c r="Q94" i="10"/>
  <c r="P94" i="10"/>
  <c r="O94" i="10"/>
  <c r="N94" i="10"/>
  <c r="M94" i="10"/>
  <c r="L94" i="10"/>
  <c r="K94" i="10"/>
  <c r="J94" i="10"/>
  <c r="A94" i="10"/>
  <c r="Q93" i="10"/>
  <c r="P93" i="10"/>
  <c r="O93" i="10"/>
  <c r="N93" i="10"/>
  <c r="M93" i="10"/>
  <c r="L93" i="10"/>
  <c r="K93" i="10"/>
  <c r="J93" i="10"/>
  <c r="A93" i="10"/>
  <c r="Q92" i="10"/>
  <c r="P92" i="10"/>
  <c r="O92" i="10"/>
  <c r="N92" i="10"/>
  <c r="M92" i="10"/>
  <c r="L92" i="10"/>
  <c r="K92" i="10"/>
  <c r="J92" i="10"/>
  <c r="A92" i="10"/>
  <c r="Q91" i="10"/>
  <c r="P91" i="10"/>
  <c r="O91" i="10"/>
  <c r="N91" i="10"/>
  <c r="M91" i="10"/>
  <c r="L91" i="10"/>
  <c r="K91" i="10"/>
  <c r="J91" i="10"/>
  <c r="A91" i="10"/>
  <c r="Q90" i="10"/>
  <c r="P90" i="10"/>
  <c r="O90" i="10"/>
  <c r="N90" i="10"/>
  <c r="M90" i="10"/>
  <c r="L90" i="10"/>
  <c r="K90" i="10"/>
  <c r="J90" i="10"/>
  <c r="A90" i="10"/>
  <c r="Q89" i="10"/>
  <c r="P89" i="10"/>
  <c r="O89" i="10"/>
  <c r="N89" i="10"/>
  <c r="M89" i="10"/>
  <c r="L89" i="10"/>
  <c r="K89" i="10"/>
  <c r="J89" i="10"/>
  <c r="A89" i="10"/>
  <c r="Q88" i="10"/>
  <c r="P88" i="10"/>
  <c r="O88" i="10"/>
  <c r="N88" i="10"/>
  <c r="M88" i="10"/>
  <c r="L88" i="10"/>
  <c r="K88" i="10"/>
  <c r="J88" i="10"/>
  <c r="A88" i="10"/>
  <c r="Q87" i="10"/>
  <c r="P87" i="10"/>
  <c r="O87" i="10"/>
  <c r="N87" i="10"/>
  <c r="M87" i="10"/>
  <c r="L87" i="10"/>
  <c r="K87" i="10"/>
  <c r="J87" i="10"/>
  <c r="A87" i="10"/>
  <c r="Q86" i="10"/>
  <c r="P86" i="10"/>
  <c r="O86" i="10"/>
  <c r="N86" i="10"/>
  <c r="M86" i="10"/>
  <c r="L86" i="10"/>
  <c r="K86" i="10"/>
  <c r="J86" i="10"/>
  <c r="A86" i="10"/>
  <c r="Q85" i="10"/>
  <c r="P85" i="10"/>
  <c r="O85" i="10"/>
  <c r="N85" i="10"/>
  <c r="M85" i="10"/>
  <c r="L85" i="10"/>
  <c r="K85" i="10"/>
  <c r="J85" i="10"/>
  <c r="A85" i="10"/>
  <c r="Q84" i="10"/>
  <c r="P84" i="10"/>
  <c r="O84" i="10"/>
  <c r="N84" i="10"/>
  <c r="M84" i="10"/>
  <c r="L84" i="10"/>
  <c r="K84" i="10"/>
  <c r="J84" i="10"/>
  <c r="A84" i="10"/>
  <c r="Q83" i="10"/>
  <c r="P83" i="10"/>
  <c r="O83" i="10"/>
  <c r="N83" i="10"/>
  <c r="M83" i="10"/>
  <c r="L83" i="10"/>
  <c r="K83" i="10"/>
  <c r="J83" i="10"/>
  <c r="A83" i="10"/>
  <c r="Q82" i="10"/>
  <c r="P82" i="10"/>
  <c r="O82" i="10"/>
  <c r="N82" i="10"/>
  <c r="M82" i="10"/>
  <c r="L82" i="10"/>
  <c r="K82" i="10"/>
  <c r="J82" i="10"/>
  <c r="A82" i="10"/>
  <c r="Q81" i="10"/>
  <c r="P81" i="10"/>
  <c r="O81" i="10"/>
  <c r="N81" i="10"/>
  <c r="M81" i="10"/>
  <c r="L81" i="10"/>
  <c r="K81" i="10"/>
  <c r="J81" i="10"/>
  <c r="A81" i="10"/>
  <c r="Q80" i="10"/>
  <c r="P80" i="10"/>
  <c r="O80" i="10"/>
  <c r="N80" i="10"/>
  <c r="M80" i="10"/>
  <c r="L80" i="10"/>
  <c r="K80" i="10"/>
  <c r="J80" i="10"/>
  <c r="A80" i="10"/>
  <c r="Q79" i="10"/>
  <c r="P79" i="10"/>
  <c r="O79" i="10"/>
  <c r="N79" i="10"/>
  <c r="M79" i="10"/>
  <c r="L79" i="10"/>
  <c r="K79" i="10"/>
  <c r="J79" i="10"/>
  <c r="A79" i="10"/>
  <c r="Q78" i="10"/>
  <c r="P78" i="10"/>
  <c r="O78" i="10"/>
  <c r="N78" i="10"/>
  <c r="M78" i="10"/>
  <c r="L78" i="10"/>
  <c r="K78" i="10"/>
  <c r="J78" i="10"/>
  <c r="A78" i="10"/>
  <c r="Q77" i="10"/>
  <c r="P77" i="10"/>
  <c r="O77" i="10"/>
  <c r="N77" i="10"/>
  <c r="M77" i="10"/>
  <c r="L77" i="10"/>
  <c r="K77" i="10"/>
  <c r="J77" i="10"/>
  <c r="A77" i="10"/>
  <c r="Q76" i="10"/>
  <c r="P76" i="10"/>
  <c r="O76" i="10"/>
  <c r="N76" i="10"/>
  <c r="M76" i="10"/>
  <c r="L76" i="10"/>
  <c r="K76" i="10"/>
  <c r="J76" i="10"/>
  <c r="A76" i="10"/>
  <c r="Q75" i="10"/>
  <c r="P75" i="10"/>
  <c r="O75" i="10"/>
  <c r="N75" i="10"/>
  <c r="M75" i="10"/>
  <c r="L75" i="10"/>
  <c r="K75" i="10"/>
  <c r="J75" i="10"/>
  <c r="A75" i="10"/>
  <c r="Q74" i="10"/>
  <c r="P74" i="10"/>
  <c r="O74" i="10"/>
  <c r="N74" i="10"/>
  <c r="M74" i="10"/>
  <c r="L74" i="10"/>
  <c r="K74" i="10"/>
  <c r="J74" i="10"/>
  <c r="A74" i="10"/>
  <c r="Q73" i="10"/>
  <c r="P73" i="10"/>
  <c r="O73" i="10"/>
  <c r="N73" i="10"/>
  <c r="M73" i="10"/>
  <c r="L73" i="10"/>
  <c r="K73" i="10"/>
  <c r="J73" i="10"/>
  <c r="A73" i="10"/>
  <c r="Q72" i="10"/>
  <c r="P72" i="10"/>
  <c r="O72" i="10"/>
  <c r="N72" i="10"/>
  <c r="M72" i="10"/>
  <c r="L72" i="10"/>
  <c r="K72" i="10"/>
  <c r="J72" i="10"/>
  <c r="A72" i="10"/>
  <c r="Q71" i="10"/>
  <c r="P71" i="10"/>
  <c r="O71" i="10"/>
  <c r="N71" i="10"/>
  <c r="M71" i="10"/>
  <c r="L71" i="10"/>
  <c r="K71" i="10"/>
  <c r="J71" i="10"/>
  <c r="A71" i="10"/>
  <c r="Q70" i="10"/>
  <c r="P70" i="10"/>
  <c r="O70" i="10"/>
  <c r="N70" i="10"/>
  <c r="M70" i="10"/>
  <c r="L70" i="10"/>
  <c r="K70" i="10"/>
  <c r="J70" i="10"/>
  <c r="A70" i="10"/>
  <c r="Q69" i="10"/>
  <c r="P69" i="10"/>
  <c r="O69" i="10"/>
  <c r="N69" i="10"/>
  <c r="M69" i="10"/>
  <c r="L69" i="10"/>
  <c r="K69" i="10"/>
  <c r="J69" i="10"/>
  <c r="A69" i="10"/>
  <c r="Q68" i="10"/>
  <c r="P68" i="10"/>
  <c r="O68" i="10"/>
  <c r="N68" i="10"/>
  <c r="M68" i="10"/>
  <c r="L68" i="10"/>
  <c r="K68" i="10"/>
  <c r="J68" i="10"/>
  <c r="A68" i="10"/>
  <c r="Q67" i="10"/>
  <c r="P67" i="10"/>
  <c r="O67" i="10"/>
  <c r="N67" i="10"/>
  <c r="M67" i="10"/>
  <c r="L67" i="10"/>
  <c r="K67" i="10"/>
  <c r="J67" i="10"/>
  <c r="A67" i="10"/>
  <c r="Q66" i="10"/>
  <c r="P66" i="10"/>
  <c r="O66" i="10"/>
  <c r="N66" i="10"/>
  <c r="M66" i="10"/>
  <c r="L66" i="10"/>
  <c r="K66" i="10"/>
  <c r="J66" i="10"/>
  <c r="A66" i="10"/>
  <c r="Q65" i="10"/>
  <c r="P65" i="10"/>
  <c r="O65" i="10"/>
  <c r="N65" i="10"/>
  <c r="M65" i="10"/>
  <c r="L65" i="10"/>
  <c r="K65" i="10"/>
  <c r="J65" i="10"/>
  <c r="A65" i="10"/>
  <c r="Q64" i="10"/>
  <c r="P64" i="10"/>
  <c r="O64" i="10"/>
  <c r="N64" i="10"/>
  <c r="M64" i="10"/>
  <c r="L64" i="10"/>
  <c r="K64" i="10"/>
  <c r="J64" i="10"/>
  <c r="A64" i="10"/>
  <c r="Q63" i="10"/>
  <c r="P63" i="10"/>
  <c r="O63" i="10"/>
  <c r="N63" i="10"/>
  <c r="M63" i="10"/>
  <c r="L63" i="10"/>
  <c r="K63" i="10"/>
  <c r="J63" i="10"/>
  <c r="A63" i="10"/>
  <c r="Q62" i="10"/>
  <c r="P62" i="10"/>
  <c r="O62" i="10"/>
  <c r="N62" i="10"/>
  <c r="M62" i="10"/>
  <c r="L62" i="10"/>
  <c r="K62" i="10"/>
  <c r="J62" i="10"/>
  <c r="A62" i="10"/>
  <c r="Q61" i="10"/>
  <c r="P61" i="10"/>
  <c r="O61" i="10"/>
  <c r="N61" i="10"/>
  <c r="M61" i="10"/>
  <c r="L61" i="10"/>
  <c r="K61" i="10"/>
  <c r="J61" i="10"/>
  <c r="A61" i="10"/>
  <c r="Q60" i="10"/>
  <c r="P60" i="10"/>
  <c r="O60" i="10"/>
  <c r="N60" i="10"/>
  <c r="M60" i="10"/>
  <c r="L60" i="10"/>
  <c r="K60" i="10"/>
  <c r="J60" i="10"/>
  <c r="A60" i="10"/>
  <c r="Q59" i="10"/>
  <c r="P59" i="10"/>
  <c r="O59" i="10"/>
  <c r="N59" i="10"/>
  <c r="M59" i="10"/>
  <c r="L59" i="10"/>
  <c r="K59" i="10"/>
  <c r="J59" i="10"/>
  <c r="A59" i="10"/>
  <c r="Q58" i="10"/>
  <c r="P58" i="10"/>
  <c r="O58" i="10"/>
  <c r="N58" i="10"/>
  <c r="M58" i="10"/>
  <c r="L58" i="10"/>
  <c r="K58" i="10"/>
  <c r="J58" i="10"/>
  <c r="A58" i="10"/>
  <c r="Q57" i="10"/>
  <c r="P57" i="10"/>
  <c r="O57" i="10"/>
  <c r="N57" i="10"/>
  <c r="M57" i="10"/>
  <c r="L57" i="10"/>
  <c r="K57" i="10"/>
  <c r="J57" i="10"/>
  <c r="A57" i="10"/>
  <c r="Q56" i="10"/>
  <c r="P56" i="10"/>
  <c r="O56" i="10"/>
  <c r="N56" i="10"/>
  <c r="M56" i="10"/>
  <c r="L56" i="10"/>
  <c r="K56" i="10"/>
  <c r="J56" i="10"/>
  <c r="A56" i="10"/>
  <c r="Q55" i="10"/>
  <c r="P55" i="10"/>
  <c r="O55" i="10"/>
  <c r="N55" i="10"/>
  <c r="M55" i="10"/>
  <c r="L55" i="10"/>
  <c r="K55" i="10"/>
  <c r="J55" i="10"/>
  <c r="A55" i="10"/>
  <c r="Q54" i="10"/>
  <c r="P54" i="10"/>
  <c r="O54" i="10"/>
  <c r="N54" i="10"/>
  <c r="M54" i="10"/>
  <c r="L54" i="10"/>
  <c r="K54" i="10"/>
  <c r="J54" i="10"/>
  <c r="A54" i="10"/>
  <c r="Q53" i="10"/>
  <c r="P53" i="10"/>
  <c r="O53" i="10"/>
  <c r="N53" i="10"/>
  <c r="M53" i="10"/>
  <c r="L53" i="10"/>
  <c r="K53" i="10"/>
  <c r="J53" i="10"/>
  <c r="A53" i="10"/>
  <c r="Q52" i="10"/>
  <c r="P52" i="10"/>
  <c r="O52" i="10"/>
  <c r="N52" i="10"/>
  <c r="M52" i="10"/>
  <c r="L52" i="10"/>
  <c r="K52" i="10"/>
  <c r="J52" i="10"/>
  <c r="A52" i="10"/>
  <c r="Q51" i="10"/>
  <c r="P51" i="10"/>
  <c r="O51" i="10"/>
  <c r="N51" i="10"/>
  <c r="M51" i="10"/>
  <c r="L51" i="10"/>
  <c r="K51" i="10"/>
  <c r="J51" i="10"/>
  <c r="A51" i="10"/>
  <c r="Q50" i="10"/>
  <c r="P50" i="10"/>
  <c r="O50" i="10"/>
  <c r="N50" i="10"/>
  <c r="M50" i="10"/>
  <c r="L50" i="10"/>
  <c r="K50" i="10"/>
  <c r="J50" i="10"/>
  <c r="A50" i="10"/>
  <c r="Q49" i="10"/>
  <c r="P49" i="10"/>
  <c r="O49" i="10"/>
  <c r="N49" i="10"/>
  <c r="M49" i="10"/>
  <c r="L49" i="10"/>
  <c r="K49" i="10"/>
  <c r="J49" i="10"/>
  <c r="A49" i="10"/>
  <c r="Q48" i="10"/>
  <c r="P48" i="10"/>
  <c r="O48" i="10"/>
  <c r="N48" i="10"/>
  <c r="M48" i="10"/>
  <c r="L48" i="10"/>
  <c r="K48" i="10"/>
  <c r="J48" i="10"/>
  <c r="A48" i="10"/>
  <c r="Q47" i="10"/>
  <c r="P47" i="10"/>
  <c r="O47" i="10"/>
  <c r="N47" i="10"/>
  <c r="M47" i="10"/>
  <c r="L47" i="10"/>
  <c r="K47" i="10"/>
  <c r="J47" i="10"/>
  <c r="A47" i="10"/>
  <c r="Q46" i="10"/>
  <c r="P46" i="10"/>
  <c r="O46" i="10"/>
  <c r="N46" i="10"/>
  <c r="M46" i="10"/>
  <c r="L46" i="10"/>
  <c r="K46" i="10"/>
  <c r="J46" i="10"/>
  <c r="A46" i="10"/>
  <c r="Q45" i="10"/>
  <c r="P45" i="10"/>
  <c r="O45" i="10"/>
  <c r="N45" i="10"/>
  <c r="M45" i="10"/>
  <c r="L45" i="10"/>
  <c r="K45" i="10"/>
  <c r="J45" i="10"/>
  <c r="A45" i="10"/>
  <c r="Q44" i="10"/>
  <c r="P44" i="10"/>
  <c r="O44" i="10"/>
  <c r="N44" i="10"/>
  <c r="M44" i="10"/>
  <c r="L44" i="10"/>
  <c r="K44" i="10"/>
  <c r="J44" i="10"/>
  <c r="A44" i="10"/>
  <c r="Q43" i="10"/>
  <c r="P43" i="10"/>
  <c r="O43" i="10"/>
  <c r="N43" i="10"/>
  <c r="M43" i="10"/>
  <c r="L43" i="10"/>
  <c r="K43" i="10"/>
  <c r="J43" i="10"/>
  <c r="A43" i="10"/>
  <c r="Q42" i="10"/>
  <c r="P42" i="10"/>
  <c r="O42" i="10"/>
  <c r="N42" i="10"/>
  <c r="M42" i="10"/>
  <c r="L42" i="10"/>
  <c r="K42" i="10"/>
  <c r="J42" i="10"/>
  <c r="A42" i="10"/>
  <c r="Q41" i="10"/>
  <c r="P41" i="10"/>
  <c r="O41" i="10"/>
  <c r="N41" i="10"/>
  <c r="M41" i="10"/>
  <c r="L41" i="10"/>
  <c r="K41" i="10"/>
  <c r="J41" i="10"/>
  <c r="A41" i="10"/>
  <c r="Q40" i="10"/>
  <c r="P40" i="10"/>
  <c r="O40" i="10"/>
  <c r="N40" i="10"/>
  <c r="M40" i="10"/>
  <c r="L40" i="10"/>
  <c r="K40" i="10"/>
  <c r="J40" i="10"/>
  <c r="A40" i="10"/>
  <c r="Q39" i="10"/>
  <c r="P39" i="10"/>
  <c r="O39" i="10"/>
  <c r="N39" i="10"/>
  <c r="M39" i="10"/>
  <c r="L39" i="10"/>
  <c r="K39" i="10"/>
  <c r="J39" i="10"/>
  <c r="A39" i="10"/>
  <c r="Q38" i="10"/>
  <c r="P38" i="10"/>
  <c r="O38" i="10"/>
  <c r="N38" i="10"/>
  <c r="M38" i="10"/>
  <c r="L38" i="10"/>
  <c r="K38" i="10"/>
  <c r="J38" i="10"/>
  <c r="A38" i="10"/>
  <c r="Q37" i="10"/>
  <c r="P37" i="10"/>
  <c r="O37" i="10"/>
  <c r="N37" i="10"/>
  <c r="M37" i="10"/>
  <c r="L37" i="10"/>
  <c r="K37" i="10"/>
  <c r="J37" i="10"/>
  <c r="A37" i="10"/>
  <c r="Q36" i="10"/>
  <c r="P36" i="10"/>
  <c r="O36" i="10"/>
  <c r="N36" i="10"/>
  <c r="M36" i="10"/>
  <c r="L36" i="10"/>
  <c r="K36" i="10"/>
  <c r="J36" i="10"/>
  <c r="A36" i="10"/>
  <c r="Q35" i="10"/>
  <c r="P35" i="10"/>
  <c r="O35" i="10"/>
  <c r="N35" i="10"/>
  <c r="M35" i="10"/>
  <c r="L35" i="10"/>
  <c r="K35" i="10"/>
  <c r="J35" i="10"/>
  <c r="A35" i="10"/>
  <c r="Q34" i="10"/>
  <c r="P34" i="10"/>
  <c r="O34" i="10"/>
  <c r="N34" i="10"/>
  <c r="M34" i="10"/>
  <c r="L34" i="10"/>
  <c r="K34" i="10"/>
  <c r="J34" i="10"/>
  <c r="A34" i="10"/>
  <c r="Q33" i="10"/>
  <c r="P33" i="10"/>
  <c r="O33" i="10"/>
  <c r="N33" i="10"/>
  <c r="M33" i="10"/>
  <c r="L33" i="10"/>
  <c r="K33" i="10"/>
  <c r="J33" i="10"/>
  <c r="A33" i="10"/>
  <c r="Q32" i="10"/>
  <c r="P32" i="10"/>
  <c r="O32" i="10"/>
  <c r="N32" i="10"/>
  <c r="M32" i="10"/>
  <c r="L32" i="10"/>
  <c r="K32" i="10"/>
  <c r="J32" i="10"/>
  <c r="A32" i="10"/>
  <c r="Q31" i="10"/>
  <c r="P31" i="10"/>
  <c r="O31" i="10"/>
  <c r="N31" i="10"/>
  <c r="M31" i="10"/>
  <c r="L31" i="10"/>
  <c r="K31" i="10"/>
  <c r="J31" i="10"/>
  <c r="A31" i="10"/>
  <c r="Q30" i="10"/>
  <c r="P30" i="10"/>
  <c r="O30" i="10"/>
  <c r="N30" i="10"/>
  <c r="M30" i="10"/>
  <c r="L30" i="10"/>
  <c r="K30" i="10"/>
  <c r="J30" i="10"/>
  <c r="A30" i="10"/>
  <c r="Q29" i="10"/>
  <c r="P29" i="10"/>
  <c r="O29" i="10"/>
  <c r="N29" i="10"/>
  <c r="M29" i="10"/>
  <c r="L29" i="10"/>
  <c r="K29" i="10"/>
  <c r="J29" i="10"/>
  <c r="A29" i="10"/>
  <c r="Q28" i="10"/>
  <c r="P28" i="10"/>
  <c r="O28" i="10"/>
  <c r="N28" i="10"/>
  <c r="M28" i="10"/>
  <c r="L28" i="10"/>
  <c r="K28" i="10"/>
  <c r="J28" i="10"/>
  <c r="A28" i="10"/>
  <c r="Q27" i="10"/>
  <c r="P27" i="10"/>
  <c r="O27" i="10"/>
  <c r="N27" i="10"/>
  <c r="M27" i="10"/>
  <c r="L27" i="10"/>
  <c r="K27" i="10"/>
  <c r="J27" i="10"/>
  <c r="A27" i="10"/>
  <c r="Q26" i="10"/>
  <c r="P26" i="10"/>
  <c r="O26" i="10"/>
  <c r="N26" i="10"/>
  <c r="M26" i="10"/>
  <c r="L26" i="10"/>
  <c r="K26" i="10"/>
  <c r="J26" i="10"/>
  <c r="A26" i="10"/>
  <c r="Q25" i="10"/>
  <c r="P25" i="10"/>
  <c r="O25" i="10"/>
  <c r="N25" i="10"/>
  <c r="M25" i="10"/>
  <c r="L25" i="10"/>
  <c r="K25" i="10"/>
  <c r="J25" i="10"/>
  <c r="A25" i="10"/>
  <c r="Q24" i="10"/>
  <c r="P24" i="10"/>
  <c r="O24" i="10"/>
  <c r="N24" i="10"/>
  <c r="M24" i="10"/>
  <c r="L24" i="10"/>
  <c r="K24" i="10"/>
  <c r="J24" i="10"/>
  <c r="A24" i="10"/>
  <c r="Q23" i="10"/>
  <c r="P23" i="10"/>
  <c r="O23" i="10"/>
  <c r="N23" i="10"/>
  <c r="M23" i="10"/>
  <c r="L23" i="10"/>
  <c r="K23" i="10"/>
  <c r="J23" i="10"/>
  <c r="A23" i="10"/>
  <c r="Q22" i="10"/>
  <c r="P22" i="10"/>
  <c r="O22" i="10"/>
  <c r="N22" i="10"/>
  <c r="M22" i="10"/>
  <c r="L22" i="10"/>
  <c r="K22" i="10"/>
  <c r="J22" i="10"/>
  <c r="A22" i="10"/>
  <c r="Q21" i="10"/>
  <c r="P21" i="10"/>
  <c r="O21" i="10"/>
  <c r="N21" i="10"/>
  <c r="M21" i="10"/>
  <c r="L21" i="10"/>
  <c r="K21" i="10"/>
  <c r="J21" i="10"/>
  <c r="A21" i="10"/>
  <c r="Q20" i="10"/>
  <c r="P20" i="10"/>
  <c r="O20" i="10"/>
  <c r="N20" i="10"/>
  <c r="M20" i="10"/>
  <c r="L20" i="10"/>
  <c r="K20" i="10"/>
  <c r="J20" i="10"/>
  <c r="A20" i="10"/>
  <c r="Q19" i="10"/>
  <c r="P19" i="10"/>
  <c r="O19" i="10"/>
  <c r="N19" i="10"/>
  <c r="M19" i="10"/>
  <c r="L19" i="10"/>
  <c r="K19" i="10"/>
  <c r="J19" i="10"/>
  <c r="A19" i="10"/>
  <c r="Q18" i="10"/>
  <c r="P18" i="10"/>
  <c r="O18" i="10"/>
  <c r="N18" i="10"/>
  <c r="M18" i="10"/>
  <c r="L18" i="10"/>
  <c r="K18" i="10"/>
  <c r="J18" i="10"/>
  <c r="A18" i="10"/>
  <c r="Q17" i="10"/>
  <c r="P17" i="10"/>
  <c r="O17" i="10"/>
  <c r="N17" i="10"/>
  <c r="M17" i="10"/>
  <c r="L17" i="10"/>
  <c r="K17" i="10"/>
  <c r="J17" i="10"/>
  <c r="A17" i="10"/>
  <c r="Q16" i="10"/>
  <c r="P16" i="10"/>
  <c r="O16" i="10"/>
  <c r="N16" i="10"/>
  <c r="M16" i="10"/>
  <c r="L16" i="10"/>
  <c r="K16" i="10"/>
  <c r="J16" i="10"/>
  <c r="A16" i="10"/>
  <c r="Q15" i="10"/>
  <c r="P15" i="10"/>
  <c r="O15" i="10"/>
  <c r="N15" i="10"/>
  <c r="M15" i="10"/>
  <c r="L15" i="10"/>
  <c r="K15" i="10"/>
  <c r="J15" i="10"/>
  <c r="A15" i="10"/>
  <c r="Q14" i="10"/>
  <c r="P14" i="10"/>
  <c r="O14" i="10"/>
  <c r="N14" i="10"/>
  <c r="M14" i="10"/>
  <c r="L14" i="10"/>
  <c r="K14" i="10"/>
  <c r="J14" i="10"/>
  <c r="A14" i="10"/>
  <c r="Q13" i="10"/>
  <c r="P13" i="10"/>
  <c r="O13" i="10"/>
  <c r="N13" i="10"/>
  <c r="M13" i="10"/>
  <c r="L13" i="10"/>
  <c r="K13" i="10"/>
  <c r="J13" i="10"/>
  <c r="A13" i="10"/>
  <c r="Q12" i="10"/>
  <c r="P12" i="10"/>
  <c r="O12" i="10"/>
  <c r="N12" i="10"/>
  <c r="M12" i="10"/>
  <c r="L12" i="10"/>
  <c r="K12" i="10"/>
  <c r="J12" i="10"/>
  <c r="A12" i="10"/>
  <c r="Q11" i="10"/>
  <c r="P11" i="10"/>
  <c r="O11" i="10"/>
  <c r="N11" i="10"/>
  <c r="M11" i="10"/>
  <c r="L11" i="10"/>
  <c r="K11" i="10"/>
  <c r="J11" i="10"/>
  <c r="A11" i="10"/>
  <c r="Q10" i="10"/>
  <c r="P10" i="10"/>
  <c r="O10" i="10"/>
  <c r="N10" i="10"/>
  <c r="M10" i="10"/>
  <c r="L10" i="10"/>
  <c r="K10" i="10"/>
  <c r="J10" i="10"/>
  <c r="A10" i="10"/>
  <c r="Q9" i="10"/>
  <c r="P9" i="10"/>
  <c r="O9" i="10"/>
  <c r="N9" i="10"/>
  <c r="M9" i="10"/>
  <c r="L9" i="10"/>
  <c r="K9" i="10"/>
  <c r="J9" i="10"/>
  <c r="A9" i="10"/>
  <c r="Q8" i="10"/>
  <c r="P8" i="10"/>
  <c r="O8" i="10"/>
  <c r="N8" i="10"/>
  <c r="M8" i="10"/>
  <c r="L8" i="10"/>
  <c r="K8" i="10"/>
  <c r="J8" i="10"/>
  <c r="A8" i="10"/>
  <c r="Q7" i="10"/>
  <c r="P7" i="10"/>
  <c r="O7" i="10"/>
  <c r="N7" i="10"/>
  <c r="M7" i="10"/>
  <c r="L7" i="10"/>
  <c r="K7" i="10"/>
  <c r="J7" i="10"/>
  <c r="A7" i="10"/>
  <c r="Q6" i="10"/>
  <c r="P6" i="10"/>
  <c r="O6" i="10"/>
  <c r="N6" i="10"/>
  <c r="M6" i="10"/>
  <c r="L6" i="10"/>
  <c r="K6" i="10"/>
  <c r="J6" i="10"/>
  <c r="A6" i="10"/>
  <c r="Q5" i="10"/>
  <c r="P5" i="10"/>
  <c r="O5" i="10"/>
  <c r="N5" i="10"/>
  <c r="M5" i="10"/>
  <c r="L5" i="10"/>
  <c r="K5" i="10"/>
  <c r="J5" i="10"/>
  <c r="A5" i="10"/>
  <c r="Q4" i="10"/>
  <c r="P4" i="10"/>
  <c r="O4" i="10"/>
  <c r="N4" i="10"/>
  <c r="M4" i="10"/>
  <c r="L4" i="10"/>
  <c r="K4" i="10"/>
  <c r="J4" i="10"/>
  <c r="A4" i="10"/>
  <c r="K746" i="1"/>
  <c r="K760" i="1" s="1"/>
  <c r="K734" i="1"/>
  <c r="K735" i="1" s="1"/>
  <c r="K736" i="1" s="1"/>
  <c r="K737" i="1" s="1"/>
  <c r="K738" i="1" s="1"/>
  <c r="K739" i="1" s="1"/>
  <c r="K740" i="1" s="1"/>
  <c r="K741" i="1" s="1"/>
  <c r="K742" i="1" s="1"/>
  <c r="K733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K33" i="1"/>
  <c r="K34" i="1" s="1"/>
  <c r="J33" i="1"/>
  <c r="D33" i="1"/>
  <c r="D32" i="1"/>
  <c r="D31" i="1"/>
  <c r="D30" i="1"/>
  <c r="D29" i="1"/>
  <c r="D28" i="1"/>
  <c r="D27" i="1"/>
  <c r="D26" i="1"/>
  <c r="D25" i="1"/>
  <c r="D24" i="1"/>
  <c r="D23" i="1"/>
  <c r="D22" i="1"/>
  <c r="K21" i="1"/>
  <c r="K22" i="1" s="1"/>
  <c r="J22" i="1" s="1"/>
  <c r="J21" i="1"/>
  <c r="D21" i="1"/>
  <c r="K20" i="1"/>
  <c r="J20" i="1" s="1"/>
  <c r="D20" i="1"/>
  <c r="K19" i="1"/>
  <c r="J19" i="1"/>
  <c r="D19" i="1"/>
  <c r="K18" i="1"/>
  <c r="K32" i="1" s="1"/>
  <c r="J18" i="1"/>
  <c r="D18" i="1"/>
  <c r="D17" i="1"/>
  <c r="D16" i="1"/>
  <c r="D15" i="1"/>
  <c r="D14" i="1"/>
  <c r="D13" i="1"/>
  <c r="D12" i="1"/>
  <c r="D11" i="1"/>
  <c r="D10" i="1"/>
  <c r="D9" i="1"/>
  <c r="D8" i="1"/>
  <c r="D7" i="1"/>
  <c r="K6" i="1"/>
  <c r="K7" i="1" s="1"/>
  <c r="J6" i="1"/>
  <c r="D6" i="1"/>
  <c r="K5" i="1"/>
  <c r="J5" i="1"/>
  <c r="D5" i="1"/>
  <c r="J4" i="1"/>
  <c r="D4" i="1"/>
  <c r="B54" i="10" l="1"/>
  <c r="C12" i="10"/>
  <c r="C24" i="10"/>
  <c r="B66" i="10"/>
  <c r="C11" i="10"/>
  <c r="C15" i="10"/>
  <c r="C10" i="10"/>
  <c r="C51" i="10"/>
  <c r="B84" i="10"/>
  <c r="C13" i="10"/>
  <c r="B23" i="10"/>
  <c r="B96" i="10"/>
  <c r="B18" i="10"/>
  <c r="C19" i="10"/>
  <c r="B30" i="10"/>
  <c r="C31" i="10"/>
  <c r="C39" i="10"/>
  <c r="B13" i="10"/>
  <c r="C21" i="10"/>
  <c r="B22" i="10"/>
  <c r="C36" i="10"/>
  <c r="C14" i="10"/>
  <c r="C23" i="10"/>
  <c r="C55" i="10"/>
  <c r="C4" i="10"/>
  <c r="C7" i="10"/>
  <c r="B9" i="10"/>
  <c r="C9" i="10"/>
  <c r="C6" i="10"/>
  <c r="C5" i="10"/>
  <c r="C8" i="10"/>
  <c r="B5" i="10"/>
  <c r="K8" i="1"/>
  <c r="J7" i="1"/>
  <c r="K35" i="1"/>
  <c r="J34" i="1"/>
  <c r="J32" i="1"/>
  <c r="K46" i="1"/>
  <c r="K23" i="1"/>
  <c r="B6" i="10"/>
  <c r="B10" i="10"/>
  <c r="B14" i="10"/>
  <c r="K761" i="1"/>
  <c r="K762" i="1" s="1"/>
  <c r="K763" i="1" s="1"/>
  <c r="K764" i="1" s="1"/>
  <c r="K765" i="1" s="1"/>
  <c r="K766" i="1" s="1"/>
  <c r="K767" i="1" s="1"/>
  <c r="K768" i="1" s="1"/>
  <c r="K769" i="1" s="1"/>
  <c r="K770" i="1" s="1"/>
  <c r="K774" i="1"/>
  <c r="K747" i="1"/>
  <c r="K748" i="1" s="1"/>
  <c r="K749" i="1" s="1"/>
  <c r="K750" i="1" s="1"/>
  <c r="K751" i="1" s="1"/>
  <c r="K752" i="1" s="1"/>
  <c r="K753" i="1" s="1"/>
  <c r="K754" i="1" s="1"/>
  <c r="K755" i="1" s="1"/>
  <c r="K756" i="1" s="1"/>
  <c r="B4" i="10"/>
  <c r="B8" i="10"/>
  <c r="B12" i="10"/>
  <c r="E12" i="10" s="1"/>
  <c r="B25" i="10"/>
  <c r="B7" i="10"/>
  <c r="B11" i="10"/>
  <c r="B38" i="10"/>
  <c r="B167" i="10"/>
  <c r="C38" i="10"/>
  <c r="C43" i="10"/>
  <c r="B35" i="10"/>
  <c r="C18" i="10"/>
  <c r="E18" i="10" s="1"/>
  <c r="B37" i="10"/>
  <c r="B78" i="10"/>
  <c r="B42" i="10"/>
  <c r="B203" i="10"/>
  <c r="C17" i="10"/>
  <c r="B90" i="10"/>
  <c r="B20" i="10"/>
  <c r="C27" i="10"/>
  <c r="B60" i="10"/>
  <c r="C33" i="10"/>
  <c r="C22" i="10"/>
  <c r="C35" i="10"/>
  <c r="C25" i="10"/>
  <c r="B26" i="10"/>
  <c r="B50" i="10"/>
  <c r="C26" i="10"/>
  <c r="C50" i="10"/>
  <c r="B72" i="10"/>
  <c r="B49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2" i="10"/>
  <c r="C420" i="10"/>
  <c r="C408" i="10"/>
  <c r="C396" i="10"/>
  <c r="C384" i="10"/>
  <c r="C372" i="10"/>
  <c r="C433" i="10"/>
  <c r="C421" i="10"/>
  <c r="C409" i="10"/>
  <c r="C397" i="10"/>
  <c r="C385" i="10"/>
  <c r="C373" i="10"/>
  <c r="C434" i="10"/>
  <c r="C422" i="10"/>
  <c r="C410" i="10"/>
  <c r="C398" i="10"/>
  <c r="C386" i="10"/>
  <c r="C374" i="10"/>
  <c r="C435" i="10"/>
  <c r="C423" i="10"/>
  <c r="C411" i="10"/>
  <c r="C399" i="10"/>
  <c r="C387" i="10"/>
  <c r="C375" i="10"/>
  <c r="C424" i="10"/>
  <c r="C412" i="10"/>
  <c r="C400" i="10"/>
  <c r="C388" i="10"/>
  <c r="C376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425" i="10"/>
  <c r="C413" i="10"/>
  <c r="C401" i="10"/>
  <c r="C389" i="10"/>
  <c r="C377" i="10"/>
  <c r="C426" i="10"/>
  <c r="C414" i="10"/>
  <c r="C402" i="10"/>
  <c r="C390" i="10"/>
  <c r="C378" i="10"/>
  <c r="C366" i="10"/>
  <c r="C427" i="10"/>
  <c r="C415" i="10"/>
  <c r="C403" i="10"/>
  <c r="C428" i="10"/>
  <c r="C416" i="10"/>
  <c r="C404" i="10"/>
  <c r="C392" i="10"/>
  <c r="C380" i="10"/>
  <c r="C368" i="10"/>
  <c r="C429" i="10"/>
  <c r="C417" i="10"/>
  <c r="C405" i="10"/>
  <c r="C393" i="10"/>
  <c r="C381" i="10"/>
  <c r="C430" i="10"/>
  <c r="C418" i="10"/>
  <c r="C406" i="10"/>
  <c r="C394" i="10"/>
  <c r="C382" i="10"/>
  <c r="C370" i="10"/>
  <c r="C419" i="10"/>
  <c r="C371" i="10"/>
  <c r="C365" i="10"/>
  <c r="C407" i="10"/>
  <c r="C395" i="10"/>
  <c r="C367" i="10"/>
  <c r="C391" i="10"/>
  <c r="C383" i="10"/>
  <c r="C369" i="10"/>
  <c r="C272" i="10"/>
  <c r="C260" i="10"/>
  <c r="C248" i="10"/>
  <c r="C236" i="10"/>
  <c r="C291" i="10"/>
  <c r="C285" i="10"/>
  <c r="C279" i="10"/>
  <c r="C273" i="10"/>
  <c r="C261" i="10"/>
  <c r="C249" i="10"/>
  <c r="C237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262" i="10"/>
  <c r="C250" i="10"/>
  <c r="C238" i="10"/>
  <c r="C292" i="10"/>
  <c r="C286" i="10"/>
  <c r="C280" i="10"/>
  <c r="C274" i="10"/>
  <c r="C263" i="10"/>
  <c r="C251" i="10"/>
  <c r="C239" i="10"/>
  <c r="C227" i="10"/>
  <c r="C264" i="10"/>
  <c r="C252" i="10"/>
  <c r="C240" i="10"/>
  <c r="C293" i="10"/>
  <c r="C287" i="10"/>
  <c r="C281" i="10"/>
  <c r="C275" i="10"/>
  <c r="C265" i="10"/>
  <c r="C253" i="10"/>
  <c r="C241" i="10"/>
  <c r="C229" i="10"/>
  <c r="C431" i="10"/>
  <c r="C266" i="10"/>
  <c r="C254" i="10"/>
  <c r="C242" i="10"/>
  <c r="C230" i="10"/>
  <c r="C294" i="10"/>
  <c r="C288" i="10"/>
  <c r="C282" i="10"/>
  <c r="C276" i="10"/>
  <c r="C267" i="10"/>
  <c r="C379" i="10"/>
  <c r="C268" i="10"/>
  <c r="C256" i="10"/>
  <c r="C244" i="10"/>
  <c r="C232" i="10"/>
  <c r="C296" i="10"/>
  <c r="C290" i="10"/>
  <c r="C284" i="10"/>
  <c r="C278" i="10"/>
  <c r="C271" i="10"/>
  <c r="C259" i="10"/>
  <c r="C247" i="10"/>
  <c r="C235" i="10"/>
  <c r="C245" i="10"/>
  <c r="C295" i="10"/>
  <c r="C269" i="10"/>
  <c r="C255" i="10"/>
  <c r="C246" i="10"/>
  <c r="C231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E66" i="10" s="1"/>
  <c r="C65" i="10"/>
  <c r="C64" i="10"/>
  <c r="C63" i="10"/>
  <c r="C62" i="10"/>
  <c r="C61" i="10"/>
  <c r="C60" i="10"/>
  <c r="C59" i="10"/>
  <c r="C283" i="10"/>
  <c r="C226" i="10"/>
  <c r="C270" i="10"/>
  <c r="C257" i="10"/>
  <c r="C233" i="10"/>
  <c r="C228" i="10"/>
  <c r="C289" i="10"/>
  <c r="C258" i="10"/>
  <c r="C243" i="10"/>
  <c r="C234" i="10"/>
  <c r="B15" i="10"/>
  <c r="C16" i="10"/>
  <c r="B27" i="10"/>
  <c r="E27" i="10" s="1"/>
  <c r="C28" i="10"/>
  <c r="B39" i="10"/>
  <c r="E39" i="10" s="1"/>
  <c r="C40" i="10"/>
  <c r="B51" i="10"/>
  <c r="C52" i="10"/>
  <c r="B61" i="10"/>
  <c r="B67" i="10"/>
  <c r="B73" i="10"/>
  <c r="B79" i="10"/>
  <c r="B85" i="10"/>
  <c r="B91" i="10"/>
  <c r="B97" i="10"/>
  <c r="C277" i="10"/>
  <c r="B24" i="10"/>
  <c r="B36" i="10"/>
  <c r="C37" i="10"/>
  <c r="B48" i="10"/>
  <c r="C49" i="10"/>
  <c r="B215" i="10"/>
  <c r="B47" i="10"/>
  <c r="C48" i="10"/>
  <c r="B59" i="10"/>
  <c r="B65" i="10"/>
  <c r="B71" i="10"/>
  <c r="B77" i="10"/>
  <c r="B83" i="10"/>
  <c r="B89" i="10"/>
  <c r="B95" i="10"/>
  <c r="B34" i="10"/>
  <c r="B46" i="10"/>
  <c r="C47" i="10"/>
  <c r="B58" i="10"/>
  <c r="B21" i="10"/>
  <c r="E21" i="10" s="1"/>
  <c r="B33" i="10"/>
  <c r="C34" i="10"/>
  <c r="B45" i="10"/>
  <c r="C46" i="10"/>
  <c r="B57" i="10"/>
  <c r="C58" i="10"/>
  <c r="B64" i="10"/>
  <c r="B70" i="10"/>
  <c r="B76" i="10"/>
  <c r="B82" i="10"/>
  <c r="B88" i="10"/>
  <c r="B94" i="10"/>
  <c r="B32" i="10"/>
  <c r="B44" i="10"/>
  <c r="C45" i="10"/>
  <c r="B56" i="10"/>
  <c r="C57" i="10"/>
  <c r="B506" i="10"/>
  <c r="B494" i="10"/>
  <c r="B482" i="10"/>
  <c r="B470" i="10"/>
  <c r="E470" i="10" s="1"/>
  <c r="B458" i="10"/>
  <c r="B446" i="10"/>
  <c r="B507" i="10"/>
  <c r="E507" i="10" s="1"/>
  <c r="B495" i="10"/>
  <c r="E495" i="10" s="1"/>
  <c r="B483" i="10"/>
  <c r="E483" i="10" s="1"/>
  <c r="B471" i="10"/>
  <c r="E471" i="10" s="1"/>
  <c r="B459" i="10"/>
  <c r="E459" i="10" s="1"/>
  <c r="B508" i="10"/>
  <c r="B496" i="10"/>
  <c r="B484" i="10"/>
  <c r="B472" i="10"/>
  <c r="B460" i="10"/>
  <c r="B448" i="10"/>
  <c r="B436" i="10"/>
  <c r="B435" i="10"/>
  <c r="E435" i="10" s="1"/>
  <c r="B434" i="10"/>
  <c r="E434" i="10" s="1"/>
  <c r="B433" i="10"/>
  <c r="E433" i="10" s="1"/>
  <c r="B432" i="10"/>
  <c r="E432" i="10" s="1"/>
  <c r="B431" i="10"/>
  <c r="B430" i="10"/>
  <c r="B429" i="10"/>
  <c r="E429" i="10" s="1"/>
  <c r="B428" i="10"/>
  <c r="B427" i="10"/>
  <c r="E427" i="10" s="1"/>
  <c r="B426" i="10"/>
  <c r="B425" i="10"/>
  <c r="B424" i="10"/>
  <c r="E424" i="10" s="1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E393" i="10" s="1"/>
  <c r="B392" i="10"/>
  <c r="B391" i="10"/>
  <c r="B390" i="10"/>
  <c r="B389" i="10"/>
  <c r="B388" i="10"/>
  <c r="B387" i="10"/>
  <c r="B386" i="10"/>
  <c r="E386" i="10" s="1"/>
  <c r="B385" i="10"/>
  <c r="B384" i="10"/>
  <c r="E384" i="10" s="1"/>
  <c r="B383" i="10"/>
  <c r="B382" i="10"/>
  <c r="B381" i="10"/>
  <c r="B380" i="10"/>
  <c r="B379" i="10"/>
  <c r="B378" i="10"/>
  <c r="B377" i="10"/>
  <c r="B376" i="10"/>
  <c r="B375" i="10"/>
  <c r="B374" i="10"/>
  <c r="E374" i="10" s="1"/>
  <c r="B373" i="10"/>
  <c r="B372" i="10"/>
  <c r="B371" i="10"/>
  <c r="B370" i="10"/>
  <c r="B369" i="10"/>
  <c r="B368" i="10"/>
  <c r="B367" i="10"/>
  <c r="B366" i="10"/>
  <c r="B365" i="10"/>
  <c r="B509" i="10"/>
  <c r="B497" i="10"/>
  <c r="B485" i="10"/>
  <c r="B473" i="10"/>
  <c r="B461" i="10"/>
  <c r="B510" i="10"/>
  <c r="B498" i="10"/>
  <c r="B486" i="10"/>
  <c r="B474" i="10"/>
  <c r="B462" i="10"/>
  <c r="B450" i="10"/>
  <c r="B511" i="10"/>
  <c r="B499" i="10"/>
  <c r="B487" i="10"/>
  <c r="B475" i="10"/>
  <c r="B463" i="10"/>
  <c r="B512" i="10"/>
  <c r="B500" i="10"/>
  <c r="E500" i="10" s="1"/>
  <c r="B488" i="10"/>
  <c r="B476" i="10"/>
  <c r="B464" i="10"/>
  <c r="B452" i="10"/>
  <c r="B513" i="10"/>
  <c r="B501" i="10"/>
  <c r="B489" i="10"/>
  <c r="E489" i="10" s="1"/>
  <c r="B477" i="10"/>
  <c r="E477" i="10" s="1"/>
  <c r="B465" i="10"/>
  <c r="E465" i="10" s="1"/>
  <c r="B514" i="10"/>
  <c r="B502" i="10"/>
  <c r="E502" i="10" s="1"/>
  <c r="B490" i="10"/>
  <c r="E490" i="10" s="1"/>
  <c r="B478" i="10"/>
  <c r="E478" i="10" s="1"/>
  <c r="B466" i="10"/>
  <c r="E466" i="10" s="1"/>
  <c r="B515" i="10"/>
  <c r="E515" i="10" s="1"/>
  <c r="B503" i="10"/>
  <c r="E503" i="10" s="1"/>
  <c r="B491" i="10"/>
  <c r="B479" i="10"/>
  <c r="B467" i="10"/>
  <c r="E467" i="10" s="1"/>
  <c r="B455" i="10"/>
  <c r="E455" i="10" s="1"/>
  <c r="B443" i="10"/>
  <c r="E443" i="10" s="1"/>
  <c r="B505" i="10"/>
  <c r="B493" i="10"/>
  <c r="E493" i="10" s="1"/>
  <c r="B481" i="10"/>
  <c r="B469" i="10"/>
  <c r="B457" i="10"/>
  <c r="B445" i="10"/>
  <c r="B480" i="10"/>
  <c r="B454" i="10"/>
  <c r="B442" i="10"/>
  <c r="B468" i="10"/>
  <c r="B449" i="10"/>
  <c r="B444" i="10"/>
  <c r="B456" i="10"/>
  <c r="B437" i="10"/>
  <c r="B451" i="10"/>
  <c r="B438" i="10"/>
  <c r="B504" i="10"/>
  <c r="E504" i="10" s="1"/>
  <c r="B439" i="10"/>
  <c r="B440" i="10"/>
  <c r="B357" i="10"/>
  <c r="E357" i="10" s="1"/>
  <c r="B345" i="10"/>
  <c r="E345" i="10" s="1"/>
  <c r="B333" i="10"/>
  <c r="E333" i="10" s="1"/>
  <c r="B321" i="10"/>
  <c r="E321" i="10" s="1"/>
  <c r="B309" i="10"/>
  <c r="E309" i="10" s="1"/>
  <c r="B297" i="10"/>
  <c r="E297" i="10" s="1"/>
  <c r="B296" i="10"/>
  <c r="B295" i="10"/>
  <c r="B294" i="10"/>
  <c r="B293" i="10"/>
  <c r="E293" i="10" s="1"/>
  <c r="B292" i="10"/>
  <c r="B291" i="10"/>
  <c r="B290" i="10"/>
  <c r="E290" i="10" s="1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E274" i="10" s="1"/>
  <c r="B273" i="10"/>
  <c r="E273" i="10" s="1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E261" i="10" s="1"/>
  <c r="B260" i="10"/>
  <c r="E260" i="10" s="1"/>
  <c r="B259" i="10"/>
  <c r="E259" i="10" s="1"/>
  <c r="B258" i="10"/>
  <c r="B257" i="10"/>
  <c r="B256" i="10"/>
  <c r="B255" i="10"/>
  <c r="B254" i="10"/>
  <c r="B253" i="10"/>
  <c r="B252" i="10"/>
  <c r="B251" i="10"/>
  <c r="E251" i="10" s="1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E238" i="10" s="1"/>
  <c r="B237" i="10"/>
  <c r="B236" i="10"/>
  <c r="B235" i="10"/>
  <c r="E235" i="10" s="1"/>
  <c r="B234" i="10"/>
  <c r="B233" i="10"/>
  <c r="B232" i="10"/>
  <c r="B231" i="10"/>
  <c r="B230" i="10"/>
  <c r="E230" i="10" s="1"/>
  <c r="B229" i="10"/>
  <c r="B228" i="10"/>
  <c r="B227" i="10"/>
  <c r="B226" i="10"/>
  <c r="B453" i="10"/>
  <c r="E453" i="10" s="1"/>
  <c r="B358" i="10"/>
  <c r="B346" i="10"/>
  <c r="B334" i="10"/>
  <c r="B322" i="10"/>
  <c r="B310" i="10"/>
  <c r="B359" i="10"/>
  <c r="B347" i="10"/>
  <c r="B335" i="10"/>
  <c r="B323" i="10"/>
  <c r="B311" i="10"/>
  <c r="B299" i="10"/>
  <c r="B441" i="10"/>
  <c r="E441" i="10" s="1"/>
  <c r="B360" i="10"/>
  <c r="B348" i="10"/>
  <c r="B336" i="10"/>
  <c r="B324" i="10"/>
  <c r="B312" i="10"/>
  <c r="B349" i="10"/>
  <c r="B337" i="10"/>
  <c r="B325" i="10"/>
  <c r="B313" i="10"/>
  <c r="B361" i="10"/>
  <c r="B350" i="10"/>
  <c r="B338" i="10"/>
  <c r="B326" i="10"/>
  <c r="B314" i="10"/>
  <c r="E314" i="10" s="1"/>
  <c r="B351" i="10"/>
  <c r="E351" i="10" s="1"/>
  <c r="B339" i="10"/>
  <c r="E339" i="10" s="1"/>
  <c r="B327" i="10"/>
  <c r="B315" i="10"/>
  <c r="B303" i="10"/>
  <c r="B362" i="10"/>
  <c r="B352" i="10"/>
  <c r="E352" i="10" s="1"/>
  <c r="B340" i="10"/>
  <c r="E340" i="10" s="1"/>
  <c r="B328" i="10"/>
  <c r="E328" i="10" s="1"/>
  <c r="B316" i="10"/>
  <c r="E316" i="10" s="1"/>
  <c r="B447" i="10"/>
  <c r="E447" i="10" s="1"/>
  <c r="B492" i="10"/>
  <c r="B363" i="10"/>
  <c r="E363" i="10" s="1"/>
  <c r="B354" i="10"/>
  <c r="B342" i="10"/>
  <c r="B330" i="10"/>
  <c r="B318" i="10"/>
  <c r="B355" i="10"/>
  <c r="B343" i="10"/>
  <c r="B331" i="10"/>
  <c r="B319" i="10"/>
  <c r="B307" i="10"/>
  <c r="B341" i="10"/>
  <c r="E341" i="10" s="1"/>
  <c r="B364" i="10"/>
  <c r="E364" i="10" s="1"/>
  <c r="B304" i="10"/>
  <c r="E304" i="10" s="1"/>
  <c r="B356" i="10"/>
  <c r="B320" i="10"/>
  <c r="B305" i="10"/>
  <c r="B298" i="10"/>
  <c r="B329" i="10"/>
  <c r="B306" i="10"/>
  <c r="B344" i="10"/>
  <c r="B308" i="10"/>
  <c r="B300" i="10"/>
  <c r="B353" i="10"/>
  <c r="E353" i="10" s="1"/>
  <c r="B317" i="10"/>
  <c r="E317" i="10" s="1"/>
  <c r="B332" i="10"/>
  <c r="B217" i="10"/>
  <c r="E217" i="10" s="1"/>
  <c r="B205" i="10"/>
  <c r="E205" i="10" s="1"/>
  <c r="B193" i="10"/>
  <c r="E193" i="10" s="1"/>
  <c r="B181" i="10"/>
  <c r="E181" i="10" s="1"/>
  <c r="B169" i="10"/>
  <c r="E169" i="10" s="1"/>
  <c r="B225" i="10"/>
  <c r="B218" i="10"/>
  <c r="B206" i="10"/>
  <c r="B194" i="10"/>
  <c r="B182" i="10"/>
  <c r="B170" i="10"/>
  <c r="B219" i="10"/>
  <c r="B207" i="10"/>
  <c r="B195" i="10"/>
  <c r="B183" i="10"/>
  <c r="B171" i="10"/>
  <c r="B220" i="10"/>
  <c r="B208" i="10"/>
  <c r="B196" i="10"/>
  <c r="B184" i="10"/>
  <c r="B172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E148" i="10" s="1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E136" i="10" s="1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E124" i="10" s="1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E112" i="10" s="1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E100" i="10" s="1"/>
  <c r="B99" i="10"/>
  <c r="B98" i="10"/>
  <c r="B209" i="10"/>
  <c r="B197" i="10"/>
  <c r="B185" i="10"/>
  <c r="B173" i="10"/>
  <c r="B161" i="10"/>
  <c r="B221" i="10"/>
  <c r="B210" i="10"/>
  <c r="B198" i="10"/>
  <c r="B186" i="10"/>
  <c r="B174" i="10"/>
  <c r="B162" i="10"/>
  <c r="E162" i="10" s="1"/>
  <c r="B301" i="10"/>
  <c r="B211" i="10"/>
  <c r="E211" i="10" s="1"/>
  <c r="B199" i="10"/>
  <c r="B187" i="10"/>
  <c r="B175" i="10"/>
  <c r="B163" i="10"/>
  <c r="B222" i="10"/>
  <c r="B212" i="10"/>
  <c r="E212" i="10" s="1"/>
  <c r="B200" i="10"/>
  <c r="E200" i="10" s="1"/>
  <c r="B188" i="10"/>
  <c r="B176" i="10"/>
  <c r="E176" i="10" s="1"/>
  <c r="B164" i="10"/>
  <c r="E164" i="10" s="1"/>
  <c r="B302" i="10"/>
  <c r="B213" i="10"/>
  <c r="E213" i="10" s="1"/>
  <c r="B201" i="10"/>
  <c r="B189" i="10"/>
  <c r="B177" i="10"/>
  <c r="B165" i="10"/>
  <c r="B223" i="10"/>
  <c r="E223" i="10" s="1"/>
  <c r="B214" i="10"/>
  <c r="B202" i="10"/>
  <c r="B190" i="10"/>
  <c r="B178" i="10"/>
  <c r="B166" i="10"/>
  <c r="B224" i="10"/>
  <c r="E224" i="10" s="1"/>
  <c r="B216" i="10"/>
  <c r="B204" i="10"/>
  <c r="B192" i="10"/>
  <c r="B180" i="10"/>
  <c r="B168" i="10"/>
  <c r="B19" i="10"/>
  <c r="C20" i="10"/>
  <c r="B31" i="10"/>
  <c r="E31" i="10" s="1"/>
  <c r="C32" i="10"/>
  <c r="B43" i="10"/>
  <c r="E43" i="10" s="1"/>
  <c r="C44" i="10"/>
  <c r="B55" i="10"/>
  <c r="C56" i="10"/>
  <c r="B63" i="10"/>
  <c r="B69" i="10"/>
  <c r="B75" i="10"/>
  <c r="B81" i="10"/>
  <c r="B87" i="10"/>
  <c r="B93" i="10"/>
  <c r="B179" i="10"/>
  <c r="B17" i="10"/>
  <c r="B29" i="10"/>
  <c r="C30" i="10"/>
  <c r="E30" i="10" s="1"/>
  <c r="B41" i="10"/>
  <c r="C42" i="10"/>
  <c r="B53" i="10"/>
  <c r="C54" i="10"/>
  <c r="E54" i="10" s="1"/>
  <c r="B62" i="10"/>
  <c r="B68" i="10"/>
  <c r="B74" i="10"/>
  <c r="B80" i="10"/>
  <c r="B86" i="10"/>
  <c r="B92" i="10"/>
  <c r="E15" i="10"/>
  <c r="B16" i="10"/>
  <c r="B28" i="10"/>
  <c r="C29" i="10"/>
  <c r="B40" i="10"/>
  <c r="C41" i="10"/>
  <c r="B52" i="10"/>
  <c r="C53" i="10"/>
  <c r="B191" i="10"/>
  <c r="E191" i="10" s="1"/>
  <c r="J6" i="4"/>
  <c r="A33" i="2"/>
  <c r="A37" i="2"/>
  <c r="A35" i="2"/>
  <c r="A32" i="2"/>
  <c r="A36" i="2"/>
  <c r="A38" i="2"/>
  <c r="E457" i="10" l="1"/>
  <c r="E505" i="10"/>
  <c r="E263" i="10"/>
  <c r="E302" i="10"/>
  <c r="E440" i="10"/>
  <c r="E245" i="10"/>
  <c r="E476" i="10"/>
  <c r="E488" i="10"/>
  <c r="E174" i="10"/>
  <c r="E326" i="10"/>
  <c r="E248" i="10"/>
  <c r="E512" i="10"/>
  <c r="E186" i="10"/>
  <c r="E338" i="10"/>
  <c r="E421" i="10"/>
  <c r="E350" i="10"/>
  <c r="E226" i="10"/>
  <c r="E210" i="10"/>
  <c r="E239" i="10"/>
  <c r="E423" i="10"/>
  <c r="E93" i="10"/>
  <c r="E222" i="10"/>
  <c r="E198" i="10"/>
  <c r="E225" i="10"/>
  <c r="E362" i="10"/>
  <c r="E35" i="10"/>
  <c r="E376" i="10"/>
  <c r="E276" i="10"/>
  <c r="E141" i="10"/>
  <c r="E329" i="10"/>
  <c r="E229" i="10"/>
  <c r="E442" i="10"/>
  <c r="E479" i="10"/>
  <c r="E501" i="10"/>
  <c r="E163" i="10"/>
  <c r="E129" i="10"/>
  <c r="E153" i="10"/>
  <c r="E175" i="10"/>
  <c r="E303" i="10"/>
  <c r="E454" i="10"/>
  <c r="E491" i="10"/>
  <c r="E513" i="10"/>
  <c r="E154" i="10"/>
  <c r="E377" i="10"/>
  <c r="E247" i="10"/>
  <c r="E283" i="10"/>
  <c r="E241" i="10"/>
  <c r="E253" i="10"/>
  <c r="E401" i="10"/>
  <c r="E231" i="10"/>
  <c r="E395" i="10"/>
  <c r="E289" i="10"/>
  <c r="E209" i="10"/>
  <c r="E295" i="10"/>
  <c r="E451" i="10"/>
  <c r="E419" i="10"/>
  <c r="E431" i="10"/>
  <c r="E463" i="10"/>
  <c r="E409" i="10"/>
  <c r="E475" i="10"/>
  <c r="E361" i="10"/>
  <c r="E487" i="10"/>
  <c r="E411" i="10"/>
  <c r="E84" i="10"/>
  <c r="E499" i="10"/>
  <c r="E511" i="10"/>
  <c r="E337" i="10"/>
  <c r="E349" i="10"/>
  <c r="E301" i="10"/>
  <c r="E92" i="10"/>
  <c r="E236" i="10"/>
  <c r="E221" i="10"/>
  <c r="E104" i="10"/>
  <c r="E116" i="10"/>
  <c r="E128" i="10"/>
  <c r="E140" i="10"/>
  <c r="E152" i="10"/>
  <c r="E313" i="10"/>
  <c r="E325" i="10"/>
  <c r="E173" i="10"/>
  <c r="E52" i="10"/>
  <c r="E348" i="10"/>
  <c r="E510" i="10"/>
  <c r="E371" i="10"/>
  <c r="E160" i="10"/>
  <c r="E360" i="10"/>
  <c r="E26" i="10"/>
  <c r="E73" i="10"/>
  <c r="E414" i="10"/>
  <c r="E64" i="10"/>
  <c r="E50" i="10"/>
  <c r="E85" i="10"/>
  <c r="E38" i="10"/>
  <c r="E492" i="10"/>
  <c r="E178" i="10"/>
  <c r="E190" i="10"/>
  <c r="E202" i="10"/>
  <c r="E214" i="10"/>
  <c r="E20" i="10"/>
  <c r="E306" i="10"/>
  <c r="E468" i="10"/>
  <c r="E88" i="10"/>
  <c r="E76" i="10"/>
  <c r="E10" i="10"/>
  <c r="E257" i="10"/>
  <c r="E165" i="10"/>
  <c r="E265" i="10"/>
  <c r="E389" i="10"/>
  <c r="E177" i="10"/>
  <c r="E402" i="10"/>
  <c r="E426" i="10"/>
  <c r="E167" i="10"/>
  <c r="E142" i="10"/>
  <c r="E481" i="10"/>
  <c r="E24" i="10"/>
  <c r="E408" i="10"/>
  <c r="E413" i="10"/>
  <c r="E8" i="10"/>
  <c r="E117" i="10"/>
  <c r="E69" i="10"/>
  <c r="E118" i="10"/>
  <c r="E81" i="10"/>
  <c r="E105" i="10"/>
  <c r="E130" i="10"/>
  <c r="E33" i="10"/>
  <c r="E106" i="10"/>
  <c r="E189" i="10"/>
  <c r="E119" i="10"/>
  <c r="E143" i="10"/>
  <c r="E305" i="10"/>
  <c r="E452" i="10"/>
  <c r="E187" i="10"/>
  <c r="E107" i="10"/>
  <c r="E131" i="10"/>
  <c r="E155" i="10"/>
  <c r="E315" i="10"/>
  <c r="E267" i="10"/>
  <c r="E201" i="10"/>
  <c r="E199" i="10"/>
  <c r="E197" i="10"/>
  <c r="E327" i="10"/>
  <c r="E439" i="10"/>
  <c r="E445" i="10"/>
  <c r="E464" i="10"/>
  <c r="E109" i="10"/>
  <c r="E121" i="10"/>
  <c r="E133" i="10"/>
  <c r="E145" i="10"/>
  <c r="E157" i="10"/>
  <c r="E354" i="10"/>
  <c r="E166" i="10"/>
  <c r="E271" i="10"/>
  <c r="E383" i="10"/>
  <c r="E396" i="10"/>
  <c r="E237" i="10"/>
  <c r="E456" i="10"/>
  <c r="E444" i="10"/>
  <c r="E398" i="10"/>
  <c r="E275" i="10"/>
  <c r="E388" i="10"/>
  <c r="E318" i="10"/>
  <c r="E330" i="10"/>
  <c r="E480" i="10"/>
  <c r="E379" i="10"/>
  <c r="E342" i="10"/>
  <c r="E97" i="10"/>
  <c r="E310" i="10"/>
  <c r="E268" i="10"/>
  <c r="E280" i="10"/>
  <c r="E368" i="10"/>
  <c r="E380" i="10"/>
  <c r="E392" i="10"/>
  <c r="E404" i="10"/>
  <c r="E416" i="10"/>
  <c r="E428" i="10"/>
  <c r="E269" i="10"/>
  <c r="E486" i="10"/>
  <c r="E14" i="10"/>
  <c r="E82" i="10"/>
  <c r="E61" i="10"/>
  <c r="E336" i="10"/>
  <c r="E438" i="10"/>
  <c r="E498" i="10"/>
  <c r="E172" i="10"/>
  <c r="E300" i="10"/>
  <c r="E397" i="10"/>
  <c r="E184" i="10"/>
  <c r="E196" i="10"/>
  <c r="E399" i="10"/>
  <c r="E277" i="10"/>
  <c r="E220" i="10"/>
  <c r="E266" i="10"/>
  <c r="E450" i="10"/>
  <c r="E390" i="10"/>
  <c r="E208" i="10"/>
  <c r="E291" i="10"/>
  <c r="E462" i="10"/>
  <c r="E312" i="10"/>
  <c r="E474" i="10"/>
  <c r="E37" i="10"/>
  <c r="E324" i="10"/>
  <c r="E437" i="10"/>
  <c r="E461" i="10"/>
  <c r="E22" i="10"/>
  <c r="E86" i="10"/>
  <c r="E179" i="10"/>
  <c r="E307" i="10"/>
  <c r="E249" i="10"/>
  <c r="E319" i="10"/>
  <c r="E286" i="10"/>
  <c r="E410" i="10"/>
  <c r="E331" i="10"/>
  <c r="E343" i="10"/>
  <c r="E288" i="10"/>
  <c r="E400" i="10"/>
  <c r="E355" i="10"/>
  <c r="E278" i="10"/>
  <c r="E215" i="10"/>
  <c r="E74" i="10"/>
  <c r="E62" i="10"/>
  <c r="E243" i="10"/>
  <c r="E391" i="10"/>
  <c r="E403" i="10"/>
  <c r="E281" i="10"/>
  <c r="E42" i="10"/>
  <c r="E436" i="10"/>
  <c r="E233" i="10"/>
  <c r="E417" i="10"/>
  <c r="E16" i="10"/>
  <c r="E98" i="10"/>
  <c r="E110" i="10"/>
  <c r="E122" i="10"/>
  <c r="E134" i="10"/>
  <c r="E146" i="10"/>
  <c r="E158" i="10"/>
  <c r="E282" i="10"/>
  <c r="E469" i="10"/>
  <c r="E51" i="10"/>
  <c r="E182" i="10"/>
  <c r="E358" i="10"/>
  <c r="E77" i="10"/>
  <c r="E296" i="10"/>
  <c r="E80" i="10"/>
  <c r="E68" i="10"/>
  <c r="E227" i="10"/>
  <c r="E240" i="10"/>
  <c r="E161" i="10"/>
  <c r="E242" i="10"/>
  <c r="E185" i="10"/>
  <c r="E298" i="10"/>
  <c r="E56" i="10"/>
  <c r="E132" i="10"/>
  <c r="E256" i="10"/>
  <c r="E108" i="10"/>
  <c r="E144" i="10"/>
  <c r="E40" i="10"/>
  <c r="E120" i="10"/>
  <c r="E156" i="10"/>
  <c r="E418" i="10"/>
  <c r="E430" i="10"/>
  <c r="E36" i="10"/>
  <c r="E252" i="10"/>
  <c r="E171" i="10"/>
  <c r="E365" i="10"/>
  <c r="E378" i="10"/>
  <c r="E449" i="10"/>
  <c r="E485" i="10"/>
  <c r="E509" i="10"/>
  <c r="E369" i="10"/>
  <c r="E370" i="10"/>
  <c r="E382" i="10"/>
  <c r="E406" i="10"/>
  <c r="E91" i="10"/>
  <c r="E13" i="10"/>
  <c r="E102" i="10"/>
  <c r="E114" i="10"/>
  <c r="E126" i="10"/>
  <c r="E138" i="10"/>
  <c r="E150" i="10"/>
  <c r="E299" i="10"/>
  <c r="E262" i="10"/>
  <c r="E311" i="10"/>
  <c r="E497" i="10"/>
  <c r="E387" i="10"/>
  <c r="E335" i="10"/>
  <c r="E347" i="10"/>
  <c r="E183" i="10"/>
  <c r="E359" i="10"/>
  <c r="E195" i="10"/>
  <c r="E232" i="10"/>
  <c r="E207" i="10"/>
  <c r="E219" i="10"/>
  <c r="E234" i="10"/>
  <c r="E228" i="10"/>
  <c r="E279" i="10"/>
  <c r="E405" i="10"/>
  <c r="E322" i="10"/>
  <c r="E496" i="10"/>
  <c r="E70" i="10"/>
  <c r="E48" i="10"/>
  <c r="E53" i="10"/>
  <c r="E101" i="10"/>
  <c r="E113" i="10"/>
  <c r="E125" i="10"/>
  <c r="E137" i="10"/>
  <c r="E149" i="10"/>
  <c r="E194" i="10"/>
  <c r="E373" i="10"/>
  <c r="E23" i="10"/>
  <c r="E206" i="10"/>
  <c r="E250" i="10"/>
  <c r="E65" i="10"/>
  <c r="E218" i="10"/>
  <c r="E375" i="10"/>
  <c r="E448" i="10"/>
  <c r="E366" i="10"/>
  <c r="E460" i="10"/>
  <c r="E472" i="10"/>
  <c r="E96" i="10"/>
  <c r="E484" i="10"/>
  <c r="E55" i="10"/>
  <c r="E11" i="10"/>
  <c r="E334" i="10"/>
  <c r="E246" i="10"/>
  <c r="E270" i="10"/>
  <c r="E394" i="10"/>
  <c r="E508" i="10"/>
  <c r="E170" i="10"/>
  <c r="E346" i="10"/>
  <c r="E407" i="10"/>
  <c r="E83" i="10"/>
  <c r="E323" i="10"/>
  <c r="E254" i="10"/>
  <c r="E255" i="10"/>
  <c r="E381" i="10"/>
  <c r="E425" i="10"/>
  <c r="E412" i="10"/>
  <c r="E422" i="10"/>
  <c r="E446" i="10"/>
  <c r="E458" i="10"/>
  <c r="E482" i="10"/>
  <c r="E494" i="10"/>
  <c r="E506" i="10"/>
  <c r="E285" i="10"/>
  <c r="E473" i="10"/>
  <c r="E385" i="10"/>
  <c r="E284" i="10"/>
  <c r="E420" i="10"/>
  <c r="E7" i="10"/>
  <c r="E308" i="10"/>
  <c r="E87" i="10"/>
  <c r="E344" i="10"/>
  <c r="E287" i="10"/>
  <c r="E19" i="10"/>
  <c r="E168" i="10"/>
  <c r="E17" i="10"/>
  <c r="E180" i="10"/>
  <c r="E63" i="10"/>
  <c r="E192" i="10"/>
  <c r="E367" i="10"/>
  <c r="E415" i="10"/>
  <c r="E204" i="10"/>
  <c r="E320" i="10"/>
  <c r="E292" i="10"/>
  <c r="E34" i="10"/>
  <c r="E75" i="10"/>
  <c r="E216" i="10"/>
  <c r="E356" i="10"/>
  <c r="E71" i="10"/>
  <c r="E332" i="10"/>
  <c r="E258" i="10"/>
  <c r="E294" i="10"/>
  <c r="E58" i="10"/>
  <c r="E99" i="10"/>
  <c r="E111" i="10"/>
  <c r="E123" i="10"/>
  <c r="E135" i="10"/>
  <c r="E147" i="10"/>
  <c r="E159" i="10"/>
  <c r="E28" i="10"/>
  <c r="E67" i="10"/>
  <c r="E79" i="10"/>
  <c r="E264" i="10"/>
  <c r="E46" i="10"/>
  <c r="E59" i="10"/>
  <c r="E94" i="10"/>
  <c r="E32" i="10"/>
  <c r="E60" i="10"/>
  <c r="E139" i="10"/>
  <c r="E127" i="10"/>
  <c r="E151" i="10"/>
  <c r="E29" i="10"/>
  <c r="E49" i="10"/>
  <c r="E115" i="10"/>
  <c r="E72" i="10"/>
  <c r="E90" i="10"/>
  <c r="E103" i="10"/>
  <c r="E244" i="10"/>
  <c r="E47" i="10"/>
  <c r="E78" i="10"/>
  <c r="E25" i="10"/>
  <c r="E4" i="10"/>
  <c r="E57" i="10"/>
  <c r="E272" i="10"/>
  <c r="E372" i="10"/>
  <c r="E95" i="10"/>
  <c r="E5" i="10"/>
  <c r="E41" i="10"/>
  <c r="E188" i="10"/>
  <c r="E514" i="10"/>
  <c r="E44" i="10"/>
  <c r="E45" i="10"/>
  <c r="E89" i="10"/>
  <c r="E6" i="10"/>
  <c r="E9" i="10"/>
  <c r="E203" i="10"/>
  <c r="K24" i="1"/>
  <c r="J23" i="1"/>
  <c r="K60" i="1"/>
  <c r="J46" i="1"/>
  <c r="K47" i="1"/>
  <c r="K775" i="1"/>
  <c r="K776" i="1" s="1"/>
  <c r="K777" i="1" s="1"/>
  <c r="K778" i="1" s="1"/>
  <c r="K779" i="1" s="1"/>
  <c r="K780" i="1" s="1"/>
  <c r="K781" i="1" s="1"/>
  <c r="K782" i="1" s="1"/>
  <c r="K783" i="1" s="1"/>
  <c r="K784" i="1" s="1"/>
  <c r="K788" i="1"/>
  <c r="K36" i="1"/>
  <c r="J35" i="1"/>
  <c r="E24" i="4"/>
  <c r="K6" i="4"/>
  <c r="L6" i="4" s="1"/>
  <c r="M6" i="4" s="1"/>
  <c r="J8" i="1"/>
  <c r="K9" i="1"/>
  <c r="K789" i="1" l="1"/>
  <c r="K790" i="1" s="1"/>
  <c r="K791" i="1" s="1"/>
  <c r="K792" i="1" s="1"/>
  <c r="K793" i="1" s="1"/>
  <c r="K794" i="1" s="1"/>
  <c r="K795" i="1" s="1"/>
  <c r="K796" i="1" s="1"/>
  <c r="K797" i="1" s="1"/>
  <c r="K798" i="1" s="1"/>
  <c r="K802" i="1"/>
  <c r="J47" i="1"/>
  <c r="K48" i="1"/>
  <c r="J60" i="1"/>
  <c r="K74" i="1"/>
  <c r="K61" i="1"/>
  <c r="J36" i="1"/>
  <c r="K37" i="1"/>
  <c r="J9" i="1"/>
  <c r="K10" i="1"/>
  <c r="J24" i="1"/>
  <c r="K25" i="1"/>
  <c r="K11" i="1" l="1"/>
  <c r="J10" i="1"/>
  <c r="K38" i="1"/>
  <c r="J37" i="1"/>
  <c r="K49" i="1"/>
  <c r="J48" i="1"/>
  <c r="K816" i="1"/>
  <c r="K803" i="1"/>
  <c r="K804" i="1" s="1"/>
  <c r="K805" i="1" s="1"/>
  <c r="K806" i="1" s="1"/>
  <c r="K807" i="1" s="1"/>
  <c r="K808" i="1" s="1"/>
  <c r="K809" i="1" s="1"/>
  <c r="K810" i="1" s="1"/>
  <c r="K811" i="1" s="1"/>
  <c r="K812" i="1" s="1"/>
  <c r="J61" i="1"/>
  <c r="K62" i="1"/>
  <c r="J74" i="1"/>
  <c r="K88" i="1"/>
  <c r="K75" i="1"/>
  <c r="K26" i="1"/>
  <c r="J25" i="1"/>
  <c r="J88" i="1" l="1"/>
  <c r="K102" i="1"/>
  <c r="K89" i="1"/>
  <c r="K830" i="1"/>
  <c r="K817" i="1"/>
  <c r="K818" i="1" s="1"/>
  <c r="K819" i="1" s="1"/>
  <c r="K820" i="1" s="1"/>
  <c r="K821" i="1" s="1"/>
  <c r="K822" i="1" s="1"/>
  <c r="K823" i="1" s="1"/>
  <c r="K824" i="1" s="1"/>
  <c r="K825" i="1" s="1"/>
  <c r="K826" i="1" s="1"/>
  <c r="K50" i="1"/>
  <c r="J49" i="1"/>
  <c r="K39" i="1"/>
  <c r="J38" i="1"/>
  <c r="K63" i="1"/>
  <c r="J62" i="1"/>
  <c r="J26" i="1"/>
  <c r="K27" i="1"/>
  <c r="J75" i="1"/>
  <c r="K76" i="1"/>
  <c r="K12" i="1"/>
  <c r="J11" i="1"/>
  <c r="K64" i="1" l="1"/>
  <c r="J63" i="1"/>
  <c r="J50" i="1"/>
  <c r="K51" i="1"/>
  <c r="K844" i="1"/>
  <c r="K831" i="1"/>
  <c r="K832" i="1" s="1"/>
  <c r="K833" i="1" s="1"/>
  <c r="K834" i="1" s="1"/>
  <c r="K835" i="1" s="1"/>
  <c r="K836" i="1" s="1"/>
  <c r="K837" i="1" s="1"/>
  <c r="K838" i="1" s="1"/>
  <c r="K839" i="1" s="1"/>
  <c r="K840" i="1" s="1"/>
  <c r="K40" i="1"/>
  <c r="J39" i="1"/>
  <c r="J12" i="1"/>
  <c r="K13" i="1"/>
  <c r="K77" i="1"/>
  <c r="J76" i="1"/>
  <c r="K90" i="1"/>
  <c r="J89" i="1"/>
  <c r="K116" i="1"/>
  <c r="J102" i="1"/>
  <c r="K103" i="1"/>
  <c r="K28" i="1"/>
  <c r="J28" i="1" s="1"/>
  <c r="J27" i="1"/>
  <c r="J13" i="1" l="1"/>
  <c r="K14" i="1"/>
  <c r="J14" i="1" s="1"/>
  <c r="K78" i="1"/>
  <c r="J77" i="1"/>
  <c r="J103" i="1"/>
  <c r="K104" i="1"/>
  <c r="K845" i="1"/>
  <c r="K846" i="1" s="1"/>
  <c r="K847" i="1" s="1"/>
  <c r="K848" i="1" s="1"/>
  <c r="K849" i="1" s="1"/>
  <c r="K850" i="1" s="1"/>
  <c r="K851" i="1" s="1"/>
  <c r="K852" i="1" s="1"/>
  <c r="K853" i="1" s="1"/>
  <c r="K854" i="1" s="1"/>
  <c r="K858" i="1"/>
  <c r="J40" i="1"/>
  <c r="K41" i="1"/>
  <c r="K52" i="1"/>
  <c r="J51" i="1"/>
  <c r="K130" i="1"/>
  <c r="J116" i="1"/>
  <c r="K117" i="1"/>
  <c r="K91" i="1"/>
  <c r="J90" i="1"/>
  <c r="J64" i="1"/>
  <c r="K65" i="1"/>
  <c r="J41" i="1" l="1"/>
  <c r="K42" i="1"/>
  <c r="J42" i="1" s="1"/>
  <c r="J52" i="1"/>
  <c r="K53" i="1"/>
  <c r="K859" i="1"/>
  <c r="K860" i="1" s="1"/>
  <c r="K861" i="1" s="1"/>
  <c r="K862" i="1" s="1"/>
  <c r="K863" i="1" s="1"/>
  <c r="K864" i="1" s="1"/>
  <c r="K865" i="1" s="1"/>
  <c r="K866" i="1" s="1"/>
  <c r="K867" i="1" s="1"/>
  <c r="K868" i="1" s="1"/>
  <c r="K872" i="1"/>
  <c r="K66" i="1"/>
  <c r="J65" i="1"/>
  <c r="K105" i="1"/>
  <c r="J104" i="1"/>
  <c r="K92" i="1"/>
  <c r="J91" i="1"/>
  <c r="K118" i="1"/>
  <c r="J117" i="1"/>
  <c r="J78" i="1"/>
  <c r="K79" i="1"/>
  <c r="J130" i="1"/>
  <c r="K144" i="1"/>
  <c r="K131" i="1"/>
  <c r="J92" i="1" l="1"/>
  <c r="K93" i="1"/>
  <c r="K106" i="1"/>
  <c r="J105" i="1"/>
  <c r="K67" i="1"/>
  <c r="J66" i="1"/>
  <c r="K158" i="1"/>
  <c r="J144" i="1"/>
  <c r="K145" i="1"/>
  <c r="K886" i="1"/>
  <c r="K873" i="1"/>
  <c r="K874" i="1" s="1"/>
  <c r="K875" i="1" s="1"/>
  <c r="K876" i="1" s="1"/>
  <c r="K877" i="1" s="1"/>
  <c r="K878" i="1" s="1"/>
  <c r="K879" i="1" s="1"/>
  <c r="K880" i="1" s="1"/>
  <c r="K881" i="1" s="1"/>
  <c r="K882" i="1" s="1"/>
  <c r="J131" i="1"/>
  <c r="K132" i="1"/>
  <c r="K80" i="1"/>
  <c r="J79" i="1"/>
  <c r="K54" i="1"/>
  <c r="J53" i="1"/>
  <c r="K119" i="1"/>
  <c r="J118" i="1"/>
  <c r="J158" i="1" l="1"/>
  <c r="K172" i="1"/>
  <c r="K159" i="1"/>
  <c r="K120" i="1"/>
  <c r="J119" i="1"/>
  <c r="K68" i="1"/>
  <c r="J67" i="1"/>
  <c r="J106" i="1"/>
  <c r="K107" i="1"/>
  <c r="J54" i="1"/>
  <c r="K55" i="1"/>
  <c r="J80" i="1"/>
  <c r="K81" i="1"/>
  <c r="K94" i="1"/>
  <c r="J93" i="1"/>
  <c r="K887" i="1"/>
  <c r="K888" i="1" s="1"/>
  <c r="K889" i="1" s="1"/>
  <c r="K890" i="1" s="1"/>
  <c r="K891" i="1" s="1"/>
  <c r="K892" i="1" s="1"/>
  <c r="K893" i="1" s="1"/>
  <c r="K894" i="1" s="1"/>
  <c r="K895" i="1" s="1"/>
  <c r="K896" i="1" s="1"/>
  <c r="K900" i="1"/>
  <c r="J145" i="1"/>
  <c r="K146" i="1"/>
  <c r="K133" i="1"/>
  <c r="J132" i="1"/>
  <c r="J68" i="1" l="1"/>
  <c r="K69" i="1"/>
  <c r="K901" i="1"/>
  <c r="K902" i="1" s="1"/>
  <c r="K903" i="1" s="1"/>
  <c r="K904" i="1" s="1"/>
  <c r="K905" i="1" s="1"/>
  <c r="K906" i="1" s="1"/>
  <c r="K907" i="1" s="1"/>
  <c r="K908" i="1" s="1"/>
  <c r="K909" i="1" s="1"/>
  <c r="K910" i="1" s="1"/>
  <c r="K914" i="1"/>
  <c r="J120" i="1"/>
  <c r="K121" i="1"/>
  <c r="K147" i="1"/>
  <c r="J146" i="1"/>
  <c r="K160" i="1"/>
  <c r="J159" i="1"/>
  <c r="K56" i="1"/>
  <c r="J56" i="1" s="1"/>
  <c r="J55" i="1"/>
  <c r="K95" i="1"/>
  <c r="J94" i="1"/>
  <c r="K186" i="1"/>
  <c r="J172" i="1"/>
  <c r="K173" i="1"/>
  <c r="K108" i="1"/>
  <c r="J107" i="1"/>
  <c r="J133" i="1"/>
  <c r="K134" i="1"/>
  <c r="K82" i="1"/>
  <c r="J81" i="1"/>
  <c r="J134" i="1" l="1"/>
  <c r="K135" i="1"/>
  <c r="K161" i="1"/>
  <c r="J160" i="1"/>
  <c r="J147" i="1"/>
  <c r="K148" i="1"/>
  <c r="J108" i="1"/>
  <c r="K109" i="1"/>
  <c r="K122" i="1"/>
  <c r="J121" i="1"/>
  <c r="K174" i="1"/>
  <c r="J173" i="1"/>
  <c r="K928" i="1"/>
  <c r="K915" i="1"/>
  <c r="K916" i="1" s="1"/>
  <c r="K917" i="1" s="1"/>
  <c r="K918" i="1" s="1"/>
  <c r="K919" i="1" s="1"/>
  <c r="K920" i="1" s="1"/>
  <c r="K921" i="1" s="1"/>
  <c r="K922" i="1" s="1"/>
  <c r="K923" i="1" s="1"/>
  <c r="K924" i="1" s="1"/>
  <c r="J186" i="1"/>
  <c r="K200" i="1"/>
  <c r="K187" i="1"/>
  <c r="J69" i="1"/>
  <c r="K70" i="1"/>
  <c r="J70" i="1" s="1"/>
  <c r="J82" i="1"/>
  <c r="K83" i="1"/>
  <c r="K96" i="1"/>
  <c r="J95" i="1"/>
  <c r="K175" i="1" l="1"/>
  <c r="J174" i="1"/>
  <c r="J96" i="1"/>
  <c r="K97" i="1"/>
  <c r="K110" i="1"/>
  <c r="J109" i="1"/>
  <c r="J161" i="1"/>
  <c r="K162" i="1"/>
  <c r="J148" i="1"/>
  <c r="K149" i="1"/>
  <c r="K188" i="1"/>
  <c r="J187" i="1"/>
  <c r="J200" i="1"/>
  <c r="K214" i="1"/>
  <c r="K201" i="1"/>
  <c r="K136" i="1"/>
  <c r="J135" i="1"/>
  <c r="K84" i="1"/>
  <c r="J84" i="1" s="1"/>
  <c r="J83" i="1"/>
  <c r="K123" i="1"/>
  <c r="J122" i="1"/>
  <c r="K942" i="1"/>
  <c r="K929" i="1"/>
  <c r="K930" i="1" s="1"/>
  <c r="K931" i="1" s="1"/>
  <c r="K932" i="1" s="1"/>
  <c r="K933" i="1" s="1"/>
  <c r="K934" i="1" s="1"/>
  <c r="K935" i="1" s="1"/>
  <c r="K936" i="1" s="1"/>
  <c r="K937" i="1" s="1"/>
  <c r="K938" i="1" s="1"/>
  <c r="K189" i="1" l="1"/>
  <c r="J188" i="1"/>
  <c r="K150" i="1"/>
  <c r="J149" i="1"/>
  <c r="K124" i="1"/>
  <c r="J123" i="1"/>
  <c r="J110" i="1"/>
  <c r="K111" i="1"/>
  <c r="K943" i="1"/>
  <c r="K944" i="1" s="1"/>
  <c r="K945" i="1" s="1"/>
  <c r="K946" i="1" s="1"/>
  <c r="K947" i="1" s="1"/>
  <c r="K948" i="1" s="1"/>
  <c r="K949" i="1" s="1"/>
  <c r="K950" i="1" s="1"/>
  <c r="K951" i="1" s="1"/>
  <c r="K952" i="1" s="1"/>
  <c r="K956" i="1"/>
  <c r="K137" i="1"/>
  <c r="J136" i="1"/>
  <c r="J97" i="1"/>
  <c r="K98" i="1"/>
  <c r="J98" i="1" s="1"/>
  <c r="J162" i="1"/>
  <c r="K163" i="1"/>
  <c r="K202" i="1"/>
  <c r="J201" i="1"/>
  <c r="J214" i="1"/>
  <c r="K228" i="1"/>
  <c r="K215" i="1"/>
  <c r="J175" i="1"/>
  <c r="K176" i="1"/>
  <c r="J176" i="1" l="1"/>
  <c r="K177" i="1"/>
  <c r="K957" i="1"/>
  <c r="K958" i="1" s="1"/>
  <c r="K959" i="1" s="1"/>
  <c r="K960" i="1" s="1"/>
  <c r="K961" i="1" s="1"/>
  <c r="K962" i="1" s="1"/>
  <c r="K963" i="1" s="1"/>
  <c r="K964" i="1" s="1"/>
  <c r="K965" i="1" s="1"/>
  <c r="K966" i="1" s="1"/>
  <c r="K970" i="1"/>
  <c r="K216" i="1"/>
  <c r="J215" i="1"/>
  <c r="K242" i="1"/>
  <c r="J228" i="1"/>
  <c r="K229" i="1"/>
  <c r="K112" i="1"/>
  <c r="J112" i="1" s="1"/>
  <c r="J111" i="1"/>
  <c r="K203" i="1"/>
  <c r="J202" i="1"/>
  <c r="J124" i="1"/>
  <c r="K125" i="1"/>
  <c r="J137" i="1"/>
  <c r="K138" i="1"/>
  <c r="K151" i="1"/>
  <c r="J150" i="1"/>
  <c r="J163" i="1"/>
  <c r="K164" i="1"/>
  <c r="J189" i="1"/>
  <c r="K190" i="1"/>
  <c r="J203" i="1" l="1"/>
  <c r="K204" i="1"/>
  <c r="J151" i="1"/>
  <c r="K152" i="1"/>
  <c r="J138" i="1"/>
  <c r="K139" i="1"/>
  <c r="K217" i="1"/>
  <c r="J216" i="1"/>
  <c r="J190" i="1"/>
  <c r="K191" i="1"/>
  <c r="K984" i="1"/>
  <c r="K971" i="1"/>
  <c r="K972" i="1" s="1"/>
  <c r="K973" i="1" s="1"/>
  <c r="K974" i="1" s="1"/>
  <c r="K975" i="1" s="1"/>
  <c r="K976" i="1" s="1"/>
  <c r="K977" i="1" s="1"/>
  <c r="K978" i="1" s="1"/>
  <c r="K979" i="1" s="1"/>
  <c r="K980" i="1" s="1"/>
  <c r="K165" i="1"/>
  <c r="J164" i="1"/>
  <c r="J242" i="1"/>
  <c r="K256" i="1"/>
  <c r="K243" i="1"/>
  <c r="J125" i="1"/>
  <c r="K126" i="1"/>
  <c r="J126" i="1" s="1"/>
  <c r="K230" i="1"/>
  <c r="J229" i="1"/>
  <c r="K178" i="1"/>
  <c r="J177" i="1"/>
  <c r="K985" i="1" l="1"/>
  <c r="K986" i="1" s="1"/>
  <c r="K987" i="1" s="1"/>
  <c r="K988" i="1" s="1"/>
  <c r="K989" i="1" s="1"/>
  <c r="K990" i="1" s="1"/>
  <c r="K991" i="1" s="1"/>
  <c r="K992" i="1" s="1"/>
  <c r="K993" i="1" s="1"/>
  <c r="K994" i="1" s="1"/>
  <c r="K998" i="1"/>
  <c r="K192" i="1"/>
  <c r="J191" i="1"/>
  <c r="K231" i="1"/>
  <c r="J230" i="1"/>
  <c r="J217" i="1"/>
  <c r="K218" i="1"/>
  <c r="K140" i="1"/>
  <c r="J140" i="1" s="1"/>
  <c r="J139" i="1"/>
  <c r="K244" i="1"/>
  <c r="J243" i="1"/>
  <c r="J256" i="1"/>
  <c r="K270" i="1"/>
  <c r="K257" i="1"/>
  <c r="J152" i="1"/>
  <c r="K153" i="1"/>
  <c r="K179" i="1"/>
  <c r="J178" i="1"/>
  <c r="J204" i="1"/>
  <c r="K205" i="1"/>
  <c r="J165" i="1"/>
  <c r="K166" i="1"/>
  <c r="K245" i="1" l="1"/>
  <c r="J244" i="1"/>
  <c r="K206" i="1"/>
  <c r="J205" i="1"/>
  <c r="J218" i="1"/>
  <c r="K219" i="1"/>
  <c r="J179" i="1"/>
  <c r="K180" i="1"/>
  <c r="J231" i="1"/>
  <c r="K232" i="1"/>
  <c r="K154" i="1"/>
  <c r="J154" i="1" s="1"/>
  <c r="J153" i="1"/>
  <c r="K193" i="1"/>
  <c r="J192" i="1"/>
  <c r="J166" i="1"/>
  <c r="K167" i="1"/>
  <c r="K258" i="1"/>
  <c r="J257" i="1"/>
  <c r="J270" i="1"/>
  <c r="K284" i="1"/>
  <c r="K271" i="1"/>
  <c r="K1012" i="1"/>
  <c r="K999" i="1"/>
  <c r="K1000" i="1" s="1"/>
  <c r="K1001" i="1" s="1"/>
  <c r="K1002" i="1" s="1"/>
  <c r="K1003" i="1" s="1"/>
  <c r="K1004" i="1" s="1"/>
  <c r="K1005" i="1" s="1"/>
  <c r="K1006" i="1" s="1"/>
  <c r="K1007" i="1" s="1"/>
  <c r="K1008" i="1" s="1"/>
  <c r="J232" i="1" l="1"/>
  <c r="K233" i="1"/>
  <c r="K272" i="1"/>
  <c r="J271" i="1"/>
  <c r="J284" i="1"/>
  <c r="K298" i="1"/>
  <c r="K285" i="1"/>
  <c r="J180" i="1"/>
  <c r="K181" i="1"/>
  <c r="K220" i="1"/>
  <c r="J219" i="1"/>
  <c r="K207" i="1"/>
  <c r="J206" i="1"/>
  <c r="K259" i="1"/>
  <c r="J258" i="1"/>
  <c r="K168" i="1"/>
  <c r="J168" i="1" s="1"/>
  <c r="J167" i="1"/>
  <c r="K1026" i="1"/>
  <c r="K1013" i="1"/>
  <c r="K1014" i="1" s="1"/>
  <c r="K1015" i="1" s="1"/>
  <c r="K1016" i="1" s="1"/>
  <c r="K1017" i="1" s="1"/>
  <c r="K1018" i="1" s="1"/>
  <c r="K1019" i="1" s="1"/>
  <c r="K1020" i="1" s="1"/>
  <c r="K1021" i="1" s="1"/>
  <c r="K1022" i="1" s="1"/>
  <c r="J193" i="1"/>
  <c r="K194" i="1"/>
  <c r="J245" i="1"/>
  <c r="K246" i="1"/>
  <c r="J207" i="1" l="1"/>
  <c r="K208" i="1"/>
  <c r="K286" i="1"/>
  <c r="J285" i="1"/>
  <c r="K221" i="1"/>
  <c r="J220" i="1"/>
  <c r="J194" i="1"/>
  <c r="K195" i="1"/>
  <c r="K182" i="1"/>
  <c r="J182" i="1" s="1"/>
  <c r="J181" i="1"/>
  <c r="K1027" i="1"/>
  <c r="K1028" i="1" s="1"/>
  <c r="K1029" i="1" s="1"/>
  <c r="K1030" i="1" s="1"/>
  <c r="K1031" i="1" s="1"/>
  <c r="K1032" i="1" s="1"/>
  <c r="K1033" i="1" s="1"/>
  <c r="K1034" i="1" s="1"/>
  <c r="K1035" i="1" s="1"/>
  <c r="K1036" i="1" s="1"/>
  <c r="K1040" i="1"/>
  <c r="K312" i="1"/>
  <c r="J298" i="1"/>
  <c r="K299" i="1"/>
  <c r="J246" i="1"/>
  <c r="K247" i="1"/>
  <c r="K273" i="1"/>
  <c r="J272" i="1"/>
  <c r="J259" i="1"/>
  <c r="K260" i="1"/>
  <c r="K234" i="1"/>
  <c r="J233" i="1"/>
  <c r="K1054" i="1" l="1"/>
  <c r="K1041" i="1"/>
  <c r="K1042" i="1" s="1"/>
  <c r="K1043" i="1" s="1"/>
  <c r="K1044" i="1" s="1"/>
  <c r="K1045" i="1" s="1"/>
  <c r="K1046" i="1" s="1"/>
  <c r="K1047" i="1" s="1"/>
  <c r="K1048" i="1" s="1"/>
  <c r="K1049" i="1" s="1"/>
  <c r="K1050" i="1" s="1"/>
  <c r="K235" i="1"/>
  <c r="J234" i="1"/>
  <c r="J260" i="1"/>
  <c r="K261" i="1"/>
  <c r="J221" i="1"/>
  <c r="K222" i="1"/>
  <c r="K300" i="1"/>
  <c r="J299" i="1"/>
  <c r="K287" i="1"/>
  <c r="J286" i="1"/>
  <c r="J273" i="1"/>
  <c r="K274" i="1"/>
  <c r="K248" i="1"/>
  <c r="J247" i="1"/>
  <c r="J208" i="1"/>
  <c r="K209" i="1"/>
  <c r="K196" i="1"/>
  <c r="J196" i="1" s="1"/>
  <c r="J195" i="1"/>
  <c r="J312" i="1"/>
  <c r="K326" i="1"/>
  <c r="K313" i="1"/>
  <c r="J287" i="1" l="1"/>
  <c r="K288" i="1"/>
  <c r="K210" i="1"/>
  <c r="J210" i="1" s="1"/>
  <c r="J209" i="1"/>
  <c r="K262" i="1"/>
  <c r="J261" i="1"/>
  <c r="K327" i="1"/>
  <c r="J326" i="1"/>
  <c r="K340" i="1"/>
  <c r="K249" i="1"/>
  <c r="J248" i="1"/>
  <c r="J235" i="1"/>
  <c r="K236" i="1"/>
  <c r="J274" i="1"/>
  <c r="K275" i="1"/>
  <c r="K314" i="1"/>
  <c r="J313" i="1"/>
  <c r="K301" i="1"/>
  <c r="J300" i="1"/>
  <c r="J222" i="1"/>
  <c r="K223" i="1"/>
  <c r="K1068" i="1"/>
  <c r="K1055" i="1"/>
  <c r="K1056" i="1" s="1"/>
  <c r="K1057" i="1" s="1"/>
  <c r="K1058" i="1" s="1"/>
  <c r="K1059" i="1" s="1"/>
  <c r="K1060" i="1" s="1"/>
  <c r="K1061" i="1" s="1"/>
  <c r="K1062" i="1" s="1"/>
  <c r="K1063" i="1" s="1"/>
  <c r="K1064" i="1" s="1"/>
  <c r="J249" i="1" l="1"/>
  <c r="K250" i="1"/>
  <c r="K354" i="1"/>
  <c r="K341" i="1"/>
  <c r="J340" i="1"/>
  <c r="J327" i="1"/>
  <c r="K328" i="1"/>
  <c r="K263" i="1"/>
  <c r="J262" i="1"/>
  <c r="J314" i="1"/>
  <c r="K315" i="1"/>
  <c r="K1069" i="1"/>
  <c r="K1070" i="1" s="1"/>
  <c r="K1071" i="1" s="1"/>
  <c r="K1072" i="1" s="1"/>
  <c r="K1073" i="1" s="1"/>
  <c r="K1074" i="1" s="1"/>
  <c r="K1075" i="1" s="1"/>
  <c r="K1076" i="1" s="1"/>
  <c r="K1077" i="1" s="1"/>
  <c r="K1078" i="1" s="1"/>
  <c r="K1082" i="1"/>
  <c r="K276" i="1"/>
  <c r="J275" i="1"/>
  <c r="K224" i="1"/>
  <c r="J224" i="1" s="1"/>
  <c r="J223" i="1"/>
  <c r="J288" i="1"/>
  <c r="K289" i="1"/>
  <c r="J301" i="1"/>
  <c r="K302" i="1"/>
  <c r="J236" i="1"/>
  <c r="K237" i="1"/>
  <c r="K238" i="1" l="1"/>
  <c r="J238" i="1" s="1"/>
  <c r="J237" i="1"/>
  <c r="J302" i="1"/>
  <c r="K303" i="1"/>
  <c r="J263" i="1"/>
  <c r="K264" i="1"/>
  <c r="K290" i="1"/>
  <c r="J289" i="1"/>
  <c r="J328" i="1"/>
  <c r="K329" i="1"/>
  <c r="K342" i="1"/>
  <c r="J341" i="1"/>
  <c r="J354" i="1"/>
  <c r="K355" i="1"/>
  <c r="K368" i="1"/>
  <c r="K316" i="1"/>
  <c r="J315" i="1"/>
  <c r="K277" i="1"/>
  <c r="J276" i="1"/>
  <c r="J250" i="1"/>
  <c r="K251" i="1"/>
  <c r="K1096" i="1"/>
  <c r="K1083" i="1"/>
  <c r="K1084" i="1" s="1"/>
  <c r="K1085" i="1" s="1"/>
  <c r="K1086" i="1" s="1"/>
  <c r="K1087" i="1" s="1"/>
  <c r="K1088" i="1" s="1"/>
  <c r="K1089" i="1" s="1"/>
  <c r="K1090" i="1" s="1"/>
  <c r="K1091" i="1" s="1"/>
  <c r="K1092" i="1" s="1"/>
  <c r="K330" i="1" l="1"/>
  <c r="J329" i="1"/>
  <c r="K291" i="1"/>
  <c r="J290" i="1"/>
  <c r="J277" i="1"/>
  <c r="K278" i="1"/>
  <c r="J264" i="1"/>
  <c r="K265" i="1"/>
  <c r="J316" i="1"/>
  <c r="K317" i="1"/>
  <c r="K304" i="1"/>
  <c r="J303" i="1"/>
  <c r="J342" i="1"/>
  <c r="K343" i="1"/>
  <c r="K1110" i="1"/>
  <c r="K1097" i="1"/>
  <c r="K1098" i="1" s="1"/>
  <c r="K1099" i="1" s="1"/>
  <c r="K1100" i="1" s="1"/>
  <c r="K1101" i="1" s="1"/>
  <c r="K1102" i="1" s="1"/>
  <c r="K1103" i="1" s="1"/>
  <c r="K1104" i="1" s="1"/>
  <c r="K1105" i="1" s="1"/>
  <c r="K1106" i="1" s="1"/>
  <c r="K252" i="1"/>
  <c r="J252" i="1" s="1"/>
  <c r="J251" i="1"/>
  <c r="K382" i="1"/>
  <c r="K369" i="1"/>
  <c r="J368" i="1"/>
  <c r="K356" i="1"/>
  <c r="J355" i="1"/>
  <c r="K305" i="1" l="1"/>
  <c r="J304" i="1"/>
  <c r="K318" i="1"/>
  <c r="J317" i="1"/>
  <c r="K370" i="1"/>
  <c r="J369" i="1"/>
  <c r="K266" i="1"/>
  <c r="J266" i="1" s="1"/>
  <c r="J265" i="1"/>
  <c r="J278" i="1"/>
  <c r="K279" i="1"/>
  <c r="K1111" i="1"/>
  <c r="K1112" i="1" s="1"/>
  <c r="K1113" i="1" s="1"/>
  <c r="K1114" i="1" s="1"/>
  <c r="K1115" i="1" s="1"/>
  <c r="K1116" i="1" s="1"/>
  <c r="K1117" i="1" s="1"/>
  <c r="K1118" i="1" s="1"/>
  <c r="K1119" i="1" s="1"/>
  <c r="K1120" i="1" s="1"/>
  <c r="K1124" i="1"/>
  <c r="J291" i="1"/>
  <c r="K292" i="1"/>
  <c r="J356" i="1"/>
  <c r="K357" i="1"/>
  <c r="J382" i="1"/>
  <c r="K396" i="1"/>
  <c r="K383" i="1"/>
  <c r="J343" i="1"/>
  <c r="K344" i="1"/>
  <c r="K331" i="1"/>
  <c r="J330" i="1"/>
  <c r="K1125" i="1" l="1"/>
  <c r="K1126" i="1" s="1"/>
  <c r="K1127" i="1" s="1"/>
  <c r="K1128" i="1" s="1"/>
  <c r="K1129" i="1" s="1"/>
  <c r="K1130" i="1" s="1"/>
  <c r="K1131" i="1" s="1"/>
  <c r="K1132" i="1" s="1"/>
  <c r="K1133" i="1" s="1"/>
  <c r="K1134" i="1" s="1"/>
  <c r="K1138" i="1"/>
  <c r="K280" i="1"/>
  <c r="J280" i="1" s="1"/>
  <c r="J279" i="1"/>
  <c r="K384" i="1"/>
  <c r="J383" i="1"/>
  <c r="K410" i="1"/>
  <c r="K397" i="1"/>
  <c r="J396" i="1"/>
  <c r="J370" i="1"/>
  <c r="K371" i="1"/>
  <c r="J331" i="1"/>
  <c r="K332" i="1"/>
  <c r="J318" i="1"/>
  <c r="K319" i="1"/>
  <c r="K345" i="1"/>
  <c r="J344" i="1"/>
  <c r="J292" i="1"/>
  <c r="K293" i="1"/>
  <c r="K358" i="1"/>
  <c r="J357" i="1"/>
  <c r="J305" i="1"/>
  <c r="K306" i="1"/>
  <c r="J371" i="1" l="1"/>
  <c r="K372" i="1"/>
  <c r="J358" i="1"/>
  <c r="K359" i="1"/>
  <c r="K398" i="1"/>
  <c r="J397" i="1"/>
  <c r="K294" i="1"/>
  <c r="J294" i="1" s="1"/>
  <c r="J293" i="1"/>
  <c r="J410" i="1"/>
  <c r="K424" i="1"/>
  <c r="K411" i="1"/>
  <c r="J384" i="1"/>
  <c r="K385" i="1"/>
  <c r="J306" i="1"/>
  <c r="K307" i="1"/>
  <c r="K1139" i="1"/>
  <c r="K1140" i="1" s="1"/>
  <c r="K1141" i="1" s="1"/>
  <c r="K1142" i="1" s="1"/>
  <c r="K1143" i="1" s="1"/>
  <c r="K1144" i="1" s="1"/>
  <c r="K1145" i="1" s="1"/>
  <c r="K1146" i="1" s="1"/>
  <c r="K1147" i="1" s="1"/>
  <c r="K1148" i="1" s="1"/>
  <c r="K1152" i="1"/>
  <c r="K346" i="1"/>
  <c r="J345" i="1"/>
  <c r="K320" i="1"/>
  <c r="J319" i="1"/>
  <c r="J332" i="1"/>
  <c r="K333" i="1"/>
  <c r="K412" i="1" l="1"/>
  <c r="J411" i="1"/>
  <c r="K438" i="1"/>
  <c r="K425" i="1"/>
  <c r="J424" i="1"/>
  <c r="J320" i="1"/>
  <c r="K321" i="1"/>
  <c r="J346" i="1"/>
  <c r="K347" i="1"/>
  <c r="K1153" i="1"/>
  <c r="K1154" i="1" s="1"/>
  <c r="K1155" i="1" s="1"/>
  <c r="K1156" i="1" s="1"/>
  <c r="K1157" i="1" s="1"/>
  <c r="K1158" i="1" s="1"/>
  <c r="K1159" i="1" s="1"/>
  <c r="K1160" i="1" s="1"/>
  <c r="K1161" i="1" s="1"/>
  <c r="K1162" i="1" s="1"/>
  <c r="K1166" i="1"/>
  <c r="J398" i="1"/>
  <c r="K399" i="1"/>
  <c r="K360" i="1"/>
  <c r="J359" i="1"/>
  <c r="K334" i="1"/>
  <c r="J333" i="1"/>
  <c r="K308" i="1"/>
  <c r="J308" i="1" s="1"/>
  <c r="J307" i="1"/>
  <c r="K373" i="1"/>
  <c r="J372" i="1"/>
  <c r="K386" i="1"/>
  <c r="J385" i="1"/>
  <c r="K1180" i="1" l="1"/>
  <c r="K1167" i="1"/>
  <c r="K1168" i="1" s="1"/>
  <c r="K1169" i="1" s="1"/>
  <c r="K1170" i="1" s="1"/>
  <c r="K1171" i="1" s="1"/>
  <c r="K1172" i="1" s="1"/>
  <c r="K1173" i="1" s="1"/>
  <c r="K1174" i="1" s="1"/>
  <c r="K1175" i="1" s="1"/>
  <c r="K1176" i="1" s="1"/>
  <c r="J386" i="1"/>
  <c r="K387" i="1"/>
  <c r="J347" i="1"/>
  <c r="K348" i="1"/>
  <c r="K374" i="1"/>
  <c r="J373" i="1"/>
  <c r="J321" i="1"/>
  <c r="K322" i="1"/>
  <c r="J322" i="1" s="1"/>
  <c r="K335" i="1"/>
  <c r="J334" i="1"/>
  <c r="K426" i="1"/>
  <c r="J425" i="1"/>
  <c r="J438" i="1"/>
  <c r="K452" i="1"/>
  <c r="K439" i="1"/>
  <c r="J360" i="1"/>
  <c r="K361" i="1"/>
  <c r="J399" i="1"/>
  <c r="K400" i="1"/>
  <c r="J412" i="1"/>
  <c r="K413" i="1"/>
  <c r="K336" i="1" l="1"/>
  <c r="J336" i="1" s="1"/>
  <c r="J335" i="1"/>
  <c r="J374" i="1"/>
  <c r="K375" i="1"/>
  <c r="K362" i="1"/>
  <c r="J361" i="1"/>
  <c r="J348" i="1"/>
  <c r="K349" i="1"/>
  <c r="K440" i="1"/>
  <c r="J439" i="1"/>
  <c r="K466" i="1"/>
  <c r="K453" i="1"/>
  <c r="J452" i="1"/>
  <c r="K388" i="1"/>
  <c r="J387" i="1"/>
  <c r="K414" i="1"/>
  <c r="J413" i="1"/>
  <c r="K401" i="1"/>
  <c r="J400" i="1"/>
  <c r="J426" i="1"/>
  <c r="K427" i="1"/>
  <c r="K1194" i="1"/>
  <c r="K1181" i="1"/>
  <c r="K1182" i="1" s="1"/>
  <c r="K1183" i="1" s="1"/>
  <c r="K1184" i="1" s="1"/>
  <c r="K1185" i="1" s="1"/>
  <c r="K1186" i="1" s="1"/>
  <c r="K1187" i="1" s="1"/>
  <c r="K1188" i="1" s="1"/>
  <c r="K1189" i="1" s="1"/>
  <c r="K1190" i="1" s="1"/>
  <c r="K454" i="1" l="1"/>
  <c r="J453" i="1"/>
  <c r="J466" i="1"/>
  <c r="K480" i="1"/>
  <c r="K467" i="1"/>
  <c r="K1195" i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8" i="1"/>
  <c r="J427" i="1"/>
  <c r="K428" i="1"/>
  <c r="J440" i="1"/>
  <c r="K441" i="1"/>
  <c r="K350" i="1"/>
  <c r="J350" i="1" s="1"/>
  <c r="J349" i="1"/>
  <c r="K402" i="1"/>
  <c r="J401" i="1"/>
  <c r="K363" i="1"/>
  <c r="J362" i="1"/>
  <c r="J414" i="1"/>
  <c r="K415" i="1"/>
  <c r="J375" i="1"/>
  <c r="K376" i="1"/>
  <c r="J388" i="1"/>
  <c r="K389" i="1"/>
  <c r="K442" i="1" l="1"/>
  <c r="J441" i="1"/>
  <c r="K416" i="1"/>
  <c r="J415" i="1"/>
  <c r="K1222" i="1"/>
  <c r="K1209" i="1"/>
  <c r="K1210" i="1" s="1"/>
  <c r="K1211" i="1" s="1"/>
  <c r="K1212" i="1" s="1"/>
  <c r="K1213" i="1" s="1"/>
  <c r="K1214" i="1" s="1"/>
  <c r="K1215" i="1" s="1"/>
  <c r="K1216" i="1" s="1"/>
  <c r="K1217" i="1" s="1"/>
  <c r="K1218" i="1" s="1"/>
  <c r="K377" i="1"/>
  <c r="J376" i="1"/>
  <c r="K429" i="1"/>
  <c r="J428" i="1"/>
  <c r="K468" i="1"/>
  <c r="J467" i="1"/>
  <c r="K364" i="1"/>
  <c r="J364" i="1" s="1"/>
  <c r="J363" i="1"/>
  <c r="K494" i="1"/>
  <c r="K481" i="1"/>
  <c r="J480" i="1"/>
  <c r="K390" i="1"/>
  <c r="J389" i="1"/>
  <c r="J402" i="1"/>
  <c r="K403" i="1"/>
  <c r="J454" i="1"/>
  <c r="K455" i="1"/>
  <c r="J455" i="1" l="1"/>
  <c r="K456" i="1"/>
  <c r="J468" i="1"/>
  <c r="K469" i="1"/>
  <c r="J403" i="1"/>
  <c r="K404" i="1"/>
  <c r="K430" i="1"/>
  <c r="J429" i="1"/>
  <c r="K378" i="1"/>
  <c r="J378" i="1" s="1"/>
  <c r="J377" i="1"/>
  <c r="K391" i="1"/>
  <c r="J390" i="1"/>
  <c r="K1223" i="1"/>
  <c r="K1224" i="1" s="1"/>
  <c r="K1225" i="1" s="1"/>
  <c r="K1226" i="1" s="1"/>
  <c r="K1227" i="1" s="1"/>
  <c r="K1228" i="1" s="1"/>
  <c r="K1229" i="1" s="1"/>
  <c r="K1230" i="1" s="1"/>
  <c r="K1231" i="1" s="1"/>
  <c r="K1232" i="1" s="1"/>
  <c r="K1236" i="1"/>
  <c r="K482" i="1"/>
  <c r="J481" i="1"/>
  <c r="K495" i="1"/>
  <c r="K508" i="1"/>
  <c r="J494" i="1"/>
  <c r="J416" i="1"/>
  <c r="K417" i="1"/>
  <c r="J442" i="1"/>
  <c r="K443" i="1"/>
  <c r="K444" i="1" l="1"/>
  <c r="J443" i="1"/>
  <c r="K392" i="1"/>
  <c r="J392" i="1" s="1"/>
  <c r="J391" i="1"/>
  <c r="K418" i="1"/>
  <c r="J417" i="1"/>
  <c r="J430" i="1"/>
  <c r="K431" i="1"/>
  <c r="K522" i="1"/>
  <c r="K509" i="1"/>
  <c r="J508" i="1"/>
  <c r="K405" i="1"/>
  <c r="J404" i="1"/>
  <c r="K496" i="1"/>
  <c r="J495" i="1"/>
  <c r="K470" i="1"/>
  <c r="J469" i="1"/>
  <c r="J482" i="1"/>
  <c r="K483" i="1"/>
  <c r="K1237" i="1"/>
  <c r="K1238" i="1" s="1"/>
  <c r="K1239" i="1" s="1"/>
  <c r="K1240" i="1" s="1"/>
  <c r="K1241" i="1" s="1"/>
  <c r="K1242" i="1" s="1"/>
  <c r="K1243" i="1" s="1"/>
  <c r="K1244" i="1" s="1"/>
  <c r="K1245" i="1" s="1"/>
  <c r="K1246" i="1" s="1"/>
  <c r="K1250" i="1"/>
  <c r="K457" i="1"/>
  <c r="J456" i="1"/>
  <c r="K406" i="1" l="1"/>
  <c r="J406" i="1" s="1"/>
  <c r="J405" i="1"/>
  <c r="K484" i="1"/>
  <c r="J483" i="1"/>
  <c r="K1251" i="1"/>
  <c r="K1252" i="1" s="1"/>
  <c r="K1253" i="1" s="1"/>
  <c r="K1254" i="1" s="1"/>
  <c r="K1255" i="1" s="1"/>
  <c r="K1256" i="1" s="1"/>
  <c r="K1257" i="1" s="1"/>
  <c r="K1258" i="1" s="1"/>
  <c r="K1259" i="1" s="1"/>
  <c r="K1260" i="1" s="1"/>
  <c r="K1264" i="1"/>
  <c r="K523" i="1"/>
  <c r="K536" i="1"/>
  <c r="J522" i="1"/>
  <c r="K458" i="1"/>
  <c r="J457" i="1"/>
  <c r="K510" i="1"/>
  <c r="J509" i="1"/>
  <c r="J431" i="1"/>
  <c r="K432" i="1"/>
  <c r="K419" i="1"/>
  <c r="J418" i="1"/>
  <c r="J470" i="1"/>
  <c r="K471" i="1"/>
  <c r="J496" i="1"/>
  <c r="K497" i="1"/>
  <c r="J444" i="1"/>
  <c r="K445" i="1"/>
  <c r="J510" i="1" l="1"/>
  <c r="K511" i="1"/>
  <c r="K446" i="1"/>
  <c r="J445" i="1"/>
  <c r="J523" i="1"/>
  <c r="K524" i="1"/>
  <c r="J458" i="1"/>
  <c r="K459" i="1"/>
  <c r="K498" i="1"/>
  <c r="J497" i="1"/>
  <c r="K537" i="1"/>
  <c r="K550" i="1"/>
  <c r="J536" i="1"/>
  <c r="K472" i="1"/>
  <c r="J471" i="1"/>
  <c r="K1278" i="1"/>
  <c r="K1265" i="1"/>
  <c r="K1266" i="1" s="1"/>
  <c r="K1267" i="1" s="1"/>
  <c r="K1268" i="1" s="1"/>
  <c r="K1269" i="1" s="1"/>
  <c r="K1270" i="1" s="1"/>
  <c r="K1271" i="1" s="1"/>
  <c r="K1272" i="1" s="1"/>
  <c r="K1273" i="1" s="1"/>
  <c r="K1274" i="1" s="1"/>
  <c r="K420" i="1"/>
  <c r="J420" i="1" s="1"/>
  <c r="J419" i="1"/>
  <c r="K433" i="1"/>
  <c r="J432" i="1"/>
  <c r="K485" i="1"/>
  <c r="J484" i="1"/>
  <c r="K551" i="1" l="1"/>
  <c r="J550" i="1"/>
  <c r="K564" i="1"/>
  <c r="K538" i="1"/>
  <c r="J537" i="1"/>
  <c r="K486" i="1"/>
  <c r="J485" i="1"/>
  <c r="K499" i="1"/>
  <c r="J498" i="1"/>
  <c r="K434" i="1"/>
  <c r="J434" i="1" s="1"/>
  <c r="J433" i="1"/>
  <c r="J459" i="1"/>
  <c r="K460" i="1"/>
  <c r="K525" i="1"/>
  <c r="J524" i="1"/>
  <c r="K1292" i="1"/>
  <c r="K1279" i="1"/>
  <c r="K1280" i="1" s="1"/>
  <c r="K1281" i="1" s="1"/>
  <c r="K1282" i="1" s="1"/>
  <c r="K1283" i="1" s="1"/>
  <c r="K1284" i="1" s="1"/>
  <c r="K1285" i="1" s="1"/>
  <c r="K1286" i="1" s="1"/>
  <c r="K1287" i="1" s="1"/>
  <c r="K1288" i="1" s="1"/>
  <c r="K447" i="1"/>
  <c r="J446" i="1"/>
  <c r="J472" i="1"/>
  <c r="K473" i="1"/>
  <c r="K512" i="1"/>
  <c r="J511" i="1"/>
  <c r="J486" i="1" l="1"/>
  <c r="K487" i="1"/>
  <c r="J538" i="1"/>
  <c r="K539" i="1"/>
  <c r="K1293" i="1"/>
  <c r="K1294" i="1" s="1"/>
  <c r="K1295" i="1" s="1"/>
  <c r="K1296" i="1" s="1"/>
  <c r="K1297" i="1" s="1"/>
  <c r="K1298" i="1" s="1"/>
  <c r="K1299" i="1" s="1"/>
  <c r="K1300" i="1" s="1"/>
  <c r="K1301" i="1" s="1"/>
  <c r="K1302" i="1" s="1"/>
  <c r="K1306" i="1"/>
  <c r="K565" i="1"/>
  <c r="K578" i="1"/>
  <c r="J564" i="1"/>
  <c r="K513" i="1"/>
  <c r="J512" i="1"/>
  <c r="K474" i="1"/>
  <c r="J473" i="1"/>
  <c r="K500" i="1"/>
  <c r="J499" i="1"/>
  <c r="K448" i="1"/>
  <c r="J448" i="1" s="1"/>
  <c r="J447" i="1"/>
  <c r="K526" i="1"/>
  <c r="J525" i="1"/>
  <c r="K461" i="1"/>
  <c r="J460" i="1"/>
  <c r="K552" i="1"/>
  <c r="J551" i="1"/>
  <c r="K475" i="1" l="1"/>
  <c r="J474" i="1"/>
  <c r="K553" i="1"/>
  <c r="J552" i="1"/>
  <c r="K514" i="1"/>
  <c r="J513" i="1"/>
  <c r="K592" i="1"/>
  <c r="K579" i="1"/>
  <c r="J578" i="1"/>
  <c r="K566" i="1"/>
  <c r="J565" i="1"/>
  <c r="K462" i="1"/>
  <c r="J462" i="1" s="1"/>
  <c r="J461" i="1"/>
  <c r="K527" i="1"/>
  <c r="J526" i="1"/>
  <c r="K1307" i="1"/>
  <c r="K1308" i="1" s="1"/>
  <c r="K1309" i="1" s="1"/>
  <c r="K1310" i="1" s="1"/>
  <c r="K1311" i="1" s="1"/>
  <c r="K1312" i="1" s="1"/>
  <c r="K1313" i="1" s="1"/>
  <c r="K1314" i="1" s="1"/>
  <c r="K1315" i="1" s="1"/>
  <c r="K1316" i="1" s="1"/>
  <c r="K1320" i="1"/>
  <c r="K540" i="1"/>
  <c r="J539" i="1"/>
  <c r="J500" i="1"/>
  <c r="K501" i="1"/>
  <c r="K488" i="1"/>
  <c r="J487" i="1"/>
  <c r="K528" i="1" l="1"/>
  <c r="J527" i="1"/>
  <c r="J488" i="1"/>
  <c r="K489" i="1"/>
  <c r="K567" i="1"/>
  <c r="J566" i="1"/>
  <c r="K502" i="1"/>
  <c r="J501" i="1"/>
  <c r="K580" i="1"/>
  <c r="J579" i="1"/>
  <c r="J592" i="1"/>
  <c r="K606" i="1"/>
  <c r="K593" i="1"/>
  <c r="K541" i="1"/>
  <c r="J540" i="1"/>
  <c r="K1321" i="1"/>
  <c r="K1322" i="1" s="1"/>
  <c r="K1323" i="1" s="1"/>
  <c r="K1324" i="1" s="1"/>
  <c r="K1325" i="1" s="1"/>
  <c r="K1326" i="1" s="1"/>
  <c r="K1327" i="1" s="1"/>
  <c r="K1328" i="1" s="1"/>
  <c r="K1329" i="1" s="1"/>
  <c r="K1330" i="1" s="1"/>
  <c r="K1334" i="1"/>
  <c r="J514" i="1"/>
  <c r="K515" i="1"/>
  <c r="J553" i="1"/>
  <c r="K554" i="1"/>
  <c r="K476" i="1"/>
  <c r="J476" i="1" s="1"/>
  <c r="J475" i="1"/>
  <c r="K607" i="1" l="1"/>
  <c r="K620" i="1"/>
  <c r="J606" i="1"/>
  <c r="K555" i="1"/>
  <c r="J554" i="1"/>
  <c r="K581" i="1"/>
  <c r="J580" i="1"/>
  <c r="J515" i="1"/>
  <c r="K516" i="1"/>
  <c r="K1348" i="1"/>
  <c r="K1335" i="1"/>
  <c r="K1336" i="1" s="1"/>
  <c r="K1337" i="1" s="1"/>
  <c r="K1338" i="1" s="1"/>
  <c r="K1339" i="1" s="1"/>
  <c r="K1340" i="1" s="1"/>
  <c r="K1341" i="1" s="1"/>
  <c r="K1342" i="1" s="1"/>
  <c r="K1343" i="1" s="1"/>
  <c r="K1344" i="1" s="1"/>
  <c r="K568" i="1"/>
  <c r="J567" i="1"/>
  <c r="K503" i="1"/>
  <c r="J502" i="1"/>
  <c r="K490" i="1"/>
  <c r="J490" i="1" s="1"/>
  <c r="J489" i="1"/>
  <c r="K542" i="1"/>
  <c r="J541" i="1"/>
  <c r="K594" i="1"/>
  <c r="J593" i="1"/>
  <c r="K529" i="1"/>
  <c r="J528" i="1"/>
  <c r="K595" i="1" l="1"/>
  <c r="J594" i="1"/>
  <c r="J568" i="1"/>
  <c r="K569" i="1"/>
  <c r="J529" i="1"/>
  <c r="K530" i="1"/>
  <c r="K1362" i="1"/>
  <c r="K1349" i="1"/>
  <c r="K1350" i="1" s="1"/>
  <c r="K1351" i="1" s="1"/>
  <c r="K1352" i="1" s="1"/>
  <c r="K1353" i="1" s="1"/>
  <c r="K1354" i="1" s="1"/>
  <c r="K1355" i="1" s="1"/>
  <c r="K1356" i="1" s="1"/>
  <c r="K1357" i="1" s="1"/>
  <c r="K1358" i="1" s="1"/>
  <c r="J516" i="1"/>
  <c r="K517" i="1"/>
  <c r="K543" i="1"/>
  <c r="J542" i="1"/>
  <c r="K582" i="1"/>
  <c r="J581" i="1"/>
  <c r="J555" i="1"/>
  <c r="K556" i="1"/>
  <c r="K504" i="1"/>
  <c r="J504" i="1" s="1"/>
  <c r="J503" i="1"/>
  <c r="K621" i="1"/>
  <c r="K634" i="1"/>
  <c r="J620" i="1"/>
  <c r="J607" i="1"/>
  <c r="K608" i="1"/>
  <c r="J608" i="1" l="1"/>
  <c r="K609" i="1"/>
  <c r="K544" i="1"/>
  <c r="J543" i="1"/>
  <c r="K518" i="1"/>
  <c r="J518" i="1" s="1"/>
  <c r="J517" i="1"/>
  <c r="K635" i="1"/>
  <c r="J634" i="1"/>
  <c r="K648" i="1"/>
  <c r="K622" i="1"/>
  <c r="J621" i="1"/>
  <c r="K1363" i="1"/>
  <c r="K1364" i="1" s="1"/>
  <c r="K1365" i="1" s="1"/>
  <c r="K1366" i="1" s="1"/>
  <c r="K1367" i="1" s="1"/>
  <c r="K1368" i="1" s="1"/>
  <c r="K1369" i="1" s="1"/>
  <c r="K1370" i="1" s="1"/>
  <c r="K1371" i="1" s="1"/>
  <c r="K1372" i="1" s="1"/>
  <c r="K1376" i="1"/>
  <c r="J530" i="1"/>
  <c r="K531" i="1"/>
  <c r="K557" i="1"/>
  <c r="J556" i="1"/>
  <c r="J569" i="1"/>
  <c r="K570" i="1"/>
  <c r="K583" i="1"/>
  <c r="J582" i="1"/>
  <c r="K596" i="1"/>
  <c r="J595" i="1"/>
  <c r="K1390" i="1" l="1"/>
  <c r="K1377" i="1"/>
  <c r="K1378" i="1" s="1"/>
  <c r="K1379" i="1" s="1"/>
  <c r="K1380" i="1" s="1"/>
  <c r="K1381" i="1" s="1"/>
  <c r="K1382" i="1" s="1"/>
  <c r="K1383" i="1" s="1"/>
  <c r="K1384" i="1" s="1"/>
  <c r="K1385" i="1" s="1"/>
  <c r="K1386" i="1" s="1"/>
  <c r="K597" i="1"/>
  <c r="J596" i="1"/>
  <c r="J622" i="1"/>
  <c r="K623" i="1"/>
  <c r="K662" i="1"/>
  <c r="J648" i="1"/>
  <c r="K649" i="1"/>
  <c r="J583" i="1"/>
  <c r="K584" i="1"/>
  <c r="K571" i="1"/>
  <c r="J570" i="1"/>
  <c r="K636" i="1"/>
  <c r="J635" i="1"/>
  <c r="K558" i="1"/>
  <c r="J557" i="1"/>
  <c r="K532" i="1"/>
  <c r="J532" i="1" s="1"/>
  <c r="J531" i="1"/>
  <c r="J544" i="1"/>
  <c r="K545" i="1"/>
  <c r="J609" i="1"/>
  <c r="K610" i="1"/>
  <c r="K611" i="1" l="1"/>
  <c r="J610" i="1"/>
  <c r="K572" i="1"/>
  <c r="J571" i="1"/>
  <c r="K585" i="1"/>
  <c r="J584" i="1"/>
  <c r="K546" i="1"/>
  <c r="J546" i="1" s="1"/>
  <c r="J545" i="1"/>
  <c r="K650" i="1"/>
  <c r="J649" i="1"/>
  <c r="K676" i="1"/>
  <c r="J662" i="1"/>
  <c r="K663" i="1"/>
  <c r="J623" i="1"/>
  <c r="K624" i="1"/>
  <c r="K598" i="1"/>
  <c r="J597" i="1"/>
  <c r="K559" i="1"/>
  <c r="J558" i="1"/>
  <c r="K637" i="1"/>
  <c r="J636" i="1"/>
  <c r="K1391" i="1"/>
  <c r="K1392" i="1" s="1"/>
  <c r="K1393" i="1" s="1"/>
  <c r="K1394" i="1" s="1"/>
  <c r="K1395" i="1" s="1"/>
  <c r="K1396" i="1" s="1"/>
  <c r="K1397" i="1" s="1"/>
  <c r="K1398" i="1" s="1"/>
  <c r="K1399" i="1" s="1"/>
  <c r="K1400" i="1" s="1"/>
  <c r="K1404" i="1"/>
  <c r="J637" i="1" l="1"/>
  <c r="K638" i="1"/>
  <c r="K1405" i="1"/>
  <c r="K1406" i="1" s="1"/>
  <c r="K1407" i="1" s="1"/>
  <c r="K1408" i="1" s="1"/>
  <c r="K1409" i="1" s="1"/>
  <c r="K1410" i="1" s="1"/>
  <c r="K1411" i="1" s="1"/>
  <c r="K1412" i="1" s="1"/>
  <c r="K1413" i="1" s="1"/>
  <c r="K1414" i="1" s="1"/>
  <c r="K1418" i="1"/>
  <c r="J676" i="1"/>
  <c r="K690" i="1"/>
  <c r="K677" i="1"/>
  <c r="K651" i="1"/>
  <c r="J650" i="1"/>
  <c r="J559" i="1"/>
  <c r="K560" i="1"/>
  <c r="J560" i="1" s="1"/>
  <c r="K586" i="1"/>
  <c r="J585" i="1"/>
  <c r="J598" i="1"/>
  <c r="K599" i="1"/>
  <c r="K625" i="1"/>
  <c r="J624" i="1"/>
  <c r="K573" i="1"/>
  <c r="J572" i="1"/>
  <c r="K664" i="1"/>
  <c r="J663" i="1"/>
  <c r="K612" i="1"/>
  <c r="J611" i="1"/>
  <c r="K587" i="1" l="1"/>
  <c r="J586" i="1"/>
  <c r="K613" i="1"/>
  <c r="J612" i="1"/>
  <c r="K665" i="1"/>
  <c r="J664" i="1"/>
  <c r="K652" i="1"/>
  <c r="J651" i="1"/>
  <c r="K691" i="1"/>
  <c r="J690" i="1"/>
  <c r="K704" i="1"/>
  <c r="J677" i="1"/>
  <c r="K678" i="1"/>
  <c r="K574" i="1"/>
  <c r="J574" i="1" s="1"/>
  <c r="J573" i="1"/>
  <c r="K626" i="1"/>
  <c r="J625" i="1"/>
  <c r="K1419" i="1"/>
  <c r="K1420" i="1" s="1"/>
  <c r="K1421" i="1" s="1"/>
  <c r="K1422" i="1" s="1"/>
  <c r="K1423" i="1" s="1"/>
  <c r="K1424" i="1" s="1"/>
  <c r="K1425" i="1" s="1"/>
  <c r="K1426" i="1" s="1"/>
  <c r="K1427" i="1" s="1"/>
  <c r="K1428" i="1" s="1"/>
  <c r="K1432" i="1"/>
  <c r="K1433" i="1" s="1"/>
  <c r="K1434" i="1" s="1"/>
  <c r="K1435" i="1" s="1"/>
  <c r="K1436" i="1" s="1"/>
  <c r="K1437" i="1" s="1"/>
  <c r="K1438" i="1" s="1"/>
  <c r="K1439" i="1" s="1"/>
  <c r="K1440" i="1" s="1"/>
  <c r="K1441" i="1" s="1"/>
  <c r="K1442" i="1" s="1"/>
  <c r="K600" i="1"/>
  <c r="J599" i="1"/>
  <c r="K639" i="1"/>
  <c r="J638" i="1"/>
  <c r="K627" i="1" l="1"/>
  <c r="J626" i="1"/>
  <c r="J704" i="1"/>
  <c r="K705" i="1"/>
  <c r="K718" i="1"/>
  <c r="K640" i="1"/>
  <c r="J639" i="1"/>
  <c r="J691" i="1"/>
  <c r="K692" i="1"/>
  <c r="K601" i="1"/>
  <c r="J600" i="1"/>
  <c r="J652" i="1"/>
  <c r="K653" i="1"/>
  <c r="K666" i="1"/>
  <c r="J665" i="1"/>
  <c r="J613" i="1"/>
  <c r="K614" i="1"/>
  <c r="K679" i="1"/>
  <c r="J678" i="1"/>
  <c r="K588" i="1"/>
  <c r="J588" i="1" s="1"/>
  <c r="J587" i="1"/>
  <c r="K602" i="1" l="1"/>
  <c r="J602" i="1" s="1"/>
  <c r="J601" i="1"/>
  <c r="J692" i="1"/>
  <c r="K693" i="1"/>
  <c r="K680" i="1"/>
  <c r="J679" i="1"/>
  <c r="K615" i="1"/>
  <c r="J614" i="1"/>
  <c r="K719" i="1"/>
  <c r="J718" i="1"/>
  <c r="K706" i="1"/>
  <c r="J705" i="1"/>
  <c r="K641" i="1"/>
  <c r="J640" i="1"/>
  <c r="K667" i="1"/>
  <c r="J666" i="1"/>
  <c r="K654" i="1"/>
  <c r="J653" i="1"/>
  <c r="K628" i="1"/>
  <c r="J627" i="1"/>
  <c r="J667" i="1" l="1"/>
  <c r="K668" i="1"/>
  <c r="K642" i="1"/>
  <c r="J641" i="1"/>
  <c r="K707" i="1"/>
  <c r="J706" i="1"/>
  <c r="J719" i="1"/>
  <c r="K720" i="1"/>
  <c r="J628" i="1"/>
  <c r="K629" i="1"/>
  <c r="K616" i="1"/>
  <c r="J616" i="1" s="1"/>
  <c r="J615" i="1"/>
  <c r="K655" i="1"/>
  <c r="J654" i="1"/>
  <c r="K681" i="1"/>
  <c r="J680" i="1"/>
  <c r="K694" i="1"/>
  <c r="J693" i="1"/>
  <c r="K656" i="1" l="1"/>
  <c r="J655" i="1"/>
  <c r="K630" i="1"/>
  <c r="J630" i="1" s="1"/>
  <c r="J629" i="1"/>
  <c r="J720" i="1"/>
  <c r="K721" i="1"/>
  <c r="K722" i="1" s="1"/>
  <c r="K723" i="1" s="1"/>
  <c r="K724" i="1" s="1"/>
  <c r="K725" i="1" s="1"/>
  <c r="K726" i="1" s="1"/>
  <c r="K727" i="1" s="1"/>
  <c r="K728" i="1" s="1"/>
  <c r="J694" i="1"/>
  <c r="K695" i="1"/>
  <c r="J707" i="1"/>
  <c r="K708" i="1"/>
  <c r="K682" i="1"/>
  <c r="J681" i="1"/>
  <c r="K643" i="1"/>
  <c r="J642" i="1"/>
  <c r="K669" i="1"/>
  <c r="J668" i="1"/>
  <c r="J695" i="1" l="1"/>
  <c r="K696" i="1"/>
  <c r="K670" i="1"/>
  <c r="J669" i="1"/>
  <c r="J682" i="1"/>
  <c r="K683" i="1"/>
  <c r="J708" i="1"/>
  <c r="K709" i="1"/>
  <c r="J643" i="1"/>
  <c r="K644" i="1"/>
  <c r="J644" i="1" s="1"/>
  <c r="K657" i="1"/>
  <c r="J656" i="1"/>
  <c r="K658" i="1" l="1"/>
  <c r="J658" i="1" s="1"/>
  <c r="J657" i="1"/>
  <c r="K710" i="1"/>
  <c r="J709" i="1"/>
  <c r="K684" i="1"/>
  <c r="J683" i="1"/>
  <c r="K671" i="1"/>
  <c r="J670" i="1"/>
  <c r="K697" i="1"/>
  <c r="J696" i="1"/>
  <c r="J697" i="1" l="1"/>
  <c r="K698" i="1"/>
  <c r="K672" i="1"/>
  <c r="J672" i="1" s="1"/>
  <c r="J671" i="1"/>
  <c r="K685" i="1"/>
  <c r="J684" i="1"/>
  <c r="J710" i="1"/>
  <c r="K711" i="1"/>
  <c r="K712" i="1" l="1"/>
  <c r="J711" i="1"/>
  <c r="K686" i="1"/>
  <c r="J686" i="1" s="1"/>
  <c r="J685" i="1"/>
  <c r="J698" i="1"/>
  <c r="K699" i="1"/>
  <c r="K700" i="1" l="1"/>
  <c r="J700" i="1" s="1"/>
  <c r="J699" i="1"/>
  <c r="K713" i="1"/>
  <c r="J712" i="1"/>
  <c r="J713" i="1" l="1"/>
  <c r="K714" i="1"/>
  <c r="J71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C416B-043E-40E1-8A0A-6A8FEFC84A0C}" keepAlive="1" name="ThisWorkbookDataModel" description="Gegevens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0E184CA-2339-41FF-BD68-45917EBB4F61}" name="WorksheetConnection_preset_names.xlsm!Tabel1" type="102" refreshedVersion="6" minRefreshableVersion="5" saveData="1">
    <extLst>
      <ext xmlns:x15="http://schemas.microsoft.com/office/spreadsheetml/2010/11/main" uri="{DE250136-89BD-433C-8126-D09CA5730AF9}">
        <x15:connection id="Tabel1" autoDelete="1">
          <x15:rangePr sourceName="_xlcn.WorksheetConnection_preset_names.xlsmTabel11"/>
        </x15:connection>
      </ext>
    </extLst>
  </connection>
</connections>
</file>

<file path=xl/sharedStrings.xml><?xml version="1.0" encoding="utf-8"?>
<sst xmlns="http://schemas.openxmlformats.org/spreadsheetml/2006/main" count="10040" uniqueCount="1414">
  <si>
    <t>Petrucci Rig 2020</t>
  </si>
  <si>
    <t>Boogie IIC++</t>
  </si>
  <si>
    <t>JP2C+</t>
  </si>
  <si>
    <t>Mark Journey Set</t>
  </si>
  <si>
    <t>Evailution 1</t>
  </si>
  <si>
    <t>Evailution 2</t>
  </si>
  <si>
    <t>A Kind of Dream</t>
  </si>
  <si>
    <t>Blitz III</t>
  </si>
  <si>
    <t>Diamonique Rain</t>
  </si>
  <si>
    <t>Two Amps</t>
  </si>
  <si>
    <t>Zakk's Marshall #34</t>
  </si>
  <si>
    <t>Farfegnugen</t>
  </si>
  <si>
    <t>Lonestar rig</t>
  </si>
  <si>
    <t>"</t>
  </si>
  <si>
    <t>Presetnumber</t>
  </si>
  <si>
    <t>variable</t>
  </si>
  <si>
    <t>Name</t>
  </si>
  <si>
    <t>Variable + name</t>
  </si>
  <si>
    <t>strcpy(</t>
  </si>
  <si>
    <t>PresetName0</t>
  </si>
  <si>
    <t>PresetName1</t>
  </si>
  <si>
    <t>PresetName2</t>
  </si>
  <si>
    <t>PresetName3</t>
  </si>
  <si>
    <t>PresetName4</t>
  </si>
  <si>
    <t>PresetName5</t>
  </si>
  <si>
    <t>PresetName6</t>
  </si>
  <si>
    <t>PresetName7</t>
  </si>
  <si>
    <t>PresetName8</t>
  </si>
  <si>
    <t>PresetName9</t>
  </si>
  <si>
    <t>break;</t>
  </si>
  <si>
    <t>Do not change this Column</t>
  </si>
  <si>
    <t>//Scene name alignment management</t>
  </si>
  <si>
    <t>L12</t>
  </si>
  <si>
    <t>L13</t>
  </si>
  <si>
    <t>L22</t>
  </si>
  <si>
    <t>L23</t>
  </si>
  <si>
    <t>L32</t>
  </si>
  <si>
    <t>L33</t>
  </si>
  <si>
    <t>L42</t>
  </si>
  <si>
    <t>L43</t>
  </si>
  <si>
    <t>L52</t>
  </si>
  <si>
    <t>L53</t>
  </si>
  <si>
    <t>L62</t>
  </si>
  <si>
    <t>L63</t>
  </si>
  <si>
    <t>L72</t>
  </si>
  <si>
    <t>L73</t>
  </si>
  <si>
    <t>L82</t>
  </si>
  <si>
    <t>L83</t>
  </si>
  <si>
    <t>SCE11</t>
  </si>
  <si>
    <t>SCE12</t>
  </si>
  <si>
    <t>SCE13</t>
  </si>
  <si>
    <t>SCE21</t>
  </si>
  <si>
    <t>SCE22</t>
  </si>
  <si>
    <t>SCE23</t>
  </si>
  <si>
    <t>SCE31</t>
  </si>
  <si>
    <t>SCE32</t>
  </si>
  <si>
    <t>SCE33</t>
  </si>
  <si>
    <t>SCE41</t>
  </si>
  <si>
    <t>SCE42</t>
  </si>
  <si>
    <t>SCE43</t>
  </si>
  <si>
    <t>SCE51</t>
  </si>
  <si>
    <t>SCE52</t>
  </si>
  <si>
    <t>SCE53</t>
  </si>
  <si>
    <t>SCE61</t>
  </si>
  <si>
    <t>SCE62</t>
  </si>
  <si>
    <t>SCE63</t>
  </si>
  <si>
    <t>SCE71</t>
  </si>
  <si>
    <t>SCE72</t>
  </si>
  <si>
    <t>SCE73</t>
  </si>
  <si>
    <t>SCE81</t>
  </si>
  <si>
    <t>SCE82</t>
  </si>
  <si>
    <t>SCE83</t>
  </si>
  <si>
    <t>str1.toCharArray(</t>
  </si>
  <si>
    <t>str2.toCharArray(</t>
  </si>
  <si>
    <t>str3.toCharArray(</t>
  </si>
  <si>
    <t>Dit zijn de regels gevuld met tekst</t>
  </si>
  <si>
    <t>,</t>
  </si>
  <si>
    <t xml:space="preserve"> L11</t>
  </si>
  <si>
    <t xml:space="preserve"> L21</t>
  </si>
  <si>
    <t xml:space="preserve"> L31</t>
  </si>
  <si>
    <t xml:space="preserve"> L41</t>
  </si>
  <si>
    <t xml:space="preserve"> L51</t>
  </si>
  <si>
    <t xml:space="preserve"> L61</t>
  </si>
  <si>
    <t xml:space="preserve"> L71</t>
  </si>
  <si>
    <t xml:space="preserve"> L81</t>
  </si>
  <si>
    <t>case 1: SceneName_helper(name); stringScene.toCharArray(SceneName1,stringSceneLength +1); L1 = stringSceneLength; break;</t>
  </si>
  <si>
    <t>case 8: SceneName_helper(name);</t>
  </si>
  <si>
    <t>case 7: SceneName_helper(name);</t>
  </si>
  <si>
    <t>case 6: SceneName_helper(name);</t>
  </si>
  <si>
    <t>case 5: SceneName_helper(name);</t>
  </si>
  <si>
    <t>case 4: SceneName_helper(name);</t>
  </si>
  <si>
    <t>case 3: SceneName_helper(name);</t>
  </si>
  <si>
    <t>case 2: SceneName_helper(name);</t>
  </si>
  <si>
    <t>case 1: SceneName_helper(name);</t>
  </si>
  <si>
    <t>str1.length()</t>
  </si>
  <si>
    <t>str2.length()</t>
  </si>
  <si>
    <t>str3.length()</t>
  </si>
  <si>
    <t>case 1: SceneName_helper(name); L11=str1.length();L12=str2.length();L13=str3.length();=;str1.toCharArray(SCE11, L11+1);str2.toCharArray(SCE12,L12+1);str3.toCharArray(SCE13,L13+1);,+1);break;</t>
  </si>
  <si>
    <t>case 2: SceneName_helper(name); L21=str1.length();L22=str2.length();L23=str3.length();=;str1.toCharArray(SCE21, L21+1);str2.toCharArray(SCE22,L22+1);str3.toCharArray(SCE23,L23+1);,+1);break;</t>
  </si>
  <si>
    <t>case 3: SceneName_helper(name); L31=str1.length();L32=str2.length();L33=str3.length();=;str1.toCharArray(SCE31, L31+1);str2.toCharArray(SCE32,L32+1);str3.toCharArray(SCE33,L33+1);,+1);break;</t>
  </si>
  <si>
    <t>case 4: SceneName_helper(name); L41=str1.length();L42=str2.length();L43=str3.length();=;str1.toCharArray(SCE41, L41+1);str2.toCharArray(SCE42,L42+1);str3.toCharArray(SCE43,L43+1);,+1);break;</t>
  </si>
  <si>
    <t>case 5: SceneName_helper(name); L51=str1.length();L52=str2.length();L53=str3.length();=;str1.toCharArray(SCE51, L51+1);str2.toCharArray(SCE52,L52+1);str3.toCharArray(SCE53,L53+1);,+1);break;</t>
  </si>
  <si>
    <t>case 6: SceneName_helper(name); L61=str1.length();L62=str2.length();L63=str3.length();=;str1.toCharArray(SCE61, L61+1);str2.toCharArray(SCE62,L62+1);str3.toCharArray(SCE63,L63+1);,+1);break;</t>
  </si>
  <si>
    <t>case 7: SceneName_helper(name); L71=str1.length();L72=str2.length();L73=str3.length();=;str1.toCharArray(SCE71, L71+1);str2.toCharArray(SCE72,L72+1);str3.toCharArray(SCE73,L73+1);,+1);break;</t>
  </si>
  <si>
    <t>case 8: SceneName_helper(name); L81=str1.length();L82=str2.length();L83=str3.length();=;str1.toCharArray(SCE81, L81+1);str2.toCharArray(SCE82,L82+1);str3.toCharArray(SCE83,L83+1);,+1);break;</t>
  </si>
  <si>
    <t>}</t>
  </si>
  <si>
    <t>A</t>
  </si>
  <si>
    <t>1959SLP JUMPED (100W Marshall Super Lead Plexi 1959 reissue)</t>
  </si>
  <si>
    <t>1959SLP NORMAL</t>
  </si>
  <si>
    <t>1959SLP TREBLE</t>
  </si>
  <si>
    <t>1987X JUMPED (50W Marshall 1987X reissue)</t>
  </si>
  <si>
    <t>1987X NORMAL</t>
  </si>
  <si>
    <t>1987X TREBLE</t>
  </si>
  <si>
    <t>5153 100W BLUE (EVH 5150-III)</t>
  </si>
  <si>
    <t>5153 100W GREEN</t>
  </si>
  <si>
    <t>5153 100W RED</t>
  </si>
  <si>
    <t>5153 50W BLUE</t>
  </si>
  <si>
    <t>59 BASSGUY JUMPED</t>
  </si>
  <si>
    <t>5F1 TWEED (Fender Tweed Champ, 5F1)</t>
  </si>
  <si>
    <t>5F1 TWEED EC (Fender EC Vibro-Champ)</t>
  </si>
  <si>
    <t>65 BASSGUY NORMAL</t>
  </si>
  <si>
    <t>6G12 CONCERT (1960 brownface Fender Concert, 6G12)</t>
  </si>
  <si>
    <t>6G4 SUPER (1960 brownface Fender Super, 6G4)</t>
  </si>
  <si>
    <t>AC-20 12AX7 BASS (Morgan AC20 Deluxe)</t>
  </si>
  <si>
    <t>AC-20 12AX7 TREBLE</t>
  </si>
  <si>
    <t>AC-20 EF86 BASS</t>
  </si>
  <si>
    <t>AC-20 EF86 TREBLE</t>
  </si>
  <si>
    <t>ANGLE SEVERE 1 (Engl Savage 120)</t>
  </si>
  <si>
    <t>ANGLE SEVERE 2</t>
  </si>
  <si>
    <t>ARCHEAN (100W PRS Archon)</t>
  </si>
  <si>
    <t>ARCHEAN BRIGHT</t>
  </si>
  <si>
    <t>ARCHEAN CLEAN</t>
  </si>
  <si>
    <t>ATOMICA HIGH (Cameron Atomica)</t>
  </si>
  <si>
    <t>ATOMICA LOW</t>
  </si>
  <si>
    <t>BAND-COMMANDER (1968 silverface/blackface Fender Bandmaster, AB763)</t>
  </si>
  <si>
    <t>BIG HAIR (custom model)</t>
  </si>
  <si>
    <t>BLUDOJAI CLEAN (Bludotone Ojai)</t>
  </si>
  <si>
    <t>BLUDOJAI LEAD</t>
  </si>
  <si>
    <t>BLUDOJAI LEAD PAB</t>
  </si>
  <si>
    <t>BOGFISH BROWN (Bogner Fish preamp)</t>
  </si>
  <si>
    <t>BOGFISH STRATO</t>
  </si>
  <si>
    <t>BRIT 800 (50W Marshall JCM 800 2204)</t>
  </si>
  <si>
    <t>BRIT 800 #34 (Marshall JCM 800 with Santiago #34 modifications)</t>
  </si>
  <si>
    <t>BRIT 800 MOD (modded Marshall JCM 800)</t>
  </si>
  <si>
    <t>BRIT AFS100 1 (Marshall AFD100SCE)</t>
  </si>
  <si>
    <t>BRIT AFS100 2</t>
  </si>
  <si>
    <t>BRIT BROWN (custom model, producing the Plexi "Brown Sound")</t>
  </si>
  <si>
    <t>BRIT JM45 (Marshall JTM 45)</t>
  </si>
  <si>
    <t>BRIT JM45 JUMPED</t>
  </si>
  <si>
    <t>BRIT JVM OD1 GREEN (Marshall JVM410H)</t>
  </si>
  <si>
    <t>BRIT JVM OD1 ORANGE</t>
  </si>
  <si>
    <t>BRIT JVM OD1 RED</t>
  </si>
  <si>
    <t>BRIT JVM OD2 GREEN</t>
  </si>
  <si>
    <t>BRIT JVM OD2 ORANGE</t>
  </si>
  <si>
    <t>BRIT JVM OD2 RED</t>
  </si>
  <si>
    <t>BRIT PRE (Marshall JMP-1 preamp)</t>
  </si>
  <si>
    <t>BRIT SILVER (100W Lerxst Omega / Marshall 2555 Silver Jubilee)</t>
  </si>
  <si>
    <t>BRIT SUPER (Marshall AFD100)</t>
  </si>
  <si>
    <t>BUDDAH DUOMASTER (Budda Twinmaster)</t>
  </si>
  <si>
    <t>CA3+ CLEAN (Custom Audio Amplifiers 3+ SE preamp)</t>
  </si>
  <si>
    <t>CA3+ LEAD</t>
  </si>
  <si>
    <t>CA3+ RHYTHM</t>
  </si>
  <si>
    <t>CAMERON CCV 1A (Cameron CCV-100)</t>
  </si>
  <si>
    <t>CAMERON CCV 1B</t>
  </si>
  <si>
    <t>CAMERON CCV 2A</t>
  </si>
  <si>
    <t>CAMERON CCV 2B</t>
  </si>
  <si>
    <t>CAMERON CCV 2C</t>
  </si>
  <si>
    <t>CAMERON CCV 2D</t>
  </si>
  <si>
    <t>CAPT HOOK 1A (Hook Captain 34)</t>
  </si>
  <si>
    <t>CAPT HOOK 1B</t>
  </si>
  <si>
    <t>CAPT HOOK 2A</t>
  </si>
  <si>
    <t>CAPT HOOK 2B</t>
  </si>
  <si>
    <t>CAPT HOOK 3A</t>
  </si>
  <si>
    <t>CAPT HOOK 3B</t>
  </si>
  <si>
    <t>CAR ROAMER (Carr Rambler)</t>
  </si>
  <si>
    <t>CAROL-ANN OD-2 (Carol-Ann OD-2)</t>
  </si>
  <si>
    <t>CAROL-ANN TRIPTIK CLASSIC (Carol-Ann Triptik)</t>
  </si>
  <si>
    <t>CAROL-ANN TRIPTIK CLEAN</t>
  </si>
  <si>
    <t>CAROL-ANN TRIPTIK MODERN</t>
  </si>
  <si>
    <t>CAROL-ANN TUCANA CLEAN (Carol-Ann Tucana 3)</t>
  </si>
  <si>
    <t>CAROL-ANN TUCANA LEAD</t>
  </si>
  <si>
    <t>CITRUS A30 CLEAN (Orange AD30HTC)</t>
  </si>
  <si>
    <t>CITRUS A30 DIRTY</t>
  </si>
  <si>
    <t>CITRUS BASS 200 (Orange AD200B bass amp)</t>
  </si>
  <si>
    <t>CITRUS RV50 (Orange Rockerverb 50 MK II)</t>
  </si>
  <si>
    <t>CITRUS TERRIER (Orange Tiny Terror)</t>
  </si>
  <si>
    <t>CLASS-A 15W TB (Vox AC15 Top Boost)</t>
  </si>
  <si>
    <t>CLASS-A 30W (Vox AC30 Hand-Wired)</t>
  </si>
  <si>
    <t>CLASS-A 30W BRIGHT</t>
  </si>
  <si>
    <t>CLASS-A 30W HOT</t>
  </si>
  <si>
    <t>CLASS-A 30W TB</t>
  </si>
  <si>
    <t>COMET 60 (Komet 60)</t>
  </si>
  <si>
    <t>COMET CONCOURSE (Komet Concorde)</t>
  </si>
  <si>
    <t>CORNFED M50 (Cornford MK50 II)</t>
  </si>
  <si>
    <t>DAS METALL (Diezel VH4)</t>
  </si>
  <si>
    <t>DELUXE TWEED (Fender Tweed Deluxe, 5E3)</t>
  </si>
  <si>
    <t>DELUXE TWEED JUMPED</t>
  </si>
  <si>
    <t>DELUXE VERB NORMAL (blackface Fender Deluxe Reverb, AB763)</t>
  </si>
  <si>
    <t>DELUXE VERB VIBRATO</t>
  </si>
  <si>
    <t>DIRTY SHIRLEY (40W Friedman Dirty Shirley)</t>
  </si>
  <si>
    <t>DIRTY SHIRLEY 2</t>
  </si>
  <si>
    <t>DIV/13 CJ (Divided By 13 CJ 11)</t>
  </si>
  <si>
    <t>DIV/13 CJ BOOST</t>
  </si>
  <si>
    <t>DIV/13 FT37 HIGH (Divided By 13 FTR 37)</t>
  </si>
  <si>
    <t>DIV/13 FT37 LOW</t>
  </si>
  <si>
    <t>DIZZY V4 BLUE 2 (Diezel VH4)</t>
  </si>
  <si>
    <t>DIZZY V4 BLUE 3</t>
  </si>
  <si>
    <t>DIZZY V4 BLUE 4</t>
  </si>
  <si>
    <t>DIZZY V4 SILVER 2</t>
  </si>
  <si>
    <t>DIZZY V4 SILVER 3</t>
  </si>
  <si>
    <t>DIZZY V4 SILVER 4</t>
  </si>
  <si>
    <t>DOUBLE VERB NORMAL (1966 blackface Fender Twin Reverb)</t>
  </si>
  <si>
    <t>DOUBLE VERB SILVERFACE (1971 silverface Fender Twin Reverb)</t>
  </si>
  <si>
    <t>DOUBLE VERB VIBRATO (1966 blackface Fender Twin Reverb)</t>
  </si>
  <si>
    <t>ENERGYBALL (Engl Powerball)</t>
  </si>
  <si>
    <t>EURO BLUE (Bogner Ecstasy 20th Anniversary)</t>
  </si>
  <si>
    <t>EURO BLUE MODERN</t>
  </si>
  <si>
    <t>EURO RED</t>
  </si>
  <si>
    <t>EURO RED MODERN</t>
  </si>
  <si>
    <t>EURO UBER (Bogner Uberschall)</t>
  </si>
  <si>
    <t>FAS 6160 (custom model)</t>
  </si>
  <si>
    <t>FAS BASS (custom model)</t>
  </si>
  <si>
    <t>FAS BROOTALZ (custom model)</t>
  </si>
  <si>
    <t>FAS BROWN (custom model)</t>
  </si>
  <si>
    <t>FAS CLASS-A (custom model)</t>
  </si>
  <si>
    <t>FAS CRUNCH (custom model)</t>
  </si>
  <si>
    <t>FAS EXPRESS (custom model)</t>
  </si>
  <si>
    <t>FAS HOT ROD (custom model)</t>
  </si>
  <si>
    <t>FAS LEAD 1 (custom model)</t>
  </si>
  <si>
    <t>FAS LEAD 2 (custom model)</t>
  </si>
  <si>
    <t>FAS MODERN (custom model)</t>
  </si>
  <si>
    <t>FAS MODERN II (custom model)</t>
  </si>
  <si>
    <t>FAS MODERN III (custom model)</t>
  </si>
  <si>
    <t>FAS RHYTHM (custom model)</t>
  </si>
  <si>
    <t>FAS SKULL CRUSHER (custom model)</t>
  </si>
  <si>
    <t>FAS WRECK (custom model)</t>
  </si>
  <si>
    <t>FOX ODS (Fuchs Overdrive Supreme 50)</t>
  </si>
  <si>
    <t>FOX ODS DEEP</t>
  </si>
  <si>
    <t>FRIEDMAN BE 2010 (Friedman BE)</t>
  </si>
  <si>
    <t>FRIEDMAN BE C45</t>
  </si>
  <si>
    <t>FRIEDMAN BE V1</t>
  </si>
  <si>
    <t>FRIEDMAN BE V1 FAT</t>
  </si>
  <si>
    <t>FRIEDMAN BE V2</t>
  </si>
  <si>
    <t>FRIEDMAN BE V3</t>
  </si>
  <si>
    <t>FRIEDMAN HBE 2010</t>
  </si>
  <si>
    <t>FRIEDMAN HBE C45</t>
  </si>
  <si>
    <t>FRIEDMAN HBE V1</t>
  </si>
  <si>
    <t>FRIEDMAN HBE V1 FAT</t>
  </si>
  <si>
    <t>FRIEDMAN HBE V2</t>
  </si>
  <si>
    <t>FRIEDMAN HBE V3</t>
  </si>
  <si>
    <t>FRIEDMAN SMALL BOX (Friedman Smallbox)</t>
  </si>
  <si>
    <t>FRYETTE D60 LESS (Fryette Deliverance 60)</t>
  </si>
  <si>
    <t>FRYETTE D60 MORE</t>
  </si>
  <si>
    <t>GIBTONE SCOUT (Gibson GA17RVT Scout)</t>
  </si>
  <si>
    <t>HERBIE CH2+ (Diezel Herbert)</t>
  </si>
  <si>
    <t>HERBIE CH2-</t>
  </si>
  <si>
    <t>HERBIE CH3</t>
  </si>
  <si>
    <t>HIPOWER BRILLIANT (Hiwatt DR103)</t>
  </si>
  <si>
    <t>HIPOWER JUMPED</t>
  </si>
  <si>
    <t>HIPOWER NORMAL</t>
  </si>
  <si>
    <t>HOT KITTY (BadCat Hot Cat 30)</t>
  </si>
  <si>
    <t>JMPRE-1 OD1 BASS SHIFT</t>
  </si>
  <si>
    <t>JMPRE-1 OD2</t>
  </si>
  <si>
    <t>JMPRE-1 OD2 BASS SHIFT</t>
  </si>
  <si>
    <t>JR BLUES (Fender Blues Junior)</t>
  </si>
  <si>
    <t>JR BLUES FAT</t>
  </si>
  <si>
    <t>JS410 CRUNCH ORANGE (Marshall JVM410HJS)</t>
  </si>
  <si>
    <t>JS410 CRUNCH RED</t>
  </si>
  <si>
    <t>JS410 LEAD ORANGE</t>
  </si>
  <si>
    <t>JS410 LEAD RED</t>
  </si>
  <si>
    <t>JAZZ 120 (Roland Jazz Chorus 120)</t>
  </si>
  <si>
    <t>LEGEND 100 (Carvin Legacy VL100)</t>
  </si>
  <si>
    <t>LEGEND 100 II (Carvin Legacy VL300)</t>
  </si>
  <si>
    <t>MATCHBOX CHIEFTAIN 1 (Matchless Chieftain)</t>
  </si>
  <si>
    <t>MATCHBOX CHIEFTAIN 2</t>
  </si>
  <si>
    <t>MATCHBOX D-30 (Matchless DC-30)</t>
  </si>
  <si>
    <t>MATCHBOX D-30 EF86</t>
  </si>
  <si>
    <t>MR Z HWY 66 (Dr. Z Route 66)</t>
  </si>
  <si>
    <t>MR Z MZ-38 (Dr. Z Maz 38 SR)</t>
  </si>
  <si>
    <t>MR Z MZ-8 (Dr. Z Maz 8)</t>
  </si>
  <si>
    <t>NUCLEAR-TONE (Swart Atomic Space Tone)</t>
  </si>
  <si>
    <t>ODS-100 CLEAN (Dumble Overdrive Special)</t>
  </si>
  <si>
    <t>ODS-100 FORD</t>
  </si>
  <si>
    <t>ODS-100 FORD PAB</t>
  </si>
  <si>
    <t>ODS-100 FORD PAB MID</t>
  </si>
  <si>
    <t>ODS-100 HRM</t>
  </si>
  <si>
    <t>ODS-100 HRM MID</t>
  </si>
  <si>
    <t>PVH 6160 BLOCK (Peavey "Block Letter" EVH 5150)</t>
  </si>
  <si>
    <t>PVH 6160+ CLEAN (Peavey 6505+ / EVH 5150-II)</t>
  </si>
  <si>
    <t>PVH 6160+ CLEAN BRIGHT</t>
  </si>
  <si>
    <t>PVH 6160+ CRUNCH</t>
  </si>
  <si>
    <t>PVH 6160+ CRUNCH BRIGHT</t>
  </si>
  <si>
    <t>PVH 6160+ LEAD (Peavey 6505+ / EVH 5150-II)</t>
  </si>
  <si>
    <t>PLEXI 100W 1970 (1970 100W Marshall Plexi)</t>
  </si>
  <si>
    <t>PLEXI 100W HIGH (1969 100W Marshall Plexi)</t>
  </si>
  <si>
    <t>PLEXI 100W JUMPED</t>
  </si>
  <si>
    <t>PLEXI 100W NORMAL</t>
  </si>
  <si>
    <t>PLEXI 2204 (1981 50W Marshall JMP 2204)</t>
  </si>
  <si>
    <t>PLEXI 50W 6550 (1972 50W Marshall Plexi)</t>
  </si>
  <si>
    <t>PLEXI 50W 6CA7 (50W Marshall Plexi)</t>
  </si>
  <si>
    <t>PLEXI 50W HIGH 1 (1972 50W Marshall Plexi)</t>
  </si>
  <si>
    <t>PLEXI 50W HIGH 2</t>
  </si>
  <si>
    <t>PLEXI 50W JUMPED</t>
  </si>
  <si>
    <t>PLEXI 50W NORMAL</t>
  </si>
  <si>
    <t>PORTA-BASS (Ampeg Portaflex bass amp)</t>
  </si>
  <si>
    <t>PRINCE TONE 5F2 (Fender Tweed Princeton, 5F2-A)</t>
  </si>
  <si>
    <t>PRINCE TONE AA964 (silverface Fender Princeton without reverb, AA964)</t>
  </si>
  <si>
    <t>PRINCE TONE REVERB (1966 blackface Fender Princeton with reverb, AA964)</t>
  </si>
  <si>
    <t>RECTO1 ORANGE MODERN (Mesa Dual Rectifier, 2 channels)</t>
  </si>
  <si>
    <t>RECTO1 ORANGE NORMAL</t>
  </si>
  <si>
    <t>RECTO1 RED</t>
  </si>
  <si>
    <t>RECTO2 ORANGE MODERN (Mesa Dual Rectifier, 3 channels)</t>
  </si>
  <si>
    <t>RECTO2 ORANGE VINTAGE</t>
  </si>
  <si>
    <t>RECTO2 RED MODERN</t>
  </si>
  <si>
    <t>RECTO2 RED VINTAGE</t>
  </si>
  <si>
    <t>RUBY ROCKET (Paul Ruby Rocket)</t>
  </si>
  <si>
    <t>RUBY ROCKET BRIGHT</t>
  </si>
  <si>
    <t>SV BASS 1 (Ampeg SVT bass amp)</t>
  </si>
  <si>
    <t>SV BASS 2</t>
  </si>
  <si>
    <t>SHIVER CLEAN (Bogner Shiva 20th Anniversary)</t>
  </si>
  <si>
    <t>SHIVER LEAD</t>
  </si>
  <si>
    <t>SOLO 100 CLEAN (Soldano SLO-100)</t>
  </si>
  <si>
    <t>SOLO 100 LEAD</t>
  </si>
  <si>
    <t>SOLO 100 RHYTHM</t>
  </si>
  <si>
    <t>SOLO 88 CLEAN (Soldano X88R preamp)</t>
  </si>
  <si>
    <t>SOLO 88 LEAD</t>
  </si>
  <si>
    <t>SOLO 88 RHYTHM</t>
  </si>
  <si>
    <t>SOLO 99 CLEAN (Soldano/Caswell X99 preamp)</t>
  </si>
  <si>
    <t>SOLO 99 LEAD</t>
  </si>
  <si>
    <t>SOLO 99 LEAD BRIGHT</t>
  </si>
  <si>
    <t>SPAWN NITROUS 1 (Splawn Nitro)</t>
  </si>
  <si>
    <t>SPAWN NITROUS 2</t>
  </si>
  <si>
    <t>SPAWN Q-ROD OD1-1 (Splawn Quickrod)</t>
  </si>
  <si>
    <t>SPAWN Q-ROD OD1-2</t>
  </si>
  <si>
    <t>SPAWN Q-ROD OD1-3</t>
  </si>
  <si>
    <t>SPAWN Q-ROD OD2-1</t>
  </si>
  <si>
    <t>SPAWN Q-ROD OD2-2</t>
  </si>
  <si>
    <t>SPAWN Q-ROD OD2-3</t>
  </si>
  <si>
    <t>SUHR BADGER 18 (Suhr Badger 18)</t>
  </si>
  <si>
    <t>SUHR BADGER 30 (Suhr Badger 30)</t>
  </si>
  <si>
    <t>SUPER VERB NORMAL (1964 Fender Super Reverb, AB763)</t>
  </si>
  <si>
    <t>SUPER VERB VIBRATO</t>
  </si>
  <si>
    <t>SUPERTWEED (custom model)</t>
  </si>
  <si>
    <t>SUPREMO TREM (Supro 1964T)</t>
  </si>
  <si>
    <t>TEXAS STAR CLEAN (Mesa Lone Star Classic)</t>
  </si>
  <si>
    <t>TEXAS STAR LEAD</t>
  </si>
  <si>
    <t>THORDENDAL MODERN (Mesa Dual Rectifier)</t>
  </si>
  <si>
    <t>THORDENDAL VINTAGE</t>
  </si>
  <si>
    <t>TREMOLO LUX (blackface Fender Tremolux, AA763)</t>
  </si>
  <si>
    <t>TRIPLE CREST 2 (Mesa/Boogie Triple Crown TC-100)</t>
  </si>
  <si>
    <t>TRIPLE CREST 3</t>
  </si>
  <si>
    <t>TUBE PRE (generic tube preamp model)</t>
  </si>
  <si>
    <t>TWO STONE J35 (Two-Rock Jet 35)</t>
  </si>
  <si>
    <t>TWO STONE J35 PAB</t>
  </si>
  <si>
    <t>USA BASS 400 1 (Mesa/Boogie Bass 400 bass amp)</t>
  </si>
  <si>
    <t>USA BASS 400 2</t>
  </si>
  <si>
    <t>USA CLEAN / LEAD / RHYTHM (Mesa/Boogie Mark IV)</t>
  </si>
  <si>
    <t>USA IIC+ (Mesa/Boogie Mark IIC+)</t>
  </si>
  <si>
    <t>USA IIC+ BRIGHT</t>
  </si>
  <si>
    <t>USA IIC+ DEEP</t>
  </si>
  <si>
    <t>USA IIC+ DEEP BRIGHT</t>
  </si>
  <si>
    <t>USA IIC++ (custom model)</t>
  </si>
  <si>
    <t>USA JP IIC+ Green (Mesa/Boogie JP-2C)</t>
  </si>
  <si>
    <t>USA JP IIC+ Red</t>
  </si>
  <si>
    <t>USA JP IIC+ Red Shred</t>
  </si>
  <si>
    <t>USA JP IIC+ Yellow</t>
  </si>
  <si>
    <t>USA JP IIC+ Yellow Shred</t>
  </si>
  <si>
    <t>USA LEAD (Mesa/Boogie Mark IV)</t>
  </si>
  <si>
    <t>USA LEAD BRIGHT</t>
  </si>
  <si>
    <t>USA LEAD MID GAIN</t>
  </si>
  <si>
    <t>USA LEAD MID GAIN BRIGHT</t>
  </si>
  <si>
    <t>USA PRE CLEAN (Mesa/Boogie TriAxis preamp)</t>
  </si>
  <si>
    <t>USA PRE LD1 RED (TX-4 board)</t>
  </si>
  <si>
    <t>USA PRE LD2 GREEN</t>
  </si>
  <si>
    <t>USA PRE LD2 RED</t>
  </si>
  <si>
    <t>USA PRE LD2 YELLOW</t>
  </si>
  <si>
    <t>USA RHYTHM (Mesa Mark IV)</t>
  </si>
  <si>
    <t>USA SUB BLUES (Mesa/Boogie Subway Blues)</t>
  </si>
  <si>
    <t>VIBRA-KING (custom Fender Vibro-King)</t>
  </si>
  <si>
    <t>VIBRA-KING FAT</t>
  </si>
  <si>
    <t>VIBRATO LUX (1962/1963 brownface Fender Vibrolux, 6G11)</t>
  </si>
  <si>
    <t>VIBRATO VERB (Fender Vibroverb)</t>
  </si>
  <si>
    <t>VIBRATO VERB AA (1964 blackface Fender Vibroverb, AA763)</t>
  </si>
  <si>
    <t>VIBRATO VERB AB (Fender Vibroverb, AB763)</t>
  </si>
  <si>
    <t>VIBRATO VERB CUSTOM (Fender Vibroverb Custom Reissue)</t>
  </si>
  <si>
    <t>WRECKER EXPRESS (Trainwreck Express)</t>
  </si>
  <si>
    <t>WRECKER EXPRESS BRIGHT</t>
  </si>
  <si>
    <t>WRECKER LIVERPOOL (Trainwreck Liverpool)</t>
  </si>
  <si>
    <t>WRECKER LIVERPOOL BRIGHT</t>
  </si>
  <si>
    <t>WRECKER ROCKET (Trainwreck Rocket)</t>
  </si>
  <si>
    <t>Hex translation</t>
  </si>
  <si>
    <t>Decimal</t>
  </si>
  <si>
    <t>=</t>
  </si>
  <si>
    <r>
      <t>10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</si>
  <si>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</si>
  <si>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0</t>
    </r>
  </si>
  <si>
    <t>+</t>
  </si>
  <si>
    <t>Hex</t>
  </si>
  <si>
    <t>Binary</t>
  </si>
  <si>
    <r>
      <t>16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</si>
  <si>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</si>
  <si>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0</t>
    </r>
  </si>
  <si>
    <t>f</t>
  </si>
  <si>
    <t>Manual HEX</t>
  </si>
  <si>
    <t>X</t>
  </si>
  <si>
    <t>Hex to decimal</t>
  </si>
  <si>
    <t>Total decimal</t>
  </si>
  <si>
    <t>4F</t>
  </si>
  <si>
    <t>3D</t>
  </si>
  <si>
    <t>c</t>
  </si>
  <si>
    <t>Hexadecimal</t>
  </si>
  <si>
    <t>ASCII</t>
  </si>
  <si>
    <t>Character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</si>
  <si>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</si>
  <si>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</si>
  <si>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</si>
  <si>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</si>
  <si>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</si>
  <si>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</si>
  <si>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</si>
  <si>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</si>
  <si>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</si>
  <si>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</si>
  <si>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0A</t>
  </si>
  <si>
    <t>LF</t>
  </si>
  <si>
    <t>0B</t>
  </si>
  <si>
    <t>VT</t>
  </si>
  <si>
    <t>0C</t>
  </si>
  <si>
    <t>FF</t>
  </si>
  <si>
    <t>0D</t>
  </si>
  <si>
    <t>CR</t>
  </si>
  <si>
    <t>0E</t>
  </si>
  <si>
    <t>SO</t>
  </si>
  <si>
    <t>0F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</si>
  <si>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</si>
  <si>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</si>
  <si>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</si>
  <si>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</si>
  <si>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</si>
  <si>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</si>
  <si>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</si>
  <si>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</si>
  <si>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</si>
  <si>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</si>
  <si>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</si>
  <si>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1A</t>
  </si>
  <si>
    <t>SUB</t>
  </si>
  <si>
    <t>1B</t>
  </si>
  <si>
    <t>ESC</t>
  </si>
  <si>
    <t>1C</t>
  </si>
  <si>
    <t>FS</t>
  </si>
  <si>
    <t>1D</t>
  </si>
  <si>
    <t>GS</t>
  </si>
  <si>
    <t>1E</t>
  </si>
  <si>
    <t>RS</t>
  </si>
  <si>
    <t>1F</t>
  </si>
  <si>
    <t>US</t>
  </si>
  <si>
    <t>Space</t>
  </si>
  <si>
    <t>!</t>
  </si>
  <si>
    <t>#</t>
  </si>
  <si>
    <t>$</t>
  </si>
  <si>
    <t>%</t>
  </si>
  <si>
    <t>&amp;</t>
  </si>
  <si>
    <t>'</t>
  </si>
  <si>
    <t>(</t>
  </si>
  <si>
    <t>)</t>
  </si>
  <si>
    <t>2A</t>
  </si>
  <si>
    <t>*</t>
  </si>
  <si>
    <t>2B</t>
  </si>
  <si>
    <t>2C</t>
  </si>
  <si>
    <t>2D</t>
  </si>
  <si>
    <t>-</t>
  </si>
  <si>
    <t>2E</t>
  </si>
  <si>
    <t>.</t>
  </si>
  <si>
    <t>2F</t>
  </si>
  <si>
    <t>/</t>
  </si>
  <si>
    <t>3A</t>
  </si>
  <si>
    <t>:</t>
  </si>
  <si>
    <t>3B</t>
  </si>
  <si>
    <t>;</t>
  </si>
  <si>
    <t>3C</t>
  </si>
  <si>
    <t>&lt;</t>
  </si>
  <si>
    <t>3E</t>
  </si>
  <si>
    <t>&gt;</t>
  </si>
  <si>
    <t>3F</t>
  </si>
  <si>
    <t>?</t>
  </si>
  <si>
    <t>@</t>
  </si>
  <si>
    <t>B</t>
  </si>
  <si>
    <t>C</t>
  </si>
  <si>
    <t>D</t>
  </si>
  <si>
    <t>E</t>
  </si>
  <si>
    <t>F</t>
  </si>
  <si>
    <t>G</t>
  </si>
  <si>
    <t>H</t>
  </si>
  <si>
    <t>I</t>
  </si>
  <si>
    <t>4A</t>
  </si>
  <si>
    <t>J</t>
  </si>
  <si>
    <t>4B</t>
  </si>
  <si>
    <t>K</t>
  </si>
  <si>
    <t>4C</t>
  </si>
  <si>
    <t>L</t>
  </si>
  <si>
    <t>4D</t>
  </si>
  <si>
    <t>M</t>
  </si>
  <si>
    <t>4E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</si>
  <si>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</si>
  <si>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</si>
  <si>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</si>
  <si>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</si>
  <si>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</si>
  <si>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</si>
  <si>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</si>
  <si>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</si>
  <si>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</si>
  <si>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</si>
  <si>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</si>
  <si>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5A</t>
  </si>
  <si>
    <t>Z</t>
  </si>
  <si>
    <t>5B</t>
  </si>
  <si>
    <t>[</t>
  </si>
  <si>
    <t>5C</t>
  </si>
  <si>
    <t>\</t>
  </si>
  <si>
    <t>5D</t>
  </si>
  <si>
    <t>]</t>
  </si>
  <si>
    <t>5E</t>
  </si>
  <si>
    <t>^</t>
  </si>
  <si>
    <t>5F</t>
  </si>
  <si>
    <t>_</t>
  </si>
  <si>
    <t>`</t>
  </si>
  <si>
    <t>a</t>
  </si>
  <si>
    <t>b</t>
  </si>
  <si>
    <t>d</t>
  </si>
  <si>
    <t>e</t>
  </si>
  <si>
    <t>g</t>
  </si>
  <si>
    <t>h</t>
  </si>
  <si>
    <t>i</t>
  </si>
  <si>
    <t>6A</t>
  </si>
  <si>
    <t>j</t>
  </si>
  <si>
    <t>6B</t>
  </si>
  <si>
    <t>k</t>
  </si>
  <si>
    <t>6C</t>
  </si>
  <si>
    <t>l</t>
  </si>
  <si>
    <t>6D</t>
  </si>
  <si>
    <t>m</t>
  </si>
  <si>
    <t>6E</t>
  </si>
  <si>
    <t>n</t>
  </si>
  <si>
    <t>6F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</si>
  <si>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</si>
  <si>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</si>
  <si>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</si>
  <si>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</si>
  <si>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</si>
  <si>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</si>
  <si>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</si>
  <si>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</si>
  <si>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</si>
  <si>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</si>
  <si>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</si>
  <si>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7A</t>
  </si>
  <si>
    <t>z</t>
  </si>
  <si>
    <t>7B</t>
  </si>
  <si>
    <t>{</t>
  </si>
  <si>
    <t>7C</t>
  </si>
  <si>
    <t>|</t>
  </si>
  <si>
    <t>7D</t>
  </si>
  <si>
    <t>7E</t>
  </si>
  <si>
    <t>~</t>
  </si>
  <si>
    <t>7F</t>
  </si>
  <si>
    <t>DEL</t>
  </si>
  <si>
    <t>HEX 1</t>
  </si>
  <si>
    <t>HEX 2</t>
  </si>
  <si>
    <t>SUM</t>
  </si>
  <si>
    <t>Hex 1 and Hex 2</t>
  </si>
  <si>
    <t>Ping-Pong Pong-Ping</t>
  </si>
  <si>
    <t>8-Voice Chorus</t>
  </si>
  <si>
    <t>Dual Clean</t>
  </si>
  <si>
    <t>New Country</t>
  </si>
  <si>
    <t>In a Fixx</t>
  </si>
  <si>
    <t>L.A. Session Clean</t>
  </si>
  <si>
    <t>Yngwie!</t>
  </si>
  <si>
    <t>Mr.Gilmour Lead</t>
  </si>
  <si>
    <t>Plate Collection</t>
  </si>
  <si>
    <t>Chugnuts</t>
  </si>
  <si>
    <t>Ned Beatty</t>
  </si>
  <si>
    <t>Spandex &amp; Hairspray</t>
  </si>
  <si>
    <t>Avant Jazz</t>
  </si>
  <si>
    <t>Stone in Love</t>
  </si>
  <si>
    <t>Fifth Tribe</t>
  </si>
  <si>
    <t>Ambient Guitar</t>
  </si>
  <si>
    <t>Eruption</t>
  </si>
  <si>
    <t>Thrilling Chilling</t>
  </si>
  <si>
    <t>Mr.Floyd</t>
  </si>
  <si>
    <t>Barracuda</t>
  </si>
  <si>
    <t>Solar Eclipses</t>
  </si>
  <si>
    <t>Comb Delays</t>
  </si>
  <si>
    <t>Pitch Follower</t>
  </si>
  <si>
    <t>The Infield</t>
  </si>
  <si>
    <t>Polychromatic Shifter</t>
  </si>
  <si>
    <t>1987 Clean</t>
  </si>
  <si>
    <t>Sultans</t>
  </si>
  <si>
    <t>Jeff Gets Ready</t>
  </si>
  <si>
    <t>Pete-a-Palooza</t>
  </si>
  <si>
    <t>Larry Mitchell NY Steak</t>
  </si>
  <si>
    <t>Mark's Day's Recto Cygnus</t>
  </si>
  <si>
    <t>Brett's Party Pack</t>
  </si>
  <si>
    <t>Leon's Live</t>
  </si>
  <si>
    <t>Out1:FOH Out2:Cab</t>
  </si>
  <si>
    <t>Amp Match Template</t>
  </si>
  <si>
    <t>Brett's Party Pack 2</t>
  </si>
  <si>
    <t>MCU</t>
  </si>
  <si>
    <t>LT Chunk</t>
  </si>
  <si>
    <t>LT Crunch</t>
  </si>
  <si>
    <t>LT Rack Delays (Clean)</t>
  </si>
  <si>
    <t>LT Rack Delays (Filth)</t>
  </si>
  <si>
    <t>LT MK IV Cygnus</t>
  </si>
  <si>
    <t>TM Lukather</t>
  </si>
  <si>
    <t>Mark's Recto 2</t>
  </si>
  <si>
    <t>Mark's Recto TNT</t>
  </si>
  <si>
    <t>MESA TRIAXIS</t>
  </si>
  <si>
    <t>VidarAus JP2C Rigv5</t>
  </si>
  <si>
    <t>Mesa TriAxess</t>
  </si>
  <si>
    <t>Mesa MarkIV</t>
  </si>
  <si>
    <t>JP's IIC+ v12</t>
  </si>
  <si>
    <t>JohnP MarkIIC+</t>
  </si>
  <si>
    <t>Petrucci REC</t>
  </si>
  <si>
    <t>effectName</t>
  </si>
  <si>
    <t>effect_Id</t>
  </si>
  <si>
    <t>CONTROL</t>
  </si>
  <si>
    <t>TUNER</t>
  </si>
  <si>
    <t>IRCAPTURE</t>
  </si>
  <si>
    <t>INPUT1</t>
  </si>
  <si>
    <t>INPUT2</t>
  </si>
  <si>
    <t>INPUT3</t>
  </si>
  <si>
    <t>INPUT4</t>
  </si>
  <si>
    <t>INPUT5//USBInput</t>
  </si>
  <si>
    <t>OUTPUT1</t>
  </si>
  <si>
    <t>OUTPUT2</t>
  </si>
  <si>
    <t>OUTPUT3</t>
  </si>
  <si>
    <t>OUTPUT4</t>
  </si>
  <si>
    <t>COMP1</t>
  </si>
  <si>
    <t>COMP2</t>
  </si>
  <si>
    <t>COMP3</t>
  </si>
  <si>
    <t>COMP4</t>
  </si>
  <si>
    <t>GRAPHEQ1</t>
  </si>
  <si>
    <t>GRAPHEQ2</t>
  </si>
  <si>
    <t>GRAPHEQ3</t>
  </si>
  <si>
    <t>GRAPHEQ4</t>
  </si>
  <si>
    <t>PARAEQ1</t>
  </si>
  <si>
    <t>PARAEQ2</t>
  </si>
  <si>
    <t>PARAEQ3</t>
  </si>
  <si>
    <t>PARAEQ4</t>
  </si>
  <si>
    <t>DISTORT1</t>
  </si>
  <si>
    <t>DISTORT2</t>
  </si>
  <si>
    <t>DISTORT3</t>
  </si>
  <si>
    <t>DISTORT4</t>
  </si>
  <si>
    <t>CAB1</t>
  </si>
  <si>
    <t>CAB2</t>
  </si>
  <si>
    <t>CAB3</t>
  </si>
  <si>
    <t>CAB4</t>
  </si>
  <si>
    <t>REVERB1</t>
  </si>
  <si>
    <t>REVERB2</t>
  </si>
  <si>
    <t>REVERB3</t>
  </si>
  <si>
    <t>REVERB4</t>
  </si>
  <si>
    <t>DELAY1</t>
  </si>
  <si>
    <t>DELAY2</t>
  </si>
  <si>
    <t>DELAY3</t>
  </si>
  <si>
    <t>DELAY4</t>
  </si>
  <si>
    <t>MULTITAP1</t>
  </si>
  <si>
    <t>MULTITAP2</t>
  </si>
  <si>
    <t>MULTITAP3</t>
  </si>
  <si>
    <t>MULTITAP4</t>
  </si>
  <si>
    <t>CHORUS1</t>
  </si>
  <si>
    <t>CHORUS2</t>
  </si>
  <si>
    <t>CHORUS3</t>
  </si>
  <si>
    <t>CHORUS4</t>
  </si>
  <si>
    <t>FLANGER1</t>
  </si>
  <si>
    <t>FLANGER2</t>
  </si>
  <si>
    <t>FLANGER3</t>
  </si>
  <si>
    <t>FLANGER4</t>
  </si>
  <si>
    <t>ROTARY1</t>
  </si>
  <si>
    <t>ROTARY2</t>
  </si>
  <si>
    <t>ROTARY3</t>
  </si>
  <si>
    <t>ROTARY4</t>
  </si>
  <si>
    <t>PHASER1</t>
  </si>
  <si>
    <t>PHASER2</t>
  </si>
  <si>
    <t>PHASER3</t>
  </si>
  <si>
    <t>PHASER4</t>
  </si>
  <si>
    <t>WAH1</t>
  </si>
  <si>
    <t>WAH2</t>
  </si>
  <si>
    <t>WAH3</t>
  </si>
  <si>
    <t>WAH4</t>
  </si>
  <si>
    <t>FORMANT1</t>
  </si>
  <si>
    <t>FORMANT2</t>
  </si>
  <si>
    <t>FORMANT3</t>
  </si>
  <si>
    <t>FORMANT4</t>
  </si>
  <si>
    <t>VOLUME1</t>
  </si>
  <si>
    <t>VOLUME2</t>
  </si>
  <si>
    <t>VOLUME3</t>
  </si>
  <si>
    <t>VOLUME4</t>
  </si>
  <si>
    <t>TREMOLO1</t>
  </si>
  <si>
    <t>TREMOLO2</t>
  </si>
  <si>
    <t>TREMOLO3</t>
  </si>
  <si>
    <t>TREMOLO4</t>
  </si>
  <si>
    <t>PITCH1</t>
  </si>
  <si>
    <t>PITCH2</t>
  </si>
  <si>
    <t>PITCH3</t>
  </si>
  <si>
    <t>PITCH4</t>
  </si>
  <si>
    <t>FILTER1</t>
  </si>
  <si>
    <t>FILTER2</t>
  </si>
  <si>
    <t>FILTER3</t>
  </si>
  <si>
    <t>FILTER4</t>
  </si>
  <si>
    <t>FUZZ1</t>
  </si>
  <si>
    <t>FUZZ2</t>
  </si>
  <si>
    <t>FUZZ3</t>
  </si>
  <si>
    <t>FUZZ4</t>
  </si>
  <si>
    <t>ENHANCER1</t>
  </si>
  <si>
    <t>ENHANCER2</t>
  </si>
  <si>
    <t>ENHANCER3</t>
  </si>
  <si>
    <t>ENHANCER4</t>
  </si>
  <si>
    <t>MIXER1</t>
  </si>
  <si>
    <t>MIXER2</t>
  </si>
  <si>
    <t>MIXER3</t>
  </si>
  <si>
    <t>MIXER4</t>
  </si>
  <si>
    <t>SYNTH1</t>
  </si>
  <si>
    <t>SYNTH2</t>
  </si>
  <si>
    <t>SYNTH3</t>
  </si>
  <si>
    <t>SYNTH4</t>
  </si>
  <si>
    <t>VOCODER1</t>
  </si>
  <si>
    <t>VOCODER2</t>
  </si>
  <si>
    <t>VOCODER3</t>
  </si>
  <si>
    <t>VOCODER4</t>
  </si>
  <si>
    <t>MEGATAP1</t>
  </si>
  <si>
    <t>MEGATAP2</t>
  </si>
  <si>
    <t>MEGATAP3</t>
  </si>
  <si>
    <t>MEGATAP4</t>
  </si>
  <si>
    <t>CROSSOVER1</t>
  </si>
  <si>
    <t>CROSSOVER2</t>
  </si>
  <si>
    <t>CROSSOVER3</t>
  </si>
  <si>
    <t>CROSSOVER4</t>
  </si>
  <si>
    <t>GATE1</t>
  </si>
  <si>
    <t>GATE2</t>
  </si>
  <si>
    <t>GATE3</t>
  </si>
  <si>
    <t>GATE4</t>
  </si>
  <si>
    <t>RINGMOD1</t>
  </si>
  <si>
    <t>RINGMOD2</t>
  </si>
  <si>
    <t>RINGMOD3</t>
  </si>
  <si>
    <t>RINGMOD4</t>
  </si>
  <si>
    <t>MULTICOMP1</t>
  </si>
  <si>
    <t>MULTICOMP2</t>
  </si>
  <si>
    <t>MULTICOMP3</t>
  </si>
  <si>
    <t>MULTICOMP4</t>
  </si>
  <si>
    <t>TENTAP1</t>
  </si>
  <si>
    <t>TENTAP2</t>
  </si>
  <si>
    <t>TENTAP3</t>
  </si>
  <si>
    <t>TENTAP4</t>
  </si>
  <si>
    <t>RESONATOR1</t>
  </si>
  <si>
    <t>RESONATOR2</t>
  </si>
  <si>
    <t>RESONATOR3</t>
  </si>
  <si>
    <t>RESONATOR4</t>
  </si>
  <si>
    <t>LOOPER1</t>
  </si>
  <si>
    <t>LOOPER2</t>
  </si>
  <si>
    <t>LOOPER3</t>
  </si>
  <si>
    <t>LOOPER4</t>
  </si>
  <si>
    <t>TONEMATCH1</t>
  </si>
  <si>
    <t>TONEMATCH2</t>
  </si>
  <si>
    <t>TONEMATCH3</t>
  </si>
  <si>
    <t>TONEMATCH4</t>
  </si>
  <si>
    <t>RTA1</t>
  </si>
  <si>
    <t>RTA2</t>
  </si>
  <si>
    <t>RTA3</t>
  </si>
  <si>
    <t>RTA4</t>
  </si>
  <si>
    <t>PLEX1</t>
  </si>
  <si>
    <t>PLEX2</t>
  </si>
  <si>
    <t>PLEX3</t>
  </si>
  <si>
    <t>PLEX4</t>
  </si>
  <si>
    <t>FBSEND1</t>
  </si>
  <si>
    <t>FBSEND2</t>
  </si>
  <si>
    <t>FBSEND3</t>
  </si>
  <si>
    <t>FBSEND4</t>
  </si>
  <si>
    <t>FBRETURN1</t>
  </si>
  <si>
    <t>FBRETURN2</t>
  </si>
  <si>
    <t>FBRETURN3</t>
  </si>
  <si>
    <t>FBRETURN4</t>
  </si>
  <si>
    <t>MIDIBLOCK</t>
  </si>
  <si>
    <t>MULTIPLEXER1</t>
  </si>
  <si>
    <t>MULTIPLEXER2</t>
  </si>
  <si>
    <t>MULTIPLEXER3</t>
  </si>
  <si>
    <t>MULTIPLEXER4</t>
  </si>
  <si>
    <t>IRPLAYER1</t>
  </si>
  <si>
    <t>IRPLAYER2</t>
  </si>
  <si>
    <t>IRPLAYER3</t>
  </si>
  <si>
    <t>IRPLAYER4</t>
  </si>
  <si>
    <t>FOOTCONTROLLER</t>
  </si>
  <si>
    <t>PRESET_FC</t>
  </si>
  <si>
    <t>Fremen's Drones of Arrakis</t>
  </si>
  <si>
    <t>BYPASS</t>
  </si>
  <si>
    <t>JP2C Best Rig</t>
  </si>
  <si>
    <t>DiG</t>
  </si>
  <si>
    <t>F.A.R.K</t>
  </si>
  <si>
    <t>Rockbone! (mas bueno)</t>
  </si>
  <si>
    <t>Skull Crusher</t>
  </si>
  <si>
    <t>Powerball ENGL AX3 -c</t>
  </si>
  <si>
    <t>Rockin' Train</t>
  </si>
  <si>
    <t>Fat Buddah</t>
  </si>
  <si>
    <t>Bright Buddah</t>
  </si>
  <si>
    <t>Bludojai Lead 1</t>
  </si>
  <si>
    <t>Bludojai Lead 2</t>
  </si>
  <si>
    <t>Zen Wreck</t>
  </si>
  <si>
    <t>FAS Wreck</t>
  </si>
  <si>
    <t>ODS-100 Lead 1</t>
  </si>
  <si>
    <t>ODS-100 Lead 2</t>
  </si>
  <si>
    <t>ODS-100 Lead 3</t>
  </si>
  <si>
    <t>Dumble and Dumbler</t>
  </si>
  <si>
    <t>Fat ODS-100</t>
  </si>
  <si>
    <t>Fat lead</t>
  </si>
  <si>
    <t>Komet Concorde 1</t>
  </si>
  <si>
    <t>Komet Concorde 2</t>
  </si>
  <si>
    <t>Komet Concorde 3</t>
  </si>
  <si>
    <t>Tucana blues 1</t>
  </si>
  <si>
    <t>Tucana blues 2</t>
  </si>
  <si>
    <t>Hook blues</t>
  </si>
  <si>
    <t>Warm BogFish lead</t>
  </si>
  <si>
    <t>5F1 Tweed EC</t>
  </si>
  <si>
    <t>Blues Jr Fat</t>
  </si>
  <si>
    <t>Dirty tweed</t>
  </si>
  <si>
    <t>Andy Little Wing</t>
  </si>
  <si>
    <t>Just one night</t>
  </si>
  <si>
    <t>AC20 crunch</t>
  </si>
  <si>
    <t>AC20 crunch 2</t>
  </si>
  <si>
    <t>AC20 fusion 1</t>
  </si>
  <si>
    <t>AC20 fusion 2</t>
  </si>
  <si>
    <t>AC20 fusion 3</t>
  </si>
  <si>
    <t>Crunchy D30</t>
  </si>
  <si>
    <t>DJENT La Tempesta</t>
  </si>
  <si>
    <t>SELECT CELL A4
Paste your copyd presets there</t>
  </si>
  <si>
    <t>Select all text from CASE 0: (row4 to row 732)  
Select J4 and the CTRL+SHIFT and ARROW DOWN
COPY the tekst and paste on the SD_program.h</t>
  </si>
  <si>
    <t xml:space="preserve">  if (PresetNumb &lt; 0) {    PresetNumb = 1020;  }</t>
  </si>
  <si>
    <t xml:space="preserve">  if (PresetNumb &gt;= 1020) {    PresetNumb = 0;  }</t>
  </si>
  <si>
    <t xml:space="preserve">  if (PresetNumb &lt; 0) {    PresetNumb = 511;  }</t>
  </si>
  <si>
    <t xml:space="preserve">  if (PresetNumb &gt;= 511) {    PresetNumb = 0;  }</t>
  </si>
  <si>
    <t xml:space="preserve">)) {PresetNumb = </t>
  </si>
  <si>
    <t>) &amp;&amp; (PresetNumb&lt;</t>
  </si>
  <si>
    <t>if ((PresetNumb &gt;=</t>
  </si>
  <si>
    <t>if "PresetNumb"&gt;=0 and &lt; 10</t>
  </si>
  <si>
    <t xml:space="preserve"> }</t>
  </si>
  <si>
    <t>LAMB OF GOD</t>
  </si>
  <si>
    <t>Mark Morton Mesa</t>
  </si>
  <si>
    <t>MarkIV_NKD</t>
  </si>
  <si>
    <t>Legator Ninja (Fishman Modern)</t>
  </si>
  <si>
    <t>Sacrament</t>
  </si>
  <si>
    <t>&lt;EMPTY&gt;</t>
  </si>
  <si>
    <t>Bag Pipes drone</t>
  </si>
  <si>
    <t>L.O.G.</t>
  </si>
  <si>
    <t>L.O.G. To Rest</t>
  </si>
  <si>
    <t>L.O.G 11th Hour</t>
  </si>
  <si>
    <t>Instant Room Cab - CCFF#19</t>
  </si>
  <si>
    <t>NKP Dream Theater</t>
  </si>
  <si>
    <t>NKP metallica</t>
  </si>
  <si>
    <t>NKP malmsteen</t>
  </si>
  <si>
    <t>NKP muse (plug in baby)</t>
  </si>
  <si>
    <t>NKP meshuggah</t>
  </si>
  <si>
    <t>NKP hendrix</t>
  </si>
  <si>
    <t>NKP nirvana</t>
  </si>
  <si>
    <t>NKP guns N roses</t>
  </si>
  <si>
    <t>NKP Slayer</t>
  </si>
  <si>
    <t>NKP AC DC</t>
  </si>
  <si>
    <t>Dr Z's blues</t>
  </si>
  <si>
    <t>Carol-Ann OD2 lead 1</t>
  </si>
  <si>
    <t>Carol-Ann OD2 lead 2</t>
  </si>
  <si>
    <t>Carol-Ann OD2 lead 3</t>
  </si>
  <si>
    <t>Two Rock to rock</t>
  </si>
  <si>
    <t>Two Rock to rock II</t>
  </si>
  <si>
    <t>What the Fuchs is goin'</t>
  </si>
  <si>
    <t>ODS-100 Lead 4 Joe B</t>
  </si>
  <si>
    <t>ODS-100 HRM Mid lead</t>
  </si>
  <si>
    <t>ODS-100 Ford lead 1</t>
  </si>
  <si>
    <t>ODS-100 Ford lead 2</t>
  </si>
  <si>
    <t>ODS-100 Ford lead 3</t>
  </si>
  <si>
    <t>Texas Blues - Lonestar</t>
  </si>
  <si>
    <t>Texas Blues - Vibroking</t>
  </si>
  <si>
    <t>Texas Blues - VibratoVerb</t>
  </si>
  <si>
    <t>Texas Blues - Bandmaster</t>
  </si>
  <si>
    <t>Texas Blues - Super Reverb</t>
  </si>
  <si>
    <t>Texas Blues - Princeton</t>
  </si>
  <si>
    <t>Texas Blues - Dr Z</t>
  </si>
  <si>
    <t>Texas Blues - Bassman</t>
  </si>
  <si>
    <t>Div/13 crunch</t>
  </si>
  <si>
    <t>J. Mayer I</t>
  </si>
  <si>
    <t>J. Mayer II</t>
  </si>
  <si>
    <t>RockMeOn CLN2</t>
  </si>
  <si>
    <t>AustinBuddy's XTCs</t>
  </si>
  <si>
    <t>AMP1</t>
  </si>
  <si>
    <t>AMP1 [ A,B,C,D]</t>
  </si>
  <si>
    <t>AMP2 [ A,B,C,D]</t>
  </si>
  <si>
    <t xml:space="preserve"> </t>
  </si>
  <si>
    <t>,("</t>
  </si>
  <si>
    <t xml:space="preserve">")); </t>
  </si>
  <si>
    <t xml:space="preserve">preset NR: </t>
  </si>
  <si>
    <t>AMP2</t>
  </si>
  <si>
    <t>59 BASSGUY BRIGHT (1959 Fender Tweed Bassman, 5F6-A)</t>
  </si>
  <si>
    <t>59 BASSGUY NORMAL</t>
  </si>
  <si>
    <t>5F8 TWEED JUMPED</t>
  </si>
  <si>
    <t>5F8 TWEED NORMAL</t>
  </si>
  <si>
    <t>FAS BUTTERY (custom model)</t>
  </si>
  <si>
    <t>JMPRE-1 CLEAN 1 (Marshall JMP-1 preamp)</t>
  </si>
  <si>
    <t>JMPRE-1 CLEAN 1 BASS SHIFT</t>
  </si>
  <si>
    <t>JMPRE-1 CLEAN 2</t>
  </si>
  <si>
    <t>JMPRE-1 CLEAN 2 BASS SHIFT</t>
  </si>
  <si>
    <t>JMPRE-1 OD1</t>
  </si>
  <si>
    <t>Number</t>
  </si>
  <si>
    <t>Amp model</t>
  </si>
  <si>
    <t>5F8 TWEED BRIGHT (Keith Urbans Fender narrow-panel high-powered Tweed Twin, 5F8</t>
  </si>
  <si>
    <t>65 BASSGUY BASS (Dweezil Zappas 1965 blackface Fender Bassman, AB165)</t>
  </si>
  <si>
    <t>BLANKENSHIP LEEDS (Dweezil Zappas Blankenship Leeds 21)</t>
  </si>
  <si>
    <t>DWEEZILS BASSGUY (Dweezil Zappas 1965 blackface Fender Bassman, AB165)</t>
  </si>
  <si>
    <t>$Z$4</t>
  </si>
  <si>
    <t>Keith Urbans Fender narrow-panel high-powered Tweed Twin, 5F8</t>
  </si>
  <si>
    <t>100W Marshall Super Lead Plexi 1959 reissue</t>
  </si>
  <si>
    <t>50W Marshall 1987X reissue</t>
  </si>
  <si>
    <t>EVH 5150-III</t>
  </si>
  <si>
    <t>Fender EC Vibro-Champ</t>
  </si>
  <si>
    <t>Dweezil Zappas 1965 blackface Fender Bassman, AB165</t>
  </si>
  <si>
    <t>1960 brownface Fender Concert, 6G12</t>
  </si>
  <si>
    <t>1960 brownface Fender Super, 6G4</t>
  </si>
  <si>
    <t>Morgan AC20 Deluxe</t>
  </si>
  <si>
    <t>Engl Savage 120</t>
  </si>
  <si>
    <t>100W PRS Archon</t>
  </si>
  <si>
    <t>Cameron Atomica</t>
  </si>
  <si>
    <t>1968 silverface/blackface Fender Bandmaster, AB763</t>
  </si>
  <si>
    <t>custom model</t>
  </si>
  <si>
    <t>Bludotone Ojai</t>
  </si>
  <si>
    <t>Bogner Fish preamp</t>
  </si>
  <si>
    <t>Marshall JTM 45</t>
  </si>
  <si>
    <t>Marshall JVM410H</t>
  </si>
  <si>
    <t>Marshall JMP-1 preamp</t>
  </si>
  <si>
    <t>Marshall AFD100</t>
  </si>
  <si>
    <t>Cameron CCV-100</t>
  </si>
  <si>
    <t>Carol-Ann OD-2</t>
  </si>
  <si>
    <t>Orange Tiny Terror</t>
  </si>
  <si>
    <t>Vox AC30 Hand-Wired</t>
  </si>
  <si>
    <t>Komet 60</t>
  </si>
  <si>
    <t>Komet Concorde</t>
  </si>
  <si>
    <t>Cornford MK50 II</t>
  </si>
  <si>
    <t>Diezel VH4</t>
  </si>
  <si>
    <t>Fender Tweed Deluxe, 5E3</t>
  </si>
  <si>
    <t>blackface Fender Deluxe Reverb, AB763</t>
  </si>
  <si>
    <t>Engl Powerball</t>
  </si>
  <si>
    <t>Bogner Uberschall</t>
  </si>
  <si>
    <t>Friedman BE</t>
  </si>
  <si>
    <t>Friedman Smallbox</t>
  </si>
  <si>
    <t>Fryette Deliverance 60</t>
  </si>
  <si>
    <t>Gibson GA17RVT Scout</t>
  </si>
  <si>
    <t>Diezel Herbert</t>
  </si>
  <si>
    <t>Hiwatt DR103</t>
  </si>
  <si>
    <t>BadCat Hot Cat 30</t>
  </si>
  <si>
    <t>Fender Blues Junior</t>
  </si>
  <si>
    <t>Marshall JVM410HJS</t>
  </si>
  <si>
    <t>Roland Jazz Chorus 120</t>
  </si>
  <si>
    <t>Carvin Legacy VL100</t>
  </si>
  <si>
    <t>Carvin Legacy VL300</t>
  </si>
  <si>
    <t>Matchless Chieftain</t>
  </si>
  <si>
    <t>Matchless DC-30</t>
  </si>
  <si>
    <t>Dr. Z Route 66</t>
  </si>
  <si>
    <t>Dumble Overdrive Special</t>
  </si>
  <si>
    <t>Peavey 6505+ / EVH 5150-II</t>
  </si>
  <si>
    <t>50W Marshall Plexi</t>
  </si>
  <si>
    <t>Fender Tweed Princeton, 5F2-A</t>
  </si>
  <si>
    <t>Paul Ruby Rocket</t>
  </si>
  <si>
    <t>Soldano SLO-100</t>
  </si>
  <si>
    <t>Soldano X88R preamp</t>
  </si>
  <si>
    <t>Splawn Nitro</t>
  </si>
  <si>
    <t>Splawn Quickrod</t>
  </si>
  <si>
    <t>Suhr Badger 18</t>
  </si>
  <si>
    <t>Suhr Badger 30</t>
  </si>
  <si>
    <t>Supro 1964T</t>
  </si>
  <si>
    <t>Mesa Dual Rectifier</t>
  </si>
  <si>
    <t>blackface Fender Tremolux, AA763</t>
  </si>
  <si>
    <t>Two-Rock Jet 35</t>
  </si>
  <si>
    <t>Mesa/Boogie TriAxis preamp</t>
  </si>
  <si>
    <t>Mesa Mark IV</t>
  </si>
  <si>
    <t>Mesa/Boogie Subway Blues</t>
  </si>
  <si>
    <t>Fender Vibroverb</t>
  </si>
  <si>
    <t>Fender Vibroverb, AB763</t>
  </si>
  <si>
    <t>Fender Vibroverb Custom Reissue</t>
  </si>
  <si>
    <t>Trainwreck Express</t>
  </si>
  <si>
    <t>Trainwreck Liverpool</t>
  </si>
  <si>
    <t>x &lt;&lt; Not Used &gt;&gt;</t>
  </si>
  <si>
    <t>1 1959SLP JUMPED (100W Marshall Super Lead Plexi 1959 reissue)</t>
  </si>
  <si>
    <t>2 1959SLP NORMAL</t>
  </si>
  <si>
    <t>3 1959SLP TREBLE</t>
  </si>
  <si>
    <t>4 1987X JUMPED (50W Marshall 1987X reissue)</t>
  </si>
  <si>
    <t>5 1987X NORMAL</t>
  </si>
  <si>
    <t>6 1987X TREBLE</t>
  </si>
  <si>
    <t>7 5153 100W BLUE (EVH 5150-III)</t>
  </si>
  <si>
    <t>8 5153 100W GREEN</t>
  </si>
  <si>
    <t>9 5153 100W RED</t>
  </si>
  <si>
    <t>10 5153 50W BLUE</t>
  </si>
  <si>
    <t>11 59 BASSGUY BRIGHT (1959 Fender Tweed Bassman, 5F6-A)</t>
  </si>
  <si>
    <t>12 59 BASSGUY JUMPED</t>
  </si>
  <si>
    <t>13 59 BASSGUY NORMAL</t>
  </si>
  <si>
    <t>14 5F1 TWEED (Fender Tweed Champ, 5F1)</t>
  </si>
  <si>
    <t>15 5F1 TWEED EC (Fender EC Vibro-Champ)</t>
  </si>
  <si>
    <t>16 5F8 TWEED BRIGHT (Keith Urbans Fender narrow-panel high-powered Tweed Twin, 5F8</t>
  </si>
  <si>
    <t>17 5F8 TWEED JUMPED</t>
  </si>
  <si>
    <t>18 5F8 TWEED NORMAL</t>
  </si>
  <si>
    <t>19 65 BASSGUY BASS (Dweezil Zappas 1965 blackface Fender Bassman, AB165)</t>
  </si>
  <si>
    <t>20 65 BASSGUY NORMAL</t>
  </si>
  <si>
    <t>21 6G12 CONCERT (1960 brownface Fender Concert, 6G12)</t>
  </si>
  <si>
    <t>22 6G4 SUPER (1960 brownface Fender Super, 6G4)</t>
  </si>
  <si>
    <t>23 AC-20 12AX7 BASS (Morgan AC20 Deluxe)</t>
  </si>
  <si>
    <t>24 AC-20 12AX7 TREBLE</t>
  </si>
  <si>
    <t>25 AC-20 EF86 BASS</t>
  </si>
  <si>
    <t>26 AC-20 EF86 TREBLE</t>
  </si>
  <si>
    <t>27 ANGLE SEVERE 1 (Engl Savage 120)</t>
  </si>
  <si>
    <t>28 ANGLE SEVERE 2</t>
  </si>
  <si>
    <t>29 ARCHEAN (100W PRS Archon)</t>
  </si>
  <si>
    <t>30 ARCHEAN BRIGHT</t>
  </si>
  <si>
    <t>31 ARCHEAN CLEAN</t>
  </si>
  <si>
    <t>32 ATOMICA HIGH (Cameron Atomica)</t>
  </si>
  <si>
    <t>33 ATOMICA LOW</t>
  </si>
  <si>
    <t>34 BAND-COMMANDER (1968 silverface/blackface Fender Bandmaster, AB763)</t>
  </si>
  <si>
    <t>35 BIG HAIR (custom model)</t>
  </si>
  <si>
    <t>36 BLANKENSHIP LEEDS (Dweezil Zappas Blankenship Leeds 21)</t>
  </si>
  <si>
    <t>37 BLUDOJAI CLEAN (Bludotone Ojai)</t>
  </si>
  <si>
    <t>38 BLUDOJAI LEAD</t>
  </si>
  <si>
    <t>39 BLUDOJAI LEAD PAB</t>
  </si>
  <si>
    <t>40 BOGFISH BROWN (Bogner Fish preamp)</t>
  </si>
  <si>
    <t>41 BOGFISH STRATO</t>
  </si>
  <si>
    <t>42 BRIT 800 (50W Marshall JCM 800 2204)</t>
  </si>
  <si>
    <t>43 BRIT 800 #34 (Marshall JCM 800 with Santiago #34 modifications)</t>
  </si>
  <si>
    <t>44 BRIT 800 MOD (modded Marshall JCM 800)</t>
  </si>
  <si>
    <t>45 BRIT AFS100 1 (Marshall AFD100SCE)</t>
  </si>
  <si>
    <t>46 BRIT AFS100 2</t>
  </si>
  <si>
    <t>47 BRIT BROWN (custom model, producing the Plexi "Brown Sound")</t>
  </si>
  <si>
    <t>48 BRIT JM45 (Marshall JTM 45)</t>
  </si>
  <si>
    <t>49 BRIT JM45 JUMPED</t>
  </si>
  <si>
    <t>50 BRIT JVM OD1 GREEN (Marshall JVM410H)</t>
  </si>
  <si>
    <t>51 BRIT JVM OD1 ORANGE</t>
  </si>
  <si>
    <t>52 BRIT JVM OD1 RED</t>
  </si>
  <si>
    <t>53 BRIT JVM OD2 GREEN</t>
  </si>
  <si>
    <t>54 BRIT JVM OD2 ORANGE</t>
  </si>
  <si>
    <t>55 BRIT JVM OD2 RED</t>
  </si>
  <si>
    <t>56 BRIT PRE (Marshall JMP-1 preamp)</t>
  </si>
  <si>
    <t>57 BRIT SILVER (100W Lerxst Omega / Marshall 2555 Silver Jubilee)</t>
  </si>
  <si>
    <t>58 BRIT SUPER (Marshall AFD100)</t>
  </si>
  <si>
    <t>59 BUDDAH DUOMASTER (Budda Twinmaster)</t>
  </si>
  <si>
    <t>60 CA3+ CLEAN (Custom Audio Amplifiers 3+ SE preamp)</t>
  </si>
  <si>
    <t>61 CA3+ LEAD</t>
  </si>
  <si>
    <t>62 CA3+ RHYTHM</t>
  </si>
  <si>
    <t>63 CAMERON CCV 1A (Cameron CCV-100)</t>
  </si>
  <si>
    <t>64 CAMERON CCV 1B</t>
  </si>
  <si>
    <t>65 CAMERON CCV 2A</t>
  </si>
  <si>
    <t>66 CAMERON CCV 2B</t>
  </si>
  <si>
    <t>67 CAMERON CCV 2C</t>
  </si>
  <si>
    <t>68 CAMERON CCV 2D</t>
  </si>
  <si>
    <t>69 CAPT HOOK 1A (Hook Captain 34)</t>
  </si>
  <si>
    <t>70 CAPT HOOK 1B</t>
  </si>
  <si>
    <t>71 CAPT HOOK 2A</t>
  </si>
  <si>
    <t>72 CAPT HOOK 2B</t>
  </si>
  <si>
    <t>73 CAPT HOOK 3A</t>
  </si>
  <si>
    <t>74 CAPT HOOK 3B</t>
  </si>
  <si>
    <t>75 CAR ROAMER (Carr Rambler)</t>
  </si>
  <si>
    <t>76 CAROL-ANN OD-2 (Carol-Ann OD-2)</t>
  </si>
  <si>
    <t>77 CAROL-ANN TRIPTIK CLASSIC (Carol-Ann Triptik)</t>
  </si>
  <si>
    <t>78 CAROL-ANN TRIPTIK CLEAN</t>
  </si>
  <si>
    <t>79 CAROL-ANN TRIPTIK MODERN</t>
  </si>
  <si>
    <t>80 CAROL-ANN TUCANA CLEAN (Carol-Ann Tucana 3)</t>
  </si>
  <si>
    <t>81 CAROL-ANN TUCANA LEAD</t>
  </si>
  <si>
    <t>82 CITRUS A30 CLEAN (Orange AD30HTC)</t>
  </si>
  <si>
    <t>83 CITRUS A30 DIRTY</t>
  </si>
  <si>
    <t>84 CITRUS BASS 200 (Orange AD200B bass amp)</t>
  </si>
  <si>
    <t>85 CITRUS RV50 (Orange Rockerverb 50 MK II)</t>
  </si>
  <si>
    <t>86 CITRUS TERRIER (Orange Tiny Terror)</t>
  </si>
  <si>
    <t>87 CLASS-A 15W TB (Vox AC15 Top Boost)</t>
  </si>
  <si>
    <t>88 CLASS-A 30W (Vox AC30 Hand-Wired)</t>
  </si>
  <si>
    <t>89 CLASS-A 30W BRIGHT</t>
  </si>
  <si>
    <t>90 CLASS-A 30W HOT</t>
  </si>
  <si>
    <t>91 CLASS-A 30W TB</t>
  </si>
  <si>
    <t>92 COMET 60 (Komet 60)</t>
  </si>
  <si>
    <t>93 COMET CONCOURSE (Komet Concorde)</t>
  </si>
  <si>
    <t>94 CORNFED M50 (Cornford MK50 II)</t>
  </si>
  <si>
    <t>95 DAS METALL (Diezel VH4)</t>
  </si>
  <si>
    <t>96 DELUXE TWEED (Fender Tweed Deluxe, 5E3)</t>
  </si>
  <si>
    <t>97 DELUXE TWEED JUMPED</t>
  </si>
  <si>
    <t>98 DELUXE VERB NORMAL (blackface Fender Deluxe Reverb, AB763)</t>
  </si>
  <si>
    <t>99 DELUXE VERB VIBRATO</t>
  </si>
  <si>
    <t>100 DIRTY SHIRLEY (40W Friedman Dirty Shirley)</t>
  </si>
  <si>
    <t>101 DIRTY SHIRLEY 2</t>
  </si>
  <si>
    <t>102 DIV/13 CJ (Divided By 13 CJ 11)</t>
  </si>
  <si>
    <t>103 DIV/13 CJ BOOST</t>
  </si>
  <si>
    <t>104 DIV/13 FT37 HIGH (Divided By 13 FTR 37)</t>
  </si>
  <si>
    <t>105 DIV/13 FT37 LOW</t>
  </si>
  <si>
    <t>106 DIZZY V4 BLUE 2 (Diezel VH4)</t>
  </si>
  <si>
    <t>107 DIZZY V4 BLUE 3</t>
  </si>
  <si>
    <t>108 DIZZY V4 BLUE 4</t>
  </si>
  <si>
    <t>109 DIZZY V4 SILVER 2</t>
  </si>
  <si>
    <t>110 DIZZY V4 SILVER 3</t>
  </si>
  <si>
    <t>111 DIZZY V4 SILVER 4</t>
  </si>
  <si>
    <t>112 DOUBLE VERB NORMAL (1966 blackface Fender Twin Reverb)</t>
  </si>
  <si>
    <t>113 DOUBLE VERB SILVERFACE (1971 silverface Fender Twin Reverb)</t>
  </si>
  <si>
    <t>114 DOUBLE VERB VIBRATO (1966 blackface Fender Twin Reverb)</t>
  </si>
  <si>
    <t>115 DWEEZILS BASSGUY (Dweezil Zappas 1965 blackface Fender Bassman, AB165)</t>
  </si>
  <si>
    <t>116 ENERGYBALL (Engl Powerball)</t>
  </si>
  <si>
    <t>117 EURO BLUE (Bogner Ecstasy 20th Anniversary)</t>
  </si>
  <si>
    <t>118 EURO BLUE MODERN</t>
  </si>
  <si>
    <t>119 EURO RED</t>
  </si>
  <si>
    <t>120 EURO RED MODERN</t>
  </si>
  <si>
    <t>121 EURO UBER (Bogner Uberschall)</t>
  </si>
  <si>
    <t>122 FAS 6160 (custom model)</t>
  </si>
  <si>
    <t>123 FAS BASS (custom model)</t>
  </si>
  <si>
    <t>124 FAS BROOTALZ (custom model)</t>
  </si>
  <si>
    <t>125 FAS BROWN (custom model)</t>
  </si>
  <si>
    <t>126 FAS BUTTERY (custom model)</t>
  </si>
  <si>
    <t>127 FAS CLASS-A (custom model)</t>
  </si>
  <si>
    <t>128 FAS CRUNCH (custom model)</t>
  </si>
  <si>
    <t>129 FAS EXPRESS (custom model)</t>
  </si>
  <si>
    <t>130 FAS HOT ROD (custom model)</t>
  </si>
  <si>
    <t>131 FAS LEAD 1 (custom model)</t>
  </si>
  <si>
    <t>132 FAS LEAD 2 (custom model)</t>
  </si>
  <si>
    <t>133 FAS MODERN (custom model)</t>
  </si>
  <si>
    <t>134 FAS MODERN II (custom model)</t>
  </si>
  <si>
    <t>135 FAS MODERN III (custom model)</t>
  </si>
  <si>
    <t>136 FAS RHYTHM (custom model)</t>
  </si>
  <si>
    <t>137 FAS SKULL CRUSHER (custom model)</t>
  </si>
  <si>
    <t>138 FAS WRECK (custom model)</t>
  </si>
  <si>
    <t>139 FOX ODS (Fuchs Overdrive Supreme 50)</t>
  </si>
  <si>
    <t>140 FOX ODS DEEP</t>
  </si>
  <si>
    <t>141 FRIEDMAN BE 2010 (Friedman BE)</t>
  </si>
  <si>
    <t>142 FRIEDMAN BE C45</t>
  </si>
  <si>
    <t>143 FRIEDMAN BE V1</t>
  </si>
  <si>
    <t>144 FRIEDMAN BE V1 FAT</t>
  </si>
  <si>
    <t>145 FRIEDMAN BE V2</t>
  </si>
  <si>
    <t>146 FRIEDMAN BE V3</t>
  </si>
  <si>
    <t>147 FRIEDMAN HBE 2010</t>
  </si>
  <si>
    <t>148 FRIEDMAN HBE C45</t>
  </si>
  <si>
    <t>149 FRIEDMAN HBE V1</t>
  </si>
  <si>
    <t>150 FRIEDMAN HBE V1 FAT</t>
  </si>
  <si>
    <t>151 FRIEDMAN HBE V2</t>
  </si>
  <si>
    <t>152 FRIEDMAN HBE V3</t>
  </si>
  <si>
    <t>153 FRIEDMAN SMALL BOX (Friedman Smallbox)</t>
  </si>
  <si>
    <t>154 FRYETTE D60 LESS (Fryette Deliverance 60)</t>
  </si>
  <si>
    <t>155 FRYETTE D60 MORE</t>
  </si>
  <si>
    <t>156 GIBTONE SCOUT (Gibson GA17RVT Scout)</t>
  </si>
  <si>
    <t>157 HERBIE CH2+ (Diezel Herbert)</t>
  </si>
  <si>
    <t>158 HERBIE CH2-</t>
  </si>
  <si>
    <t>159 HERBIE CH3</t>
  </si>
  <si>
    <t>160 HIPOWER BRILLIANT (Hiwatt DR103)</t>
  </si>
  <si>
    <t>161 HIPOWER JUMPED</t>
  </si>
  <si>
    <t>162 HIPOWER NORMAL</t>
  </si>
  <si>
    <t>163 HOT KITTY (BadCat Hot Cat 30)</t>
  </si>
  <si>
    <t>164 JMPRE-1 CLEAN 1 (Marshall JMP-1 preamp)</t>
  </si>
  <si>
    <t>165 JMPRE-1 CLEAN 1 BASS SHIFT</t>
  </si>
  <si>
    <t>166 JMPRE-1 CLEAN 2</t>
  </si>
  <si>
    <t>167 JMPRE-1 CLEAN 2 BASS SHIFT</t>
  </si>
  <si>
    <t>168 JMPRE-1 OD1</t>
  </si>
  <si>
    <t>169 JMPRE-1 OD1 BASS SHIFT</t>
  </si>
  <si>
    <t>170 JMPRE-1 OD2</t>
  </si>
  <si>
    <t>171 JMPRE-1 OD2 BASS SHIFT</t>
  </si>
  <si>
    <t>172 JR BLUES (Fender Blues Junior)</t>
  </si>
  <si>
    <t>173 JR BLUES FAT</t>
  </si>
  <si>
    <t>174 JS410 CRUNCH ORANGE (Marshall JVM410HJS)</t>
  </si>
  <si>
    <t>175 JS410 CRUNCH RED</t>
  </si>
  <si>
    <t>176 JS410 LEAD ORANGE</t>
  </si>
  <si>
    <t>177 JS410 LEAD RED</t>
  </si>
  <si>
    <t>178 JAZZ 120 (Roland Jazz Chorus 120)</t>
  </si>
  <si>
    <t>179 LEGEND 100 (Carvin Legacy VL100)</t>
  </si>
  <si>
    <t>180 LEGEND 100 II (Carvin Legacy VL300)</t>
  </si>
  <si>
    <t>181 MATCHBOX CHIEFTAIN 1 (Matchless Chieftain)</t>
  </si>
  <si>
    <t>182 MATCHBOX CHIEFTAIN 2</t>
  </si>
  <si>
    <t>183 MATCHBOX D-30 (Matchless DC-30)</t>
  </si>
  <si>
    <t>184 MATCHBOX D-30 EF86</t>
  </si>
  <si>
    <t>185 MR Z HWY 66 (Dr. Z Route 66)</t>
  </si>
  <si>
    <t>186 MR Z MZ-38 (Dr. Z Maz 38 SR)</t>
  </si>
  <si>
    <t>187 MR Z MZ-8 (Dr. Z Maz 8)</t>
  </si>
  <si>
    <t>188 NUCLEAR-TONE (Swart Atomic Space Tone)</t>
  </si>
  <si>
    <t>189 ODS-100 CLEAN (Dumble Overdrive Special)</t>
  </si>
  <si>
    <t>190 ODS-100 FORD</t>
  </si>
  <si>
    <t>191 ODS-100 FORD PAB</t>
  </si>
  <si>
    <t>192 ODS-100 FORD PAB MID</t>
  </si>
  <si>
    <t>193 ODS-100 HRM</t>
  </si>
  <si>
    <t>194 ODS-100 HRM MID</t>
  </si>
  <si>
    <t>195 PVH 6160 BLOCK (Peavey "Block Letter" EVH 5150)</t>
  </si>
  <si>
    <t>196 PVH 6160+ CLEAN (Peavey 6505+ / EVH 5150-II)</t>
  </si>
  <si>
    <t>197 PVH 6160+ CLEAN BRIGHT</t>
  </si>
  <si>
    <t>198 PVH 6160+ CRUNCH</t>
  </si>
  <si>
    <t>199 PVH 6160+ CRUNCH BRIGHT</t>
  </si>
  <si>
    <t>200 PVH 6160+ LEAD (Peavey 6505+ / EVH 5150-II)</t>
  </si>
  <si>
    <t>201 PLEXI 100W 1970 (1970 100W Marshall Plexi)</t>
  </si>
  <si>
    <t>202 PLEXI 100W HIGH (1969 100W Marshall Plexi)</t>
  </si>
  <si>
    <t>203 PLEXI 100W JUMPED</t>
  </si>
  <si>
    <t>204 PLEXI 100W NORMAL</t>
  </si>
  <si>
    <t>205 PLEXI 2204 (1981 50W Marshall JMP 2204)</t>
  </si>
  <si>
    <t>206 PLEXI 50W 6550 (1972 50W Marshall Plexi)</t>
  </si>
  <si>
    <t>207 PLEXI 50W 6CA7 (50W Marshall Plexi)</t>
  </si>
  <si>
    <t>208 PLEXI 50W HIGH 1 (1972 50W Marshall Plexi)</t>
  </si>
  <si>
    <t>209 PLEXI 50W HIGH 2</t>
  </si>
  <si>
    <t>210 PLEXI 50W JUMPED</t>
  </si>
  <si>
    <t>211 PLEXI 50W NORMAL</t>
  </si>
  <si>
    <t>212 PORTA-BASS (Ampeg Portaflex bass amp)</t>
  </si>
  <si>
    <t>213 PRINCE TONE 5F2 (Fender Tweed Princeton, 5F2-A)</t>
  </si>
  <si>
    <t>214 PRINCE TONE AA964 (silverface Fender Princeton without reverb, AA964)</t>
  </si>
  <si>
    <t>215 PRINCE TONE REVERB (1966 blackface Fender Princeton with reverb, AA964)</t>
  </si>
  <si>
    <t>216 RECTO1 ORANGE MODERN (Mesa Dual Rectifier, 2 channels)</t>
  </si>
  <si>
    <t>217 RECTO1 ORANGE NORMAL</t>
  </si>
  <si>
    <t>218 RECTO1 RED</t>
  </si>
  <si>
    <t>219 RECTO2 ORANGE MODERN (Mesa Dual Rectifier, 3 channels)</t>
  </si>
  <si>
    <t>220 RECTO2 ORANGE VINTAGE</t>
  </si>
  <si>
    <t>221 RECTO2 RED MODERN</t>
  </si>
  <si>
    <t>222 RECTO2 RED VINTAGE</t>
  </si>
  <si>
    <t>223 RUBY ROCKET (Paul Ruby Rocket)</t>
  </si>
  <si>
    <t>224 RUBY ROCKET BRIGHT</t>
  </si>
  <si>
    <t>225 SV BASS 1 (Ampeg SVT bass amp)</t>
  </si>
  <si>
    <t>226 SV BASS 2</t>
  </si>
  <si>
    <t>227 SHIVER CLEAN (Bogner Shiva 20th Anniversary)</t>
  </si>
  <si>
    <t>228 SHIVER LEAD</t>
  </si>
  <si>
    <t>229 SOLO 100 CLEAN (Soldano SLO-100)</t>
  </si>
  <si>
    <t>230 SOLO 100 LEAD</t>
  </si>
  <si>
    <t>231 SOLO 100 RHYTHM</t>
  </si>
  <si>
    <t>232 SOLO 88 CLEAN (Soldano X88R preamp)</t>
  </si>
  <si>
    <t>233 SOLO 88 LEAD</t>
  </si>
  <si>
    <t>234 SOLO 88 RHYTHM</t>
  </si>
  <si>
    <t>235 SOLO 99 CLEAN (Soldano/Caswell X99 preamp)</t>
  </si>
  <si>
    <t>236 SOLO 99 LEAD</t>
  </si>
  <si>
    <t>237 SOLO 99 LEAD BRIGHT</t>
  </si>
  <si>
    <t>238 SPAWN NITROUS 1 (Splawn Nitro)</t>
  </si>
  <si>
    <t>239 SPAWN NITROUS 2</t>
  </si>
  <si>
    <t>240 SPAWN Q-ROD OD1-1 (Splawn Quickrod)</t>
  </si>
  <si>
    <t>241 SPAWN Q-ROD OD1-2</t>
  </si>
  <si>
    <t>242 SPAWN Q-ROD OD1-3</t>
  </si>
  <si>
    <t>243 SPAWN Q-ROD OD2-1</t>
  </si>
  <si>
    <t>244 SPAWN Q-ROD OD2-2</t>
  </si>
  <si>
    <t>245 SPAWN Q-ROD OD2-3</t>
  </si>
  <si>
    <t>246 SUHR BADGER 18 (Suhr Badger 18)</t>
  </si>
  <si>
    <t>247 SUHR BADGER 30 (Suhr Badger 30)</t>
  </si>
  <si>
    <t>248 SUPER VERB NORMAL (1964 Fender Super Reverb, AB763)</t>
  </si>
  <si>
    <t>249 SUPER VERB VIBRATO</t>
  </si>
  <si>
    <t>250 SUPERTWEED (custom model)</t>
  </si>
  <si>
    <t>251 SUPREMO TREM (Supro 1964T)</t>
  </si>
  <si>
    <t>252 TEXAS STAR CLEAN (Mesa Lone Star Classic)</t>
  </si>
  <si>
    <t>253 TEXAS STAR LEAD</t>
  </si>
  <si>
    <t>254 THORDENDAL MODERN (Mesa Dual Rectifier)</t>
  </si>
  <si>
    <t>255 THORDENDAL VINTAGE</t>
  </si>
  <si>
    <t>256 TREMOLO LUX (blackface Fender Tremolux, AA763)</t>
  </si>
  <si>
    <t>257 TRIPLE CREST 2 (Mesa/Boogie Triple Crown TC-100)</t>
  </si>
  <si>
    <t>258 TRIPLE CREST 3</t>
  </si>
  <si>
    <t>259 TUBE PRE (generic tube preamp model)</t>
  </si>
  <si>
    <t>260 TWO STONE J35 (Two-Rock Jet 35)</t>
  </si>
  <si>
    <t>261 TWO STONE J35 PAB</t>
  </si>
  <si>
    <t>262 USA BASS 400 1 (Mesa/Boogie Bass 400 bass amp)</t>
  </si>
  <si>
    <t>263 USA BASS 400 2</t>
  </si>
  <si>
    <t>264 USA CLEAN / LEAD / RHYTHM (Mesa/Boogie Mark IV)</t>
  </si>
  <si>
    <t>265 USA IIC+ (Mesa/Boogie Mark IIC+)</t>
  </si>
  <si>
    <t>266 USA IIC+ BRIGHT</t>
  </si>
  <si>
    <t>267 USA IIC+ DEEP</t>
  </si>
  <si>
    <t>268 USA IIC+ DEEP BRIGHT</t>
  </si>
  <si>
    <t>269 USA IIC++ (custom model)</t>
  </si>
  <si>
    <t>270 USA JP IIC+ Green (Mesa/Boogie JP-2C)</t>
  </si>
  <si>
    <t>271 USA JP IIC+ Red</t>
  </si>
  <si>
    <t>272 USA JP IIC+ Red Shred</t>
  </si>
  <si>
    <t>273 USA JP IIC+ Yellow</t>
  </si>
  <si>
    <t>274 USA JP IIC+ Yellow Shred</t>
  </si>
  <si>
    <t>275 USA LEAD (Mesa/Boogie Mark IV)</t>
  </si>
  <si>
    <t>276 USA LEAD BRIGHT</t>
  </si>
  <si>
    <t>277 USA LEAD MID GAIN</t>
  </si>
  <si>
    <t>278 USA LEAD MID GAIN BRIGHT</t>
  </si>
  <si>
    <t>279 USA PRE CLEAN (Mesa/Boogie TriAxis preamp)</t>
  </si>
  <si>
    <t>280 USA PRE LD1 RED (TX-4 board)</t>
  </si>
  <si>
    <t>281 USA PRE LD2 GREEN</t>
  </si>
  <si>
    <t>282 USA PRE LD2 RED</t>
  </si>
  <si>
    <t>283 USA PRE LD2 YELLOW</t>
  </si>
  <si>
    <t>284 USA RHYTHM (Mesa Mark IV)</t>
  </si>
  <si>
    <t>285 USA SUB BLUES (Mesa/Boogie Subway Blues)</t>
  </si>
  <si>
    <t>286 VIBRA-KING (custom Fender Vibro-King)</t>
  </si>
  <si>
    <t>287 VIBRA-KING FAT</t>
  </si>
  <si>
    <t>288 VIBRATO LUX (1962/1963 brownface Fender Vibrolux, 6G11)</t>
  </si>
  <si>
    <t>289 VIBRATO VERB (Fender Vibroverb)</t>
  </si>
  <si>
    <t>290 VIBRATO VERB AA (1964 blackface Fender Vibroverb, AA763)</t>
  </si>
  <si>
    <t>291 VIBRATO VERB AB (Fender Vibroverb, AB763)</t>
  </si>
  <si>
    <t>292 VIBRATO VERB CUSTOM (Fender Vibroverb Custom Reissue)</t>
  </si>
  <si>
    <t>293 WRECKER EXPRESS (Trainwreck Express)</t>
  </si>
  <si>
    <t>294 WRECKER EXPRESS BRIGHT</t>
  </si>
  <si>
    <t>295 WRECKER LIVERPOOL (Trainwreck Liverpool)</t>
  </si>
  <si>
    <t>296 WRECKER LIVERPOOL BRIGHT</t>
  </si>
  <si>
    <t>297 WRECKER ROCKET (Trainwreck Rocket)</t>
  </si>
  <si>
    <t xml:space="preserve">Type and search :) </t>
  </si>
  <si>
    <t>CA3+ CLEAN</t>
  </si>
  <si>
    <t>AMP1_A</t>
  </si>
  <si>
    <t>AMP1_B</t>
  </si>
  <si>
    <t>AMP1_C</t>
  </si>
  <si>
    <t>AMP1_D</t>
  </si>
  <si>
    <t>AMP2_A</t>
  </si>
  <si>
    <t>AMP2_B</t>
  </si>
  <si>
    <t>AMP2_C</t>
  </si>
  <si>
    <t>AMP2_D</t>
  </si>
  <si>
    <t xml:space="preserve">FAS 6160 </t>
  </si>
  <si>
    <t>FAS BASS</t>
  </si>
  <si>
    <t>FAS BROOTALZ</t>
  </si>
  <si>
    <t>FAS BROWN</t>
  </si>
  <si>
    <t>FAS BUTTERY</t>
  </si>
  <si>
    <t>FAS CLASS-A</t>
  </si>
  <si>
    <t>FAS CRUNCH</t>
  </si>
  <si>
    <t>FAS EXPRESS</t>
  </si>
  <si>
    <t>FAS HOT ROD</t>
  </si>
  <si>
    <t>FAS LEAD 1</t>
  </si>
  <si>
    <t>FAS LEAD 2</t>
  </si>
  <si>
    <t>FAS MODERN</t>
  </si>
  <si>
    <t>FAS MODERN II</t>
  </si>
  <si>
    <t>FAS MODERN III</t>
  </si>
  <si>
    <t>FAS RHYTHM</t>
  </si>
  <si>
    <t>FAS SKULL CRUSHER</t>
  </si>
  <si>
    <t>FAS WRECK</t>
  </si>
  <si>
    <t>BUDDAH DUOMASTER</t>
  </si>
  <si>
    <t>BLANKENSHIP LEEDS (Dweezil Zappas)</t>
  </si>
  <si>
    <t>SCROLL THE SCREEN TO THE RIGHT.   USE THE SEARCHBAR TO SEARCH THE AMP AND FILL IN THE NUMBER.   NOTE!   X =  &lt;&lt;Not Used&gt;&gt;</t>
  </si>
  <si>
    <t>&lt;&lt;Not Used&gt;&gt;</t>
  </si>
  <si>
    <t>Not Used</t>
  </si>
  <si>
    <t>JP IIC+ Green (Mesa/Boogie JP-2C)</t>
  </si>
  <si>
    <t>JP IIC+ Red</t>
  </si>
  <si>
    <t>JP IIC+ Yellow</t>
  </si>
  <si>
    <t>USA LEAD Mesa / Boogie Mark IV)</t>
  </si>
  <si>
    <t>USA LEAD MIDGAIN</t>
  </si>
  <si>
    <t>USA LEAD MG BRIGHT</t>
  </si>
  <si>
    <t>USA PRE-LD2 GREEN</t>
  </si>
  <si>
    <t>USA PRE-LD2 RED</t>
  </si>
  <si>
    <t>USA PRE-LD2 YELLOW</t>
  </si>
  <si>
    <t>JP IIC+ YellowShred</t>
  </si>
  <si>
    <t>JP IIC+ RedShred</t>
  </si>
  <si>
    <t>USA IIC+ DEEPBRIGHT</t>
  </si>
  <si>
    <t>SOLO 99 LEADBRIGHT</t>
  </si>
  <si>
    <t>1959 FenderTweed Bassman, 5F6-A</t>
  </si>
  <si>
    <t>Fender TweedChamp 5F1</t>
  </si>
  <si>
    <t>50W Marshall JCM800 2204</t>
  </si>
  <si>
    <t>Marshall JCM800 with Santiago #34 modifications</t>
  </si>
  <si>
    <t>modded Marshall JCM800</t>
  </si>
  <si>
    <t>Marshall AFD100 SCE</t>
  </si>
  <si>
    <t>custom PLEXI BrownSound</t>
  </si>
  <si>
    <t>BRIT JVM-OD1 ORANGE</t>
  </si>
  <si>
    <t>BRIT JVM-OD1 RED</t>
  </si>
  <si>
    <t>BRIT JVM-OD2 GREEN</t>
  </si>
  <si>
    <t>BRIT JVM-OD2 ORANGE</t>
  </si>
  <si>
    <t>BRIT JVM-OD2 RED</t>
  </si>
  <si>
    <t>Marshall 2555 SilverJubilee</t>
  </si>
  <si>
    <t>Carol-Ann Tucana3</t>
  </si>
  <si>
    <t>Orange AD200B bass-amp</t>
  </si>
  <si>
    <t>Orange Rockerverb 50MKII)</t>
  </si>
  <si>
    <t>Vox AC15 TopBoost</t>
  </si>
  <si>
    <t>40W Friedman Dirty-Shirley</t>
  </si>
  <si>
    <t>Divided By13 CJ11</t>
  </si>
  <si>
    <t>Divided By13 FTR37</t>
  </si>
  <si>
    <t>DIZZY V4 BLUE3</t>
  </si>
  <si>
    <t>DIZZY V4 BLUE4</t>
  </si>
  <si>
    <t>DIZZY V4 SILVER2</t>
  </si>
  <si>
    <t>DIZZY V4 SILVER3</t>
  </si>
  <si>
    <t>DIZZY V4 SILVER4</t>
  </si>
  <si>
    <t>1966 blackface TwinReverb</t>
  </si>
  <si>
    <t>1971 silverface TwinReverb</t>
  </si>
  <si>
    <t>1965 blackface Bassman, AB165</t>
  </si>
  <si>
    <t>Bogner Ecstasy 20thAnniversary</t>
  </si>
  <si>
    <t>Fuchs Overdrive Supreme50</t>
  </si>
  <si>
    <t>FRIEDMAN HBEV1</t>
  </si>
  <si>
    <t>FRIEDMAN HBEV1 FAT</t>
  </si>
  <si>
    <t>FRIEDMAN HBEV2</t>
  </si>
  <si>
    <t>FRIEDMAN HBEV3</t>
  </si>
  <si>
    <t>FRIEDMAN BEV1</t>
  </si>
  <si>
    <t>FRIEDMAN BEV1 FAT</t>
  </si>
  <si>
    <t>FRIEDMAN BEV2</t>
  </si>
  <si>
    <t>FRIEDMAN BEV3</t>
  </si>
  <si>
    <t>JMPRE-1 CLEAN1 BASSSHIFT</t>
  </si>
  <si>
    <t>JMPRE-1 CLEAN2</t>
  </si>
  <si>
    <t>JMPRE-1 CLEAN2 BASSSHIFT</t>
  </si>
  <si>
    <t>JMPRE-1 OD1 BASSSHIFT</t>
  </si>
  <si>
    <t>JMPRE-1 OD2 BASSSHIFT</t>
  </si>
  <si>
    <t>Dr. Z Maz38 SR</t>
  </si>
  <si>
    <t>Dr. Z Maz8</t>
  </si>
  <si>
    <t>Swart Atomic SpaceTone</t>
  </si>
  <si>
    <t>ODS-100 FORD PABMID</t>
  </si>
  <si>
    <t>Peavey "Block Letter" EVH5150</t>
  </si>
  <si>
    <t>Peavey 6505+  EVH 5150-II</t>
  </si>
  <si>
    <t>PVH6160+ CLEAN BRIGHT</t>
  </si>
  <si>
    <t>PVH6160+ CRUNCH</t>
  </si>
  <si>
    <t>PVH6160+ CRUNCH BRIGHT</t>
  </si>
  <si>
    <t>1970 100W Plexi</t>
  </si>
  <si>
    <t>1969 100W Plexi</t>
  </si>
  <si>
    <t>1981 50W JMP2204</t>
  </si>
  <si>
    <t>1972 50W Plexi</t>
  </si>
  <si>
    <t>PLEXI 50W HIGH2</t>
  </si>
  <si>
    <t>Ampeg Portaflex bassamp</t>
  </si>
  <si>
    <t>strcpy(PresetName2,("NOT AVAILABLE"));</t>
  </si>
  <si>
    <t>strcpy(PresetName3,("NOT AVAILABLE"));</t>
  </si>
  <si>
    <t>strcpy(PresetName4,("NOT AVAILABLE"));</t>
  </si>
  <si>
    <t>strcpy(PresetName5,("NOT AVAILABLE"));</t>
  </si>
  <si>
    <t>strcpy(PresetName6,("NOT AVAILABLE"));</t>
  </si>
  <si>
    <t>strcpy(PresetName7,("NOT AVAILABLE"));</t>
  </si>
  <si>
    <t>strcpy(PresetName8,("NOT AVAILABLE"));</t>
  </si>
  <si>
    <t>strcpy(PresetName9,("NOT AVAILABLE"));</t>
  </si>
  <si>
    <t>COPY all in the GREEN To  preset_amp_ini.h  --&gt;  USE CTRL+SHIFT+ARROWDOWN</t>
  </si>
  <si>
    <t>IIC+ Mesa/Boogie Mark IIC+</t>
  </si>
  <si>
    <t>CLEAN Mesa/Boogie MarkIV</t>
  </si>
  <si>
    <t>Mesa/Boogie Bass400 bassamp</t>
  </si>
  <si>
    <t>TWO STONE J35PAB</t>
  </si>
  <si>
    <t>generic tubepreamp model</t>
  </si>
  <si>
    <t>Mesa/Boogie TripleCrown TC-100</t>
  </si>
  <si>
    <t>Mesa LoneStar Classic</t>
  </si>
  <si>
    <t>1964 Fender SuperReverb, AB763</t>
  </si>
  <si>
    <t>Bogner Shiva 20thAnni</t>
  </si>
  <si>
    <t>Ampeg SVT bassamp</t>
  </si>
  <si>
    <t>Mesa DualRectifier  3channels</t>
  </si>
  <si>
    <t>Mesa DualRectifier 2channels</t>
  </si>
  <si>
    <t>1966 blackface with_reverb, AA964</t>
  </si>
  <si>
    <t>silverface without reverb, AA964</t>
  </si>
  <si>
    <t>1964 blackface Vibroverb, AA763</t>
  </si>
  <si>
    <t>1962/1963 brownface Vibrolux, 6G11</t>
  </si>
  <si>
    <t>custom Fender VibroKing</t>
  </si>
  <si>
    <t>VIBRAKING FAT</t>
  </si>
  <si>
    <t>PRE-LD1 RED TX-4_board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</si>
</sst>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E+00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</font>
    <font>
      <b/>
      <i/>
      <u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left"/>
    </xf>
    <xf numFmtId="0" fontId="18" fillId="34" borderId="0" xfId="0" applyFont="1" applyFill="1" applyAlignment="1">
      <alignment horizontal="left"/>
    </xf>
    <xf numFmtId="0" fontId="17" fillId="33" borderId="0" xfId="0" applyFont="1" applyFill="1" applyAlignment="1">
      <alignment horizontal="center"/>
    </xf>
    <xf numFmtId="0" fontId="0" fillId="36" borderId="0" xfId="0" applyFill="1"/>
    <xf numFmtId="0" fontId="0" fillId="36" borderId="0" xfId="0" applyFill="1" applyAlignment="1">
      <alignment horizontal="left"/>
    </xf>
    <xf numFmtId="0" fontId="17" fillId="36" borderId="0" xfId="0" applyFont="1" applyFill="1" applyAlignment="1">
      <alignment horizontal="center"/>
    </xf>
    <xf numFmtId="0" fontId="0" fillId="37" borderId="0" xfId="0" applyFill="1"/>
    <xf numFmtId="0" fontId="0" fillId="37" borderId="0" xfId="0" applyFill="1" applyAlignment="1">
      <alignment horizontal="left"/>
    </xf>
    <xf numFmtId="0" fontId="18" fillId="34" borderId="0" xfId="0" applyFont="1" applyFill="1" applyAlignment="1">
      <alignment horizontal="center" vertical="center" wrapText="1"/>
    </xf>
    <xf numFmtId="0" fontId="18" fillId="0" borderId="0" xfId="0" applyFont="1" applyFill="1" applyAlignment="1">
      <alignment horizontal="left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49" fontId="18" fillId="35" borderId="0" xfId="0" applyNumberFormat="1" applyFont="1" applyFill="1" applyAlignment="1">
      <alignment horizontal="left"/>
    </xf>
    <xf numFmtId="49" fontId="0" fillId="36" borderId="0" xfId="0" applyNumberFormat="1" applyFill="1" applyAlignment="1">
      <alignment horizontal="left"/>
    </xf>
    <xf numFmtId="49" fontId="18" fillId="0" borderId="0" xfId="0" applyNumberFormat="1" applyFont="1" applyFill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49" fontId="19" fillId="0" borderId="0" xfId="0" applyNumberFormat="1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36" borderId="0" xfId="0" applyFont="1" applyFill="1"/>
    <xf numFmtId="49" fontId="19" fillId="36" borderId="0" xfId="0" applyNumberFormat="1" applyFont="1" applyFill="1" applyAlignment="1">
      <alignment horizontal="center"/>
    </xf>
    <xf numFmtId="0" fontId="19" fillId="36" borderId="0" xfId="0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0" fontId="19" fillId="38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21" fillId="0" borderId="0" xfId="42" applyAlignment="1">
      <alignment horizontal="center" vertical="center" wrapText="1"/>
    </xf>
    <xf numFmtId="0" fontId="0" fillId="0" borderId="0" xfId="0" applyNumberFormat="1"/>
    <xf numFmtId="11" fontId="0" fillId="0" borderId="0" xfId="0" applyNumberFormat="1"/>
    <xf numFmtId="0" fontId="19" fillId="0" borderId="0" xfId="0" applyFont="1" applyAlignment="1">
      <alignment horizontal="left"/>
    </xf>
    <xf numFmtId="49" fontId="0" fillId="0" borderId="0" xfId="0" applyNumberFormat="1"/>
    <xf numFmtId="49" fontId="0" fillId="37" borderId="0" xfId="0" applyNumberFormat="1" applyFill="1"/>
    <xf numFmtId="49" fontId="18" fillId="0" borderId="0" xfId="0" applyNumberFormat="1" applyFont="1" applyFill="1"/>
    <xf numFmtId="49" fontId="18" fillId="35" borderId="0" xfId="0" applyNumberFormat="1" applyFont="1" applyFill="1" applyAlignment="1">
      <alignment horizontal="center" vertical="center" wrapText="1"/>
    </xf>
    <xf numFmtId="0" fontId="22" fillId="0" borderId="0" xfId="0" applyFont="1"/>
    <xf numFmtId="49" fontId="0" fillId="36" borderId="0" xfId="0" applyNumberFormat="1" applyFill="1" applyAlignment="1">
      <alignment horizontal="center"/>
    </xf>
    <xf numFmtId="49" fontId="0" fillId="36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8" fillId="34" borderId="0" xfId="0" applyNumberFormat="1" applyFont="1" applyFill="1" applyAlignment="1">
      <alignment horizontal="left" readingOrder="1"/>
    </xf>
    <xf numFmtId="0" fontId="0" fillId="0" borderId="0" xfId="0" applyNumberFormat="1" applyAlignment="1">
      <alignment readingOrder="1"/>
    </xf>
    <xf numFmtId="0" fontId="23" fillId="39" borderId="0" xfId="0" applyNumberFormat="1" applyFont="1" applyFill="1" applyAlignment="1">
      <alignment horizontal="center" readingOrder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1" fillId="0" borderId="0" xfId="42" applyAlignment="1"/>
    <xf numFmtId="0" fontId="0" fillId="0" borderId="12" xfId="0" applyFont="1" applyBorder="1" applyAlignment="1">
      <alignment horizontal="left"/>
    </xf>
    <xf numFmtId="0" fontId="13" fillId="40" borderId="14" xfId="0" applyFont="1" applyFill="1" applyBorder="1" applyAlignment="1">
      <alignment horizontal="left"/>
    </xf>
    <xf numFmtId="0" fontId="0" fillId="41" borderId="14" xfId="0" applyFont="1" applyFill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24" fillId="0" borderId="0" xfId="0" applyFont="1"/>
    <xf numFmtId="0" fontId="0" fillId="0" borderId="0" xfId="0" quotePrefix="1"/>
    <xf numFmtId="49" fontId="13" fillId="40" borderId="0" xfId="0" applyNumberFormat="1" applyFont="1" applyFill="1" applyBorder="1"/>
    <xf numFmtId="49" fontId="0" fillId="0" borderId="15" xfId="0" applyNumberFormat="1" applyFont="1" applyBorder="1"/>
    <xf numFmtId="49" fontId="0" fillId="41" borderId="15" xfId="0" applyNumberFormat="1" applyFont="1" applyFill="1" applyBorder="1"/>
    <xf numFmtId="0" fontId="13" fillId="40" borderId="13" xfId="0" applyFont="1" applyFill="1" applyBorder="1" applyAlignment="1">
      <alignment horizontal="right"/>
    </xf>
    <xf numFmtId="0" fontId="0" fillId="41" borderId="13" xfId="0" applyFont="1" applyFill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1" xfId="0" applyFont="1" applyBorder="1" applyAlignment="1">
      <alignment horizontal="right"/>
    </xf>
    <xf numFmtId="0" fontId="17" fillId="0" borderId="0" xfId="0" applyFont="1"/>
    <xf numFmtId="0" fontId="25" fillId="0" borderId="0" xfId="0" applyFont="1"/>
    <xf numFmtId="0" fontId="0" fillId="34" borderId="16" xfId="0" applyFill="1" applyBorder="1" applyAlignment="1">
      <alignment horizontal="center" wrapText="1"/>
    </xf>
    <xf numFmtId="0" fontId="0" fillId="39" borderId="16" xfId="0" applyFill="1" applyBorder="1" applyAlignment="1">
      <alignment horizontal="center" wrapText="1"/>
    </xf>
    <xf numFmtId="0" fontId="0" fillId="34" borderId="16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17" fillId="42" borderId="0" xfId="0" applyNumberFormat="1" applyFont="1" applyFill="1" applyAlignment="1">
      <alignment readingOrder="1"/>
    </xf>
    <xf numFmtId="0" fontId="0" fillId="34" borderId="0" xfId="0" applyNumberFormat="1" applyFill="1" applyAlignment="1">
      <alignment readingOrder="1"/>
    </xf>
    <xf numFmtId="0" fontId="0" fillId="41" borderId="15" xfId="0" quotePrefix="1" applyNumberFormat="1" applyFont="1" applyFill="1" applyBorder="1"/>
    <xf numFmtId="0" fontId="16" fillId="39" borderId="1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 wrapText="1"/>
    </xf>
    <xf numFmtId="0" fontId="16" fillId="39" borderId="1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Hyperlink" xfId="42" builtinId="8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26">
    <dxf>
      <fill>
        <patternFill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1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</xdr:row>
          <xdr:rowOff>38100</xdr:rowOff>
        </xdr:from>
        <xdr:to>
          <xdr:col>31</xdr:col>
          <xdr:colOff>590550</xdr:colOff>
          <xdr:row>7</xdr:row>
          <xdr:rowOff>47625</xdr:rowOff>
        </xdr:to>
        <xdr:sp macro="" textlink="">
          <xdr:nvSpPr>
            <xdr:cNvPr id="3078" name="Combo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39FE5-5648-478F-8A65-990076B2AC86}" name="Tabel1" displayName="Tabel1" ref="J3:Q515" totalsRowShown="0" headerRowDxfId="24" dataDxfId="22" headerRowBorderDxfId="23" tableBorderDxfId="21">
  <autoFilter ref="J3:Q515" xr:uid="{876FDB7A-3432-43C3-9CAC-D0D32F2D37C8}"/>
  <tableColumns count="8">
    <tableColumn id="1" xr3:uid="{1CB6B104-C82D-4661-85CC-5A216855331F}" name="AMP1_A" dataDxfId="20">
      <calculatedColumnFormula>VLOOKUP(S4,'AMP models AxeFxIII'!$D$2:$H$299,2,FALSE)</calculatedColumnFormula>
    </tableColumn>
    <tableColumn id="2" xr3:uid="{6CFBE472-D160-45F4-BDBA-8F2FB96CAB4D}" name="AMP1_B" dataDxfId="19">
      <calculatedColumnFormula>VLOOKUP(T4,'AMP models AxeFxIII'!$D$2:$H$299,2,FALSE)</calculatedColumnFormula>
    </tableColumn>
    <tableColumn id="3" xr3:uid="{EDF4593D-4683-456C-B02E-36E0F8F48E42}" name="AMP1_C" dataDxfId="18">
      <calculatedColumnFormula>VLOOKUP(U4,'AMP models AxeFxIII'!$D$2:$H$299,2,FALSE)</calculatedColumnFormula>
    </tableColumn>
    <tableColumn id="4" xr3:uid="{5DB0301F-05F1-4B99-A39E-D3E6E2816177}" name="AMP1_D" dataDxfId="17">
      <calculatedColumnFormula>VLOOKUP(V4,'AMP models AxeFxIII'!$D$2:$H$299,2,FALSE)</calculatedColumnFormula>
    </tableColumn>
    <tableColumn id="5" xr3:uid="{FC9F4B7D-62B4-4783-BE37-7E5EEB30DB3A}" name="AMP2_A" dataDxfId="16">
      <calculatedColumnFormula>VLOOKUP(W4,'AMP models AxeFxIII'!$D$2:$H$299,2,FALSE)</calculatedColumnFormula>
    </tableColumn>
    <tableColumn id="6" xr3:uid="{104CEA11-7892-4527-A470-2B0EFEF68DC2}" name="AMP2_B" dataDxfId="15">
      <calculatedColumnFormula>VLOOKUP(X4,'AMP models AxeFxIII'!$D$2:$H$299,2,FALSE)</calculatedColumnFormula>
    </tableColumn>
    <tableColumn id="7" xr3:uid="{C2934ABE-E7EB-469C-B109-032090CF6DEE}" name="AMP2_C" dataDxfId="14">
      <calculatedColumnFormula>VLOOKUP(Y4,'AMP models AxeFxIII'!$D$2:$H$299,2,FALSE)</calculatedColumnFormula>
    </tableColumn>
    <tableColumn id="8" xr3:uid="{5E58B299-0AC8-4719-8D6B-FD55A36A776B}" name="AMP2_D" dataDxfId="13">
      <calculatedColumnFormula>VLOOKUP(Z4,'AMP models AxeFxIII'!$D$2:$H$299,2,FALSE)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6041B7-A453-4A7B-ABF8-3E40051A966E}" name="Tabel2" displayName="Tabel2" ref="S3:Z515" totalsRowShown="0" headerRowDxfId="12" dataDxfId="10" headerRowBorderDxfId="11" tableBorderDxfId="9">
  <autoFilter ref="S3:Z515" xr:uid="{245065D8-D679-4E88-BBA9-E46A9EFA25C5}"/>
  <tableColumns count="8">
    <tableColumn id="1" xr3:uid="{456A2992-08DC-43AA-9864-FF121E88F614}" name="AMP1_A" dataDxfId="8"/>
    <tableColumn id="2" xr3:uid="{0203BA7C-DE46-4457-91C7-F08D0666FBF8}" name="AMP1_B" dataDxfId="7"/>
    <tableColumn id="3" xr3:uid="{FCEA7C0F-F105-443D-80C5-1416D9A127B0}" name="AMP1_C" dataDxfId="6"/>
    <tableColumn id="4" xr3:uid="{FDE95794-08C9-44C6-8441-7632B7538685}" name="AMP1_D" dataDxfId="5"/>
    <tableColumn id="5" xr3:uid="{4CB4E4DA-DEEB-407C-BA7A-E0D60C7E4ACB}" name="AMP2_A" dataDxfId="4"/>
    <tableColumn id="6" xr3:uid="{293E7E26-1585-4F37-B435-FDD00FF90346}" name="AMP2_B" dataDxfId="3"/>
    <tableColumn id="7" xr3:uid="{9DFDF947-BD71-4D98-A5D6-5C1AA6C742D2}" name="AMP2_C" dataDxfId="2"/>
    <tableColumn id="8" xr3:uid="{46DFEAAB-D4BF-4607-AAEB-0BA5991DA499}" name="AMP2_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rapidtables.com/code/text/ascii-table.html" TargetMode="External"/><Relationship Id="rId1" Type="http://schemas.openxmlformats.org/officeDocument/2006/relationships/hyperlink" Target="https://www.rapidtables.com/code/text/ascii-table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K1448"/>
  <sheetViews>
    <sheetView tabSelected="1" workbookViewId="0"/>
  </sheetViews>
  <sheetFormatPr defaultColWidth="9.140625" defaultRowHeight="15"/>
  <cols>
    <col min="1" max="1" width="9.140625" style="36"/>
    <col min="2" max="2" width="34.5703125" style="15" bestFit="1" customWidth="1"/>
    <col min="3" max="3" width="13.85546875" style="10" hidden="1" customWidth="1"/>
    <col min="4" max="4" width="48.85546875" style="10" hidden="1" customWidth="1"/>
    <col min="5" max="5" width="32.42578125" style="11" hidden="1" customWidth="1"/>
    <col min="6" max="7" width="24.5703125" style="10" hidden="1" customWidth="1"/>
    <col min="8" max="8" width="32.42578125" style="11" hidden="1" customWidth="1"/>
    <col min="9" max="9" width="6.85546875" style="11" customWidth="1"/>
    <col min="10" max="10" width="68" style="10" bestFit="1" customWidth="1"/>
    <col min="11" max="11" width="25" style="12" hidden="1" customWidth="1"/>
    <col min="12" max="12" width="32.42578125" style="11" bestFit="1" customWidth="1"/>
    <col min="13" max="13" width="9.140625" style="11"/>
    <col min="14" max="14" width="17" style="11" bestFit="1" customWidth="1"/>
    <col min="15" max="16384" width="9.140625" style="11"/>
  </cols>
  <sheetData>
    <row r="1" spans="1:11" customFormat="1" ht="57.75" customHeight="1">
      <c r="A1" s="35"/>
      <c r="B1" s="37" t="s">
        <v>833</v>
      </c>
      <c r="C1" s="1"/>
      <c r="D1" s="1"/>
      <c r="F1" s="1"/>
      <c r="G1" s="1"/>
      <c r="I1" s="7"/>
      <c r="J1" s="9" t="s">
        <v>834</v>
      </c>
      <c r="K1" s="3" t="s">
        <v>30</v>
      </c>
    </row>
    <row r="2" spans="1:11" customFormat="1">
      <c r="A2" s="35"/>
      <c r="B2" s="13"/>
      <c r="C2" s="1"/>
      <c r="D2" s="1"/>
      <c r="F2" s="1"/>
      <c r="G2" s="1"/>
      <c r="I2" s="7"/>
      <c r="J2" s="2"/>
      <c r="K2" s="3"/>
    </row>
    <row r="3" spans="1:11" customFormat="1">
      <c r="A3" s="35"/>
      <c r="B3" s="14" t="s">
        <v>16</v>
      </c>
      <c r="C3" s="5" t="s">
        <v>14</v>
      </c>
      <c r="D3" s="5" t="s">
        <v>17</v>
      </c>
      <c r="E3" s="4"/>
      <c r="F3" s="5" t="s">
        <v>15</v>
      </c>
      <c r="G3" s="5"/>
      <c r="H3" s="4"/>
      <c r="I3" s="7"/>
      <c r="J3" s="4" t="s">
        <v>16</v>
      </c>
      <c r="K3" s="6"/>
    </row>
    <row r="4" spans="1:11" customFormat="1">
      <c r="A4">
        <v>0</v>
      </c>
      <c r="B4" t="s">
        <v>623</v>
      </c>
      <c r="C4" s="1">
        <v>0</v>
      </c>
      <c r="D4" s="1" t="str">
        <f t="shared" ref="D4:D67" si="0">E4&amp;F4&amp;","&amp;"("&amp;G4&amp;B4&amp;H4&amp;"))"&amp;";"</f>
        <v>strcpy(PresetName0,("Petrucci REC"));</v>
      </c>
      <c r="E4" s="1" t="s">
        <v>18</v>
      </c>
      <c r="F4" t="s">
        <v>19</v>
      </c>
      <c r="G4" t="s">
        <v>13</v>
      </c>
      <c r="H4" s="1" t="s">
        <v>13</v>
      </c>
      <c r="I4" s="8"/>
      <c r="J4" s="2" t="str">
        <f xml:space="preserve"> "case "&amp; K4&amp;": "</f>
        <v xml:space="preserve">case 0: </v>
      </c>
      <c r="K4" s="3">
        <v>0</v>
      </c>
    </row>
    <row r="5" spans="1:11" customFormat="1">
      <c r="A5">
        <v>1</v>
      </c>
      <c r="B5" t="s">
        <v>0</v>
      </c>
      <c r="C5" s="1">
        <v>1</v>
      </c>
      <c r="D5" s="1" t="str">
        <f t="shared" si="0"/>
        <v>strcpy(PresetName1,("Petrucci Rig 2020"));</v>
      </c>
      <c r="E5" s="1" t="s">
        <v>18</v>
      </c>
      <c r="F5" t="s">
        <v>20</v>
      </c>
      <c r="G5" t="s">
        <v>13</v>
      </c>
      <c r="H5" s="1" t="s">
        <v>13</v>
      </c>
      <c r="I5" s="8"/>
      <c r="J5" s="2" t="str">
        <f t="shared" ref="J5:J14" si="1">VLOOKUP(K5,C:D,2,FALSE)</f>
        <v>strcpy(PresetName0,("Petrucci REC"));</v>
      </c>
      <c r="K5" s="3">
        <f>K4</f>
        <v>0</v>
      </c>
    </row>
    <row r="6" spans="1:11" customFormat="1">
      <c r="A6">
        <v>2</v>
      </c>
      <c r="B6" t="s">
        <v>1</v>
      </c>
      <c r="C6" s="1">
        <v>2</v>
      </c>
      <c r="D6" s="1" t="str">
        <f t="shared" si="0"/>
        <v>strcpy(PresetName2,("Boogie IIC++"));</v>
      </c>
      <c r="E6" s="1" t="s">
        <v>18</v>
      </c>
      <c r="F6" t="s">
        <v>21</v>
      </c>
      <c r="G6" t="s">
        <v>13</v>
      </c>
      <c r="H6" s="1" t="s">
        <v>13</v>
      </c>
      <c r="I6" s="8"/>
      <c r="J6" s="2" t="str">
        <f t="shared" si="1"/>
        <v>strcpy(PresetName1,("Petrucci Rig 2020"));</v>
      </c>
      <c r="K6" s="3">
        <f>K5+1</f>
        <v>1</v>
      </c>
    </row>
    <row r="7" spans="1:11" customFormat="1">
      <c r="A7">
        <v>3</v>
      </c>
      <c r="B7" t="s">
        <v>795</v>
      </c>
      <c r="C7" s="1">
        <v>3</v>
      </c>
      <c r="D7" s="1" t="str">
        <f t="shared" si="0"/>
        <v>strcpy(PresetName3,("JP2C Best Rig"));</v>
      </c>
      <c r="E7" s="1" t="s">
        <v>18</v>
      </c>
      <c r="F7" t="s">
        <v>22</v>
      </c>
      <c r="G7" t="s">
        <v>13</v>
      </c>
      <c r="H7" s="1" t="s">
        <v>13</v>
      </c>
      <c r="I7" s="8"/>
      <c r="J7" s="2" t="str">
        <f t="shared" si="1"/>
        <v>strcpy(PresetName2,("Boogie IIC++"));</v>
      </c>
      <c r="K7" s="3">
        <f t="shared" ref="K7:K14" si="2">K6+1</f>
        <v>2</v>
      </c>
    </row>
    <row r="8" spans="1:11" customFormat="1">
      <c r="A8">
        <v>4</v>
      </c>
      <c r="B8" t="s">
        <v>2</v>
      </c>
      <c r="C8" s="1">
        <v>4</v>
      </c>
      <c r="D8" s="1" t="str">
        <f t="shared" si="0"/>
        <v>strcpy(PresetName4,("JP2C+"));</v>
      </c>
      <c r="E8" s="1" t="s">
        <v>18</v>
      </c>
      <c r="F8" t="s">
        <v>23</v>
      </c>
      <c r="G8" t="s">
        <v>13</v>
      </c>
      <c r="H8" s="1" t="s">
        <v>13</v>
      </c>
      <c r="I8" s="8"/>
      <c r="J8" s="2" t="str">
        <f t="shared" si="1"/>
        <v>strcpy(PresetName3,("JP2C Best Rig"));</v>
      </c>
      <c r="K8" s="3">
        <f t="shared" si="2"/>
        <v>3</v>
      </c>
    </row>
    <row r="9" spans="1:11" customFormat="1">
      <c r="A9">
        <v>5</v>
      </c>
      <c r="B9" t="s">
        <v>622</v>
      </c>
      <c r="C9" s="1">
        <v>5</v>
      </c>
      <c r="D9" s="1" t="str">
        <f t="shared" si="0"/>
        <v>strcpy(PresetName5,("JohnP MarkIIC+"));</v>
      </c>
      <c r="E9" s="1" t="s">
        <v>18</v>
      </c>
      <c r="F9" t="s">
        <v>24</v>
      </c>
      <c r="G9" t="s">
        <v>13</v>
      </c>
      <c r="H9" s="1" t="s">
        <v>13</v>
      </c>
      <c r="I9" s="8"/>
      <c r="J9" s="2" t="str">
        <f t="shared" si="1"/>
        <v>strcpy(PresetName4,("JP2C+"));</v>
      </c>
      <c r="K9" s="3">
        <f t="shared" si="2"/>
        <v>4</v>
      </c>
    </row>
    <row r="10" spans="1:11" customFormat="1">
      <c r="A10">
        <v>6</v>
      </c>
      <c r="B10" t="s">
        <v>621</v>
      </c>
      <c r="C10" s="1">
        <v>6</v>
      </c>
      <c r="D10" s="1" t="str">
        <f t="shared" si="0"/>
        <v>strcpy(PresetName6,("JP's IIC+ v12"));</v>
      </c>
      <c r="E10" s="1" t="s">
        <v>18</v>
      </c>
      <c r="F10" t="s">
        <v>25</v>
      </c>
      <c r="G10" t="s">
        <v>13</v>
      </c>
      <c r="H10" s="1" t="s">
        <v>13</v>
      </c>
      <c r="I10" s="8"/>
      <c r="J10" s="2" t="str">
        <f t="shared" si="1"/>
        <v>strcpy(PresetName5,("JohnP MarkIIC+"));</v>
      </c>
      <c r="K10" s="3">
        <f t="shared" si="2"/>
        <v>5</v>
      </c>
    </row>
    <row r="11" spans="1:11" customFormat="1">
      <c r="A11">
        <v>7</v>
      </c>
      <c r="B11" t="s">
        <v>620</v>
      </c>
      <c r="C11" s="1">
        <v>7</v>
      </c>
      <c r="D11" s="1" t="str">
        <f t="shared" si="0"/>
        <v>strcpy(PresetName7,("Mesa MarkIV"));</v>
      </c>
      <c r="E11" s="1" t="s">
        <v>18</v>
      </c>
      <c r="F11" t="s">
        <v>26</v>
      </c>
      <c r="G11" t="s">
        <v>13</v>
      </c>
      <c r="H11" s="1" t="s">
        <v>13</v>
      </c>
      <c r="I11" s="8"/>
      <c r="J11" s="2" t="str">
        <f t="shared" si="1"/>
        <v>strcpy(PresetName6,("JP's IIC+ v12"));</v>
      </c>
      <c r="K11" s="3">
        <f t="shared" si="2"/>
        <v>6</v>
      </c>
    </row>
    <row r="12" spans="1:11" customFormat="1">
      <c r="A12">
        <v>8</v>
      </c>
      <c r="B12" t="s">
        <v>619</v>
      </c>
      <c r="C12" s="1">
        <v>8</v>
      </c>
      <c r="D12" s="1" t="str">
        <f t="shared" si="0"/>
        <v>strcpy(PresetName8,("Mesa TriAxess"));</v>
      </c>
      <c r="E12" s="1" t="s">
        <v>18</v>
      </c>
      <c r="F12" t="s">
        <v>27</v>
      </c>
      <c r="G12" t="s">
        <v>13</v>
      </c>
      <c r="H12" s="1" t="s">
        <v>13</v>
      </c>
      <c r="I12" s="8"/>
      <c r="J12" s="2" t="str">
        <f t="shared" si="1"/>
        <v>strcpy(PresetName7,("Mesa MarkIV"));</v>
      </c>
      <c r="K12" s="3">
        <f t="shared" si="2"/>
        <v>7</v>
      </c>
    </row>
    <row r="13" spans="1:11" customFormat="1">
      <c r="A13">
        <v>9</v>
      </c>
      <c r="B13" t="s">
        <v>618</v>
      </c>
      <c r="C13" s="1">
        <v>9</v>
      </c>
      <c r="D13" s="1" t="str">
        <f t="shared" si="0"/>
        <v>strcpy(PresetName9,("VidarAus JP2C Rigv5"));</v>
      </c>
      <c r="E13" s="1" t="s">
        <v>18</v>
      </c>
      <c r="F13" t="s">
        <v>28</v>
      </c>
      <c r="G13" t="s">
        <v>13</v>
      </c>
      <c r="H13" s="1" t="s">
        <v>13</v>
      </c>
      <c r="I13" s="8"/>
      <c r="J13" s="2" t="str">
        <f t="shared" si="1"/>
        <v>strcpy(PresetName8,("Mesa TriAxess"));</v>
      </c>
      <c r="K13" s="3">
        <f t="shared" si="2"/>
        <v>8</v>
      </c>
    </row>
    <row r="14" spans="1:11" customFormat="1">
      <c r="A14">
        <v>10</v>
      </c>
      <c r="B14" t="s">
        <v>617</v>
      </c>
      <c r="C14" s="1">
        <v>10</v>
      </c>
      <c r="D14" s="1" t="str">
        <f t="shared" si="0"/>
        <v>strcpy(PresetName0,("MESA TRIAXIS"));</v>
      </c>
      <c r="E14" s="1" t="s">
        <v>18</v>
      </c>
      <c r="F14" t="s">
        <v>19</v>
      </c>
      <c r="G14" t="s">
        <v>13</v>
      </c>
      <c r="H14" s="1" t="s">
        <v>13</v>
      </c>
      <c r="I14" s="8"/>
      <c r="J14" s="2" t="str">
        <f t="shared" si="1"/>
        <v>strcpy(PresetName9,("VidarAus JP2C Rigv5"));</v>
      </c>
      <c r="K14" s="3">
        <f t="shared" si="2"/>
        <v>9</v>
      </c>
    </row>
    <row r="15" spans="1:11" customFormat="1">
      <c r="A15">
        <v>11</v>
      </c>
      <c r="B15" t="s">
        <v>616</v>
      </c>
      <c r="C15" s="1">
        <v>11</v>
      </c>
      <c r="D15" s="1" t="str">
        <f t="shared" si="0"/>
        <v>strcpy(PresetName1,("Mark's Recto TNT"));</v>
      </c>
      <c r="E15" s="1" t="s">
        <v>18</v>
      </c>
      <c r="F15" t="s">
        <v>20</v>
      </c>
      <c r="G15" t="s">
        <v>13</v>
      </c>
      <c r="H15" s="1" t="s">
        <v>13</v>
      </c>
      <c r="I15" s="8"/>
      <c r="J15" s="2"/>
      <c r="K15" s="3"/>
    </row>
    <row r="16" spans="1:11" customFormat="1">
      <c r="A16">
        <v>12</v>
      </c>
      <c r="B16" t="s">
        <v>615</v>
      </c>
      <c r="C16" s="1">
        <v>12</v>
      </c>
      <c r="D16" s="1" t="str">
        <f t="shared" si="0"/>
        <v>strcpy(PresetName2,("Mark's Recto 2"));</v>
      </c>
      <c r="E16" s="1" t="s">
        <v>18</v>
      </c>
      <c r="F16" t="s">
        <v>21</v>
      </c>
      <c r="G16" t="s">
        <v>13</v>
      </c>
      <c r="H16" s="1" t="s">
        <v>13</v>
      </c>
      <c r="I16" s="8"/>
      <c r="J16" s="2" t="s">
        <v>29</v>
      </c>
      <c r="K16" s="3"/>
    </row>
    <row r="17" spans="1:11" customFormat="1">
      <c r="A17">
        <v>13</v>
      </c>
      <c r="B17" t="s">
        <v>3</v>
      </c>
      <c r="C17" s="1">
        <v>13</v>
      </c>
      <c r="D17" s="1" t="str">
        <f t="shared" si="0"/>
        <v>strcpy(PresetName3,("Mark Journey Set"));</v>
      </c>
      <c r="E17" s="1" t="s">
        <v>18</v>
      </c>
      <c r="F17" t="s">
        <v>22</v>
      </c>
      <c r="G17" t="s">
        <v>13</v>
      </c>
      <c r="H17" s="1" t="s">
        <v>13</v>
      </c>
      <c r="I17" s="8"/>
      <c r="J17" s="2"/>
      <c r="K17" s="3"/>
    </row>
    <row r="18" spans="1:11" customFormat="1">
      <c r="A18">
        <v>14</v>
      </c>
      <c r="B18" t="s">
        <v>851</v>
      </c>
      <c r="C18" s="1">
        <v>14</v>
      </c>
      <c r="D18" s="1" t="str">
        <f t="shared" si="0"/>
        <v>strcpy(PresetName4,("L.O.G."));</v>
      </c>
      <c r="E18" s="1" t="s">
        <v>18</v>
      </c>
      <c r="F18" t="s">
        <v>23</v>
      </c>
      <c r="G18" t="s">
        <v>13</v>
      </c>
      <c r="H18" s="1" t="s">
        <v>13</v>
      </c>
      <c r="I18" s="8"/>
      <c r="J18" s="2" t="str">
        <f xml:space="preserve"> "case "&amp; K18&amp;": "</f>
        <v xml:space="preserve">case 10: </v>
      </c>
      <c r="K18" s="3">
        <f>K4+10</f>
        <v>10</v>
      </c>
    </row>
    <row r="19" spans="1:11" customFormat="1">
      <c r="A19">
        <v>15</v>
      </c>
      <c r="B19" t="s">
        <v>852</v>
      </c>
      <c r="C19" s="1">
        <v>15</v>
      </c>
      <c r="D19" s="1" t="str">
        <f t="shared" si="0"/>
        <v>strcpy(PresetName5,("L.O.G. To Rest"));</v>
      </c>
      <c r="E19" s="1" t="s">
        <v>18</v>
      </c>
      <c r="F19" t="s">
        <v>24</v>
      </c>
      <c r="G19" t="s">
        <v>13</v>
      </c>
      <c r="H19" s="1" t="s">
        <v>13</v>
      </c>
      <c r="I19" s="8"/>
      <c r="J19" s="2" t="str">
        <f t="shared" ref="J19:J28" si="3">VLOOKUP(K19,C:D,2,FALSE)</f>
        <v>strcpy(PresetName0,("MESA TRIAXIS"));</v>
      </c>
      <c r="K19" s="3">
        <f>K18</f>
        <v>10</v>
      </c>
    </row>
    <row r="20" spans="1:11" customFormat="1">
      <c r="A20">
        <v>16</v>
      </c>
      <c r="B20" t="s">
        <v>853</v>
      </c>
      <c r="C20" s="1">
        <v>16</v>
      </c>
      <c r="D20" s="1" t="str">
        <f t="shared" si="0"/>
        <v>strcpy(PresetName6,("L.O.G 11th Hour"));</v>
      </c>
      <c r="E20" s="1" t="s">
        <v>18</v>
      </c>
      <c r="F20" t="s">
        <v>25</v>
      </c>
      <c r="G20" t="s">
        <v>13</v>
      </c>
      <c r="H20" s="1" t="s">
        <v>13</v>
      </c>
      <c r="I20" s="8"/>
      <c r="J20" s="2" t="str">
        <f t="shared" si="3"/>
        <v>strcpy(PresetName1,("Mark's Recto TNT"));</v>
      </c>
      <c r="K20" s="3">
        <f>K19+1</f>
        <v>11</v>
      </c>
    </row>
    <row r="21" spans="1:11" customFormat="1">
      <c r="A21">
        <v>17</v>
      </c>
      <c r="B21" t="s">
        <v>853</v>
      </c>
      <c r="C21" s="1">
        <v>17</v>
      </c>
      <c r="D21" s="1" t="str">
        <f t="shared" si="0"/>
        <v>strcpy(PresetName7,("L.O.G 11th Hour"));</v>
      </c>
      <c r="E21" s="1" t="s">
        <v>18</v>
      </c>
      <c r="F21" t="s">
        <v>26</v>
      </c>
      <c r="G21" t="s">
        <v>13</v>
      </c>
      <c r="H21" s="1" t="s">
        <v>13</v>
      </c>
      <c r="I21" s="8"/>
      <c r="J21" s="2" t="str">
        <f t="shared" si="3"/>
        <v>strcpy(PresetName2,("Mark's Recto 2"));</v>
      </c>
      <c r="K21" s="3">
        <f t="shared" ref="K21:K28" si="4">K20+1</f>
        <v>12</v>
      </c>
    </row>
    <row r="22" spans="1:11" customFormat="1">
      <c r="A22">
        <v>18</v>
      </c>
      <c r="B22" t="s">
        <v>845</v>
      </c>
      <c r="C22" s="1">
        <v>18</v>
      </c>
      <c r="D22" s="1" t="str">
        <f t="shared" si="0"/>
        <v>strcpy(PresetName8,("Mark Morton Mesa"));</v>
      </c>
      <c r="E22" s="1" t="s">
        <v>18</v>
      </c>
      <c r="F22" t="s">
        <v>27</v>
      </c>
      <c r="G22" t="s">
        <v>13</v>
      </c>
      <c r="H22" s="1" t="s">
        <v>13</v>
      </c>
      <c r="I22" s="8"/>
      <c r="J22" s="2" t="str">
        <f t="shared" si="3"/>
        <v>strcpy(PresetName3,("Mark Journey Set"));</v>
      </c>
      <c r="K22" s="3">
        <f t="shared" si="4"/>
        <v>13</v>
      </c>
    </row>
    <row r="23" spans="1:11" customFormat="1">
      <c r="A23">
        <v>19</v>
      </c>
      <c r="B23" t="s">
        <v>846</v>
      </c>
      <c r="C23" s="1">
        <v>19</v>
      </c>
      <c r="D23" s="1" t="str">
        <f t="shared" si="0"/>
        <v>strcpy(PresetName9,("MarkIV_NKD"));</v>
      </c>
      <c r="E23" s="1" t="s">
        <v>18</v>
      </c>
      <c r="F23" t="s">
        <v>28</v>
      </c>
      <c r="G23" t="s">
        <v>13</v>
      </c>
      <c r="H23" s="1" t="s">
        <v>13</v>
      </c>
      <c r="I23" s="8"/>
      <c r="J23" s="2" t="str">
        <f t="shared" si="3"/>
        <v>strcpy(PresetName4,("L.O.G."));</v>
      </c>
      <c r="K23" s="3">
        <f t="shared" si="4"/>
        <v>14</v>
      </c>
    </row>
    <row r="24" spans="1:11" customFormat="1">
      <c r="A24">
        <v>20</v>
      </c>
      <c r="B24" t="s">
        <v>4</v>
      </c>
      <c r="C24" s="1">
        <v>20</v>
      </c>
      <c r="D24" s="1" t="str">
        <f t="shared" si="0"/>
        <v>strcpy(PresetName0,("Evailution 1"));</v>
      </c>
      <c r="E24" s="1" t="s">
        <v>18</v>
      </c>
      <c r="F24" t="s">
        <v>19</v>
      </c>
      <c r="G24" t="s">
        <v>13</v>
      </c>
      <c r="H24" s="1" t="s">
        <v>13</v>
      </c>
      <c r="I24" s="8"/>
      <c r="J24" s="2" t="str">
        <f t="shared" si="3"/>
        <v>strcpy(PresetName5,("L.O.G. To Rest"));</v>
      </c>
      <c r="K24" s="3">
        <f t="shared" si="4"/>
        <v>15</v>
      </c>
    </row>
    <row r="25" spans="1:11" customFormat="1">
      <c r="A25">
        <v>21</v>
      </c>
      <c r="B25" t="s">
        <v>5</v>
      </c>
      <c r="C25" s="1">
        <v>21</v>
      </c>
      <c r="D25" s="1" t="str">
        <f t="shared" si="0"/>
        <v>strcpy(PresetName1,("Evailution 2"));</v>
      </c>
      <c r="E25" s="1" t="s">
        <v>18</v>
      </c>
      <c r="F25" t="s">
        <v>20</v>
      </c>
      <c r="G25" t="s">
        <v>13</v>
      </c>
      <c r="H25" s="1" t="s">
        <v>13</v>
      </c>
      <c r="I25" s="8"/>
      <c r="J25" s="2" t="str">
        <f t="shared" si="3"/>
        <v>strcpy(PresetName6,("L.O.G 11th Hour"));</v>
      </c>
      <c r="K25" s="3">
        <f t="shared" si="4"/>
        <v>16</v>
      </c>
    </row>
    <row r="26" spans="1:11" customFormat="1">
      <c r="A26">
        <v>22</v>
      </c>
      <c r="B26" t="s">
        <v>847</v>
      </c>
      <c r="C26" s="1">
        <v>22</v>
      </c>
      <c r="D26" s="1" t="str">
        <f t="shared" si="0"/>
        <v>strcpy(PresetName2,("Legator Ninja (Fishman Modern)"));</v>
      </c>
      <c r="E26" s="1" t="s">
        <v>18</v>
      </c>
      <c r="F26" t="s">
        <v>21</v>
      </c>
      <c r="G26" t="s">
        <v>13</v>
      </c>
      <c r="H26" s="1" t="s">
        <v>13</v>
      </c>
      <c r="I26" s="8"/>
      <c r="J26" s="2" t="str">
        <f t="shared" si="3"/>
        <v>strcpy(PresetName7,("L.O.G 11th Hour"));</v>
      </c>
      <c r="K26" s="3">
        <f t="shared" si="4"/>
        <v>17</v>
      </c>
    </row>
    <row r="27" spans="1:11" customFormat="1">
      <c r="A27">
        <v>23</v>
      </c>
      <c r="B27" t="s">
        <v>847</v>
      </c>
      <c r="C27" s="1">
        <v>23</v>
      </c>
      <c r="D27" s="1" t="str">
        <f t="shared" si="0"/>
        <v>strcpy(PresetName3,("Legator Ninja (Fishman Modern)"));</v>
      </c>
      <c r="E27" s="1" t="s">
        <v>18</v>
      </c>
      <c r="F27" t="s">
        <v>22</v>
      </c>
      <c r="G27" t="s">
        <v>13</v>
      </c>
      <c r="H27" s="1" t="s">
        <v>13</v>
      </c>
      <c r="I27" s="8"/>
      <c r="J27" s="2" t="str">
        <f t="shared" si="3"/>
        <v>strcpy(PresetName8,("Mark Morton Mesa"));</v>
      </c>
      <c r="K27" s="3">
        <f t="shared" si="4"/>
        <v>18</v>
      </c>
    </row>
    <row r="28" spans="1:11" customFormat="1">
      <c r="A28">
        <v>24</v>
      </c>
      <c r="B28" t="s">
        <v>848</v>
      </c>
      <c r="C28" s="1">
        <v>24</v>
      </c>
      <c r="D28" s="1" t="str">
        <f t="shared" si="0"/>
        <v>strcpy(PresetName4,("Sacrament"));</v>
      </c>
      <c r="E28" s="1" t="s">
        <v>18</v>
      </c>
      <c r="F28" t="s">
        <v>23</v>
      </c>
      <c r="G28" t="s">
        <v>13</v>
      </c>
      <c r="H28" s="1" t="s">
        <v>13</v>
      </c>
      <c r="I28" s="8"/>
      <c r="J28" s="2" t="str">
        <f t="shared" si="3"/>
        <v>strcpy(PresetName9,("MarkIV_NKD"));</v>
      </c>
      <c r="K28" s="3">
        <f t="shared" si="4"/>
        <v>19</v>
      </c>
    </row>
    <row r="29" spans="1:11" customFormat="1">
      <c r="A29">
        <v>25</v>
      </c>
      <c r="B29" t="s">
        <v>844</v>
      </c>
      <c r="C29" s="1">
        <v>25</v>
      </c>
      <c r="D29" s="1" t="str">
        <f t="shared" si="0"/>
        <v>strcpy(PresetName5,("LAMB OF GOD"));</v>
      </c>
      <c r="E29" s="1" t="s">
        <v>18</v>
      </c>
      <c r="F29" t="s">
        <v>24</v>
      </c>
      <c r="G29" t="s">
        <v>13</v>
      </c>
      <c r="H29" s="1" t="s">
        <v>13</v>
      </c>
      <c r="I29" s="8"/>
      <c r="J29" s="2"/>
      <c r="K29" s="3"/>
    </row>
    <row r="30" spans="1:11" customFormat="1">
      <c r="A30">
        <v>26</v>
      </c>
      <c r="B30" t="s">
        <v>844</v>
      </c>
      <c r="C30" s="1">
        <v>26</v>
      </c>
      <c r="D30" s="1" t="str">
        <f t="shared" si="0"/>
        <v>strcpy(PresetName6,("LAMB OF GOD"));</v>
      </c>
      <c r="E30" s="1" t="s">
        <v>18</v>
      </c>
      <c r="F30" t="s">
        <v>25</v>
      </c>
      <c r="G30" t="s">
        <v>13</v>
      </c>
      <c r="H30" s="1" t="s">
        <v>13</v>
      </c>
      <c r="I30" s="8"/>
      <c r="J30" s="2" t="s">
        <v>29</v>
      </c>
      <c r="K30" s="3"/>
    </row>
    <row r="31" spans="1:11" customFormat="1">
      <c r="A31">
        <v>27</v>
      </c>
      <c r="B31" t="s">
        <v>844</v>
      </c>
      <c r="C31" s="1">
        <v>27</v>
      </c>
      <c r="D31" s="1" t="str">
        <f t="shared" si="0"/>
        <v>strcpy(PresetName7,("LAMB OF GOD"));</v>
      </c>
      <c r="E31" s="1" t="s">
        <v>18</v>
      </c>
      <c r="F31" t="s">
        <v>26</v>
      </c>
      <c r="G31" t="s">
        <v>13</v>
      </c>
      <c r="H31" s="1" t="s">
        <v>13</v>
      </c>
      <c r="I31" s="8"/>
      <c r="J31" s="2"/>
      <c r="K31" s="3"/>
    </row>
    <row r="32" spans="1:11" customFormat="1">
      <c r="A32">
        <v>28</v>
      </c>
      <c r="B32" t="s">
        <v>854</v>
      </c>
      <c r="C32" s="1">
        <v>28</v>
      </c>
      <c r="D32" s="1" t="str">
        <f t="shared" si="0"/>
        <v>strcpy(PresetName8,("Instant Room Cab - CCFF#19"));</v>
      </c>
      <c r="E32" s="1" t="s">
        <v>18</v>
      </c>
      <c r="F32" t="s">
        <v>27</v>
      </c>
      <c r="G32" t="s">
        <v>13</v>
      </c>
      <c r="H32" s="1" t="s">
        <v>13</v>
      </c>
      <c r="I32" s="8"/>
      <c r="J32" s="2" t="str">
        <f xml:space="preserve"> "case "&amp; K32&amp;": "</f>
        <v xml:space="preserve">case 20: </v>
      </c>
      <c r="K32" s="3">
        <f>K18+10</f>
        <v>20</v>
      </c>
    </row>
    <row r="33" spans="1:11" customFormat="1">
      <c r="A33">
        <v>29</v>
      </c>
      <c r="B33" t="s">
        <v>12</v>
      </c>
      <c r="C33" s="1">
        <v>29</v>
      </c>
      <c r="D33" s="1" t="str">
        <f t="shared" si="0"/>
        <v>strcpy(PresetName9,("Lonestar rig"));</v>
      </c>
      <c r="E33" s="1" t="s">
        <v>18</v>
      </c>
      <c r="F33" t="s">
        <v>28</v>
      </c>
      <c r="G33" t="s">
        <v>13</v>
      </c>
      <c r="H33" s="1" t="s">
        <v>13</v>
      </c>
      <c r="I33" s="8"/>
      <c r="J33" s="2" t="str">
        <f t="shared" ref="J33:J42" si="5">VLOOKUP(K33,C:D,2,FALSE)</f>
        <v>strcpy(PresetName0,("Evailution 1"));</v>
      </c>
      <c r="K33" s="3">
        <f>K32</f>
        <v>20</v>
      </c>
    </row>
    <row r="34" spans="1:11" customFormat="1">
      <c r="A34">
        <v>30</v>
      </c>
      <c r="B34" t="s">
        <v>614</v>
      </c>
      <c r="C34" s="1">
        <v>30</v>
      </c>
      <c r="D34" s="1" t="str">
        <f t="shared" si="0"/>
        <v>strcpy(PresetName0,("TM Lukather"));</v>
      </c>
      <c r="E34" s="1" t="s">
        <v>18</v>
      </c>
      <c r="F34" t="s">
        <v>19</v>
      </c>
      <c r="G34" t="s">
        <v>13</v>
      </c>
      <c r="H34" s="1" t="s">
        <v>13</v>
      </c>
      <c r="I34" s="8"/>
      <c r="J34" s="2" t="str">
        <f t="shared" si="5"/>
        <v>strcpy(PresetName1,("Evailution 2"));</v>
      </c>
      <c r="K34" s="3">
        <f>K33+1</f>
        <v>21</v>
      </c>
    </row>
    <row r="35" spans="1:11" customFormat="1">
      <c r="A35">
        <v>31</v>
      </c>
      <c r="B35" t="s">
        <v>11</v>
      </c>
      <c r="C35" s="1">
        <v>31</v>
      </c>
      <c r="D35" s="1" t="str">
        <f t="shared" si="0"/>
        <v>strcpy(PresetName1,("Farfegnugen"));</v>
      </c>
      <c r="E35" s="1" t="s">
        <v>18</v>
      </c>
      <c r="F35" t="s">
        <v>20</v>
      </c>
      <c r="G35" t="s">
        <v>13</v>
      </c>
      <c r="H35" s="1" t="s">
        <v>13</v>
      </c>
      <c r="I35" s="8"/>
      <c r="J35" s="2" t="str">
        <f t="shared" si="5"/>
        <v>strcpy(PresetName2,("Legator Ninja (Fishman Modern)"));</v>
      </c>
      <c r="K35" s="3">
        <f t="shared" ref="K35:K42" si="6">K34+1</f>
        <v>22</v>
      </c>
    </row>
    <row r="36" spans="1:11" customFormat="1">
      <c r="A36">
        <v>32</v>
      </c>
      <c r="B36" t="s">
        <v>10</v>
      </c>
      <c r="C36" s="1">
        <v>32</v>
      </c>
      <c r="D36" s="1" t="str">
        <f t="shared" si="0"/>
        <v>strcpy(PresetName2,("Zakk's Marshall #34"));</v>
      </c>
      <c r="E36" s="1" t="s">
        <v>18</v>
      </c>
      <c r="F36" t="s">
        <v>21</v>
      </c>
      <c r="G36" t="s">
        <v>13</v>
      </c>
      <c r="H36" s="1" t="s">
        <v>13</v>
      </c>
      <c r="I36" s="8"/>
      <c r="J36" s="2" t="str">
        <f t="shared" si="5"/>
        <v>strcpy(PresetName3,("Legator Ninja (Fishman Modern)"));</v>
      </c>
      <c r="K36" s="3">
        <f t="shared" si="6"/>
        <v>23</v>
      </c>
    </row>
    <row r="37" spans="1:11" customFormat="1">
      <c r="A37">
        <v>33</v>
      </c>
      <c r="B37" t="s">
        <v>9</v>
      </c>
      <c r="C37" s="1">
        <v>33</v>
      </c>
      <c r="D37" s="1" t="str">
        <f t="shared" si="0"/>
        <v>strcpy(PresetName3,("Two Amps"));</v>
      </c>
      <c r="E37" s="1" t="s">
        <v>18</v>
      </c>
      <c r="F37" t="s">
        <v>22</v>
      </c>
      <c r="G37" t="s">
        <v>13</v>
      </c>
      <c r="H37" s="1" t="s">
        <v>13</v>
      </c>
      <c r="I37" s="8"/>
      <c r="J37" s="2" t="str">
        <f t="shared" si="5"/>
        <v>strcpy(PresetName4,("Sacrament"));</v>
      </c>
      <c r="K37" s="3">
        <f t="shared" si="6"/>
        <v>24</v>
      </c>
    </row>
    <row r="38" spans="1:11" customFormat="1">
      <c r="A38">
        <v>34</v>
      </c>
      <c r="B38" t="s">
        <v>844</v>
      </c>
      <c r="C38" s="1">
        <v>34</v>
      </c>
      <c r="D38" s="1" t="str">
        <f t="shared" si="0"/>
        <v>strcpy(PresetName4,("LAMB OF GOD"));</v>
      </c>
      <c r="E38" s="1" t="s">
        <v>18</v>
      </c>
      <c r="F38" t="s">
        <v>23</v>
      </c>
      <c r="G38" t="s">
        <v>13</v>
      </c>
      <c r="H38" s="1" t="s">
        <v>13</v>
      </c>
      <c r="I38" s="8"/>
      <c r="J38" s="2" t="str">
        <f t="shared" si="5"/>
        <v>strcpy(PresetName5,("LAMB OF GOD"));</v>
      </c>
      <c r="K38" s="3">
        <f t="shared" si="6"/>
        <v>25</v>
      </c>
    </row>
    <row r="39" spans="1:11" customFormat="1">
      <c r="A39">
        <v>35</v>
      </c>
      <c r="B39" t="s">
        <v>796</v>
      </c>
      <c r="C39" s="1">
        <v>35</v>
      </c>
      <c r="D39" s="1" t="str">
        <f t="shared" si="0"/>
        <v>strcpy(PresetName5,("DiG"));</v>
      </c>
      <c r="E39" s="1" t="s">
        <v>18</v>
      </c>
      <c r="F39" t="s">
        <v>24</v>
      </c>
      <c r="G39" t="s">
        <v>13</v>
      </c>
      <c r="H39" s="1" t="s">
        <v>13</v>
      </c>
      <c r="I39" s="8"/>
      <c r="J39" s="2" t="str">
        <f t="shared" si="5"/>
        <v>strcpy(PresetName6,("LAMB OF GOD"));</v>
      </c>
      <c r="K39" s="3">
        <f t="shared" si="6"/>
        <v>26</v>
      </c>
    </row>
    <row r="40" spans="1:11" customFormat="1">
      <c r="A40">
        <v>36</v>
      </c>
      <c r="B40" t="s">
        <v>613</v>
      </c>
      <c r="C40" s="1">
        <v>36</v>
      </c>
      <c r="D40" s="1" t="str">
        <f t="shared" si="0"/>
        <v>strcpy(PresetName6,("LT MK IV Cygnus"));</v>
      </c>
      <c r="E40" s="1" t="s">
        <v>18</v>
      </c>
      <c r="F40" t="s">
        <v>25</v>
      </c>
      <c r="G40" t="s">
        <v>13</v>
      </c>
      <c r="H40" s="1" t="s">
        <v>13</v>
      </c>
      <c r="I40" s="8"/>
      <c r="J40" s="2" t="str">
        <f t="shared" si="5"/>
        <v>strcpy(PresetName7,("LAMB OF GOD"));</v>
      </c>
      <c r="K40" s="3">
        <f t="shared" si="6"/>
        <v>27</v>
      </c>
    </row>
    <row r="41" spans="1:11" customFormat="1">
      <c r="A41">
        <v>37</v>
      </c>
      <c r="B41" t="s">
        <v>612</v>
      </c>
      <c r="C41" s="1">
        <v>37</v>
      </c>
      <c r="D41" s="1" t="str">
        <f t="shared" si="0"/>
        <v>strcpy(PresetName7,("LT Rack Delays (Filth)"));</v>
      </c>
      <c r="E41" s="1" t="s">
        <v>18</v>
      </c>
      <c r="F41" t="s">
        <v>26</v>
      </c>
      <c r="G41" t="s">
        <v>13</v>
      </c>
      <c r="H41" s="1" t="s">
        <v>13</v>
      </c>
      <c r="I41" s="8"/>
      <c r="J41" s="2" t="str">
        <f t="shared" si="5"/>
        <v>strcpy(PresetName8,("Instant Room Cab - CCFF#19"));</v>
      </c>
      <c r="K41" s="3">
        <f t="shared" si="6"/>
        <v>28</v>
      </c>
    </row>
    <row r="42" spans="1:11" customFormat="1">
      <c r="A42">
        <v>38</v>
      </c>
      <c r="B42" t="s">
        <v>611</v>
      </c>
      <c r="C42" s="1">
        <v>38</v>
      </c>
      <c r="D42" s="1" t="str">
        <f t="shared" si="0"/>
        <v>strcpy(PresetName8,("LT Rack Delays (Clean)"));</v>
      </c>
      <c r="E42" s="1" t="s">
        <v>18</v>
      </c>
      <c r="F42" t="s">
        <v>27</v>
      </c>
      <c r="G42" t="s">
        <v>13</v>
      </c>
      <c r="H42" s="1" t="s">
        <v>13</v>
      </c>
      <c r="I42" s="8"/>
      <c r="J42" s="2" t="str">
        <f t="shared" si="5"/>
        <v>strcpy(PresetName9,("Lonestar rig"));</v>
      </c>
      <c r="K42" s="3">
        <f t="shared" si="6"/>
        <v>29</v>
      </c>
    </row>
    <row r="43" spans="1:11" customFormat="1">
      <c r="A43">
        <v>39</v>
      </c>
      <c r="B43" t="s">
        <v>797</v>
      </c>
      <c r="C43" s="1">
        <v>39</v>
      </c>
      <c r="D43" s="1" t="str">
        <f t="shared" si="0"/>
        <v>strcpy(PresetName9,("F.A.R.K"));</v>
      </c>
      <c r="E43" s="1" t="s">
        <v>18</v>
      </c>
      <c r="F43" t="s">
        <v>28</v>
      </c>
      <c r="G43" t="s">
        <v>13</v>
      </c>
      <c r="H43" s="1" t="s">
        <v>13</v>
      </c>
      <c r="I43" s="8"/>
      <c r="J43" s="2"/>
      <c r="K43" s="3"/>
    </row>
    <row r="44" spans="1:11" customFormat="1">
      <c r="A44">
        <v>40</v>
      </c>
      <c r="B44" t="s">
        <v>610</v>
      </c>
      <c r="C44" s="1">
        <v>40</v>
      </c>
      <c r="D44" s="1" t="str">
        <f t="shared" si="0"/>
        <v>strcpy(PresetName0,("LT Crunch"));</v>
      </c>
      <c r="E44" s="1" t="s">
        <v>18</v>
      </c>
      <c r="F44" t="s">
        <v>19</v>
      </c>
      <c r="G44" t="s">
        <v>13</v>
      </c>
      <c r="H44" s="1" t="s">
        <v>13</v>
      </c>
      <c r="I44" s="8"/>
      <c r="J44" s="2" t="s">
        <v>29</v>
      </c>
      <c r="K44" s="3"/>
    </row>
    <row r="45" spans="1:11" customFormat="1">
      <c r="A45">
        <v>41</v>
      </c>
      <c r="B45" t="s">
        <v>609</v>
      </c>
      <c r="C45" s="1">
        <v>41</v>
      </c>
      <c r="D45" s="1" t="str">
        <f t="shared" si="0"/>
        <v>strcpy(PresetName1,("LT Chunk"));</v>
      </c>
      <c r="E45" s="1" t="s">
        <v>18</v>
      </c>
      <c r="F45" t="s">
        <v>20</v>
      </c>
      <c r="G45" t="s">
        <v>13</v>
      </c>
      <c r="H45" s="1" t="s">
        <v>13</v>
      </c>
      <c r="I45" s="8"/>
      <c r="J45" s="2"/>
      <c r="K45" s="3"/>
    </row>
    <row r="46" spans="1:11" customFormat="1">
      <c r="A46">
        <v>42</v>
      </c>
      <c r="B46" t="s">
        <v>608</v>
      </c>
      <c r="C46" s="1">
        <v>42</v>
      </c>
      <c r="D46" s="1" t="str">
        <f t="shared" si="0"/>
        <v>strcpy(PresetName2,("MCU"));</v>
      </c>
      <c r="E46" s="1" t="s">
        <v>18</v>
      </c>
      <c r="F46" t="s">
        <v>21</v>
      </c>
      <c r="G46" t="s">
        <v>13</v>
      </c>
      <c r="H46" s="1" t="s">
        <v>13</v>
      </c>
      <c r="I46" s="8"/>
      <c r="J46" s="2" t="str">
        <f xml:space="preserve"> "case "&amp; K46&amp;": "</f>
        <v xml:space="preserve">case 30: </v>
      </c>
      <c r="K46" s="3">
        <f>K32+10</f>
        <v>30</v>
      </c>
    </row>
    <row r="47" spans="1:11" customFormat="1">
      <c r="A47">
        <v>43</v>
      </c>
      <c r="B47" t="s">
        <v>798</v>
      </c>
      <c r="C47" s="1">
        <v>43</v>
      </c>
      <c r="D47" s="1" t="str">
        <f t="shared" si="0"/>
        <v>strcpy(PresetName3,("Rockbone! (mas bueno)"));</v>
      </c>
      <c r="E47" s="1" t="s">
        <v>18</v>
      </c>
      <c r="F47" t="s">
        <v>22</v>
      </c>
      <c r="G47" t="s">
        <v>13</v>
      </c>
      <c r="H47" s="1" t="s">
        <v>13</v>
      </c>
      <c r="I47" s="8"/>
      <c r="J47" s="2" t="str">
        <f t="shared" ref="J47:J56" si="7">VLOOKUP(K47,C:D,2,FALSE)</f>
        <v>strcpy(PresetName0,("TM Lukather"));</v>
      </c>
      <c r="K47" s="3">
        <f>K46</f>
        <v>30</v>
      </c>
    </row>
    <row r="48" spans="1:11" customFormat="1">
      <c r="A48">
        <v>44</v>
      </c>
      <c r="B48" t="s">
        <v>799</v>
      </c>
      <c r="C48" s="1">
        <v>44</v>
      </c>
      <c r="D48" s="1" t="str">
        <f t="shared" si="0"/>
        <v>strcpy(PresetName4,("Skull Crusher"));</v>
      </c>
      <c r="E48" s="1" t="s">
        <v>18</v>
      </c>
      <c r="F48" t="s">
        <v>23</v>
      </c>
      <c r="G48" t="s">
        <v>13</v>
      </c>
      <c r="H48" s="1" t="s">
        <v>13</v>
      </c>
      <c r="I48" s="8"/>
      <c r="J48" s="2" t="str">
        <f t="shared" si="7"/>
        <v>strcpy(PresetName1,("Farfegnugen"));</v>
      </c>
      <c r="K48" s="3">
        <f>K47+1</f>
        <v>31</v>
      </c>
    </row>
    <row r="49" spans="1:11" customFormat="1">
      <c r="A49">
        <v>45</v>
      </c>
      <c r="B49" t="s">
        <v>800</v>
      </c>
      <c r="C49" s="1">
        <v>45</v>
      </c>
      <c r="D49" s="1" t="str">
        <f t="shared" si="0"/>
        <v>strcpy(PresetName5,("Powerball ENGL AX3 -c"));</v>
      </c>
      <c r="E49" s="1" t="s">
        <v>18</v>
      </c>
      <c r="F49" t="s">
        <v>24</v>
      </c>
      <c r="G49" t="s">
        <v>13</v>
      </c>
      <c r="H49" s="1" t="s">
        <v>13</v>
      </c>
      <c r="I49" s="8"/>
      <c r="J49" s="2" t="str">
        <f t="shared" si="7"/>
        <v>strcpy(PresetName2,("Zakk's Marshall #34"));</v>
      </c>
      <c r="K49" s="3">
        <f t="shared" ref="K49:K56" si="8">K48+1</f>
        <v>32</v>
      </c>
    </row>
    <row r="50" spans="1:11" customFormat="1">
      <c r="A50">
        <v>46</v>
      </c>
      <c r="B50" t="s">
        <v>855</v>
      </c>
      <c r="C50" s="1">
        <v>46</v>
      </c>
      <c r="D50" s="1" t="str">
        <f t="shared" si="0"/>
        <v>strcpy(PresetName6,("NKP Dream Theater"));</v>
      </c>
      <c r="E50" s="1" t="s">
        <v>18</v>
      </c>
      <c r="F50" t="s">
        <v>25</v>
      </c>
      <c r="G50" t="s">
        <v>13</v>
      </c>
      <c r="H50" s="1" t="s">
        <v>13</v>
      </c>
      <c r="I50" s="8"/>
      <c r="J50" s="2" t="str">
        <f t="shared" si="7"/>
        <v>strcpy(PresetName3,("Two Amps"));</v>
      </c>
      <c r="K50" s="3">
        <f t="shared" si="8"/>
        <v>33</v>
      </c>
    </row>
    <row r="51" spans="1:11" customFormat="1">
      <c r="A51">
        <v>47</v>
      </c>
      <c r="B51" t="s">
        <v>856</v>
      </c>
      <c r="C51" s="1">
        <v>47</v>
      </c>
      <c r="D51" s="1" t="str">
        <f t="shared" si="0"/>
        <v>strcpy(PresetName7,("NKP metallica"));</v>
      </c>
      <c r="E51" s="1" t="s">
        <v>18</v>
      </c>
      <c r="F51" t="s">
        <v>26</v>
      </c>
      <c r="G51" t="s">
        <v>13</v>
      </c>
      <c r="H51" s="1" t="s">
        <v>13</v>
      </c>
      <c r="I51" s="8"/>
      <c r="J51" s="2" t="str">
        <f t="shared" si="7"/>
        <v>strcpy(PresetName4,("LAMB OF GOD"));</v>
      </c>
      <c r="K51" s="3">
        <f t="shared" si="8"/>
        <v>34</v>
      </c>
    </row>
    <row r="52" spans="1:11" customFormat="1">
      <c r="A52">
        <v>48</v>
      </c>
      <c r="B52" t="s">
        <v>857</v>
      </c>
      <c r="C52" s="1">
        <v>48</v>
      </c>
      <c r="D52" s="1" t="str">
        <f t="shared" si="0"/>
        <v>strcpy(PresetName8,("NKP malmsteen"));</v>
      </c>
      <c r="E52" s="1" t="s">
        <v>18</v>
      </c>
      <c r="F52" t="s">
        <v>27</v>
      </c>
      <c r="G52" t="s">
        <v>13</v>
      </c>
      <c r="H52" s="1" t="s">
        <v>13</v>
      </c>
      <c r="I52" s="8"/>
      <c r="J52" s="2" t="str">
        <f t="shared" si="7"/>
        <v>strcpy(PresetName5,("DiG"));</v>
      </c>
      <c r="K52" s="3">
        <f t="shared" si="8"/>
        <v>35</v>
      </c>
    </row>
    <row r="53" spans="1:11" customFormat="1">
      <c r="A53">
        <v>49</v>
      </c>
      <c r="B53" t="s">
        <v>858</v>
      </c>
      <c r="C53" s="1">
        <v>49</v>
      </c>
      <c r="D53" s="1" t="str">
        <f t="shared" si="0"/>
        <v>strcpy(PresetName9,("NKP muse (plug in baby)"));</v>
      </c>
      <c r="E53" s="1" t="s">
        <v>18</v>
      </c>
      <c r="F53" t="s">
        <v>28</v>
      </c>
      <c r="G53" t="s">
        <v>13</v>
      </c>
      <c r="H53" s="1" t="s">
        <v>13</v>
      </c>
      <c r="I53" s="8"/>
      <c r="J53" s="2" t="str">
        <f t="shared" si="7"/>
        <v>strcpy(PresetName6,("LT MK IV Cygnus"));</v>
      </c>
      <c r="K53" s="3">
        <f t="shared" si="8"/>
        <v>36</v>
      </c>
    </row>
    <row r="54" spans="1:11" customFormat="1">
      <c r="A54">
        <v>50</v>
      </c>
      <c r="B54" t="s">
        <v>859</v>
      </c>
      <c r="C54" s="1">
        <v>50</v>
      </c>
      <c r="D54" s="1" t="str">
        <f t="shared" si="0"/>
        <v>strcpy(PresetName0,("NKP meshuggah"));</v>
      </c>
      <c r="E54" s="1" t="s">
        <v>18</v>
      </c>
      <c r="F54" t="s">
        <v>19</v>
      </c>
      <c r="G54" t="s">
        <v>13</v>
      </c>
      <c r="H54" s="1" t="s">
        <v>13</v>
      </c>
      <c r="I54" s="8"/>
      <c r="J54" s="2" t="str">
        <f t="shared" si="7"/>
        <v>strcpy(PresetName7,("LT Rack Delays (Filth)"));</v>
      </c>
      <c r="K54" s="3">
        <f t="shared" si="8"/>
        <v>37</v>
      </c>
    </row>
    <row r="55" spans="1:11" customFormat="1">
      <c r="A55">
        <v>51</v>
      </c>
      <c r="B55" t="s">
        <v>860</v>
      </c>
      <c r="C55" s="1">
        <v>51</v>
      </c>
      <c r="D55" s="1" t="str">
        <f t="shared" si="0"/>
        <v>strcpy(PresetName1,("NKP hendrix"));</v>
      </c>
      <c r="E55" s="1" t="s">
        <v>18</v>
      </c>
      <c r="F55" t="s">
        <v>20</v>
      </c>
      <c r="G55" t="s">
        <v>13</v>
      </c>
      <c r="H55" s="1" t="s">
        <v>13</v>
      </c>
      <c r="I55" s="8"/>
      <c r="J55" s="2" t="str">
        <f t="shared" si="7"/>
        <v>strcpy(PresetName8,("LT Rack Delays (Clean)"));</v>
      </c>
      <c r="K55" s="3">
        <f t="shared" si="8"/>
        <v>38</v>
      </c>
    </row>
    <row r="56" spans="1:11" customFormat="1">
      <c r="A56">
        <v>52</v>
      </c>
      <c r="B56" t="s">
        <v>861</v>
      </c>
      <c r="C56" s="1">
        <v>52</v>
      </c>
      <c r="D56" s="1" t="str">
        <f t="shared" si="0"/>
        <v>strcpy(PresetName2,("NKP nirvana"));</v>
      </c>
      <c r="E56" s="1" t="s">
        <v>18</v>
      </c>
      <c r="F56" t="s">
        <v>21</v>
      </c>
      <c r="G56" t="s">
        <v>13</v>
      </c>
      <c r="H56" s="1" t="s">
        <v>13</v>
      </c>
      <c r="I56" s="8"/>
      <c r="J56" s="2" t="str">
        <f t="shared" si="7"/>
        <v>strcpy(PresetName9,("F.A.R.K"));</v>
      </c>
      <c r="K56" s="3">
        <f t="shared" si="8"/>
        <v>39</v>
      </c>
    </row>
    <row r="57" spans="1:11" customFormat="1">
      <c r="A57">
        <v>53</v>
      </c>
      <c r="B57" t="s">
        <v>862</v>
      </c>
      <c r="C57" s="1">
        <v>53</v>
      </c>
      <c r="D57" s="1" t="str">
        <f t="shared" si="0"/>
        <v>strcpy(PresetName3,("NKP guns N roses"));</v>
      </c>
      <c r="E57" s="1" t="s">
        <v>18</v>
      </c>
      <c r="F57" t="s">
        <v>22</v>
      </c>
      <c r="G57" t="s">
        <v>13</v>
      </c>
      <c r="H57" s="1" t="s">
        <v>13</v>
      </c>
      <c r="I57" s="8"/>
      <c r="J57" s="2"/>
      <c r="K57" s="3"/>
    </row>
    <row r="58" spans="1:11" customFormat="1">
      <c r="A58">
        <v>54</v>
      </c>
      <c r="B58" t="s">
        <v>863</v>
      </c>
      <c r="C58" s="1">
        <v>54</v>
      </c>
      <c r="D58" s="1" t="str">
        <f t="shared" si="0"/>
        <v>strcpy(PresetName4,("NKP Slayer"));</v>
      </c>
      <c r="E58" s="1" t="s">
        <v>18</v>
      </c>
      <c r="F58" t="s">
        <v>23</v>
      </c>
      <c r="G58" t="s">
        <v>13</v>
      </c>
      <c r="H58" s="1" t="s">
        <v>13</v>
      </c>
      <c r="I58" s="8"/>
      <c r="J58" s="2" t="s">
        <v>29</v>
      </c>
      <c r="K58" s="3"/>
    </row>
    <row r="59" spans="1:11" customFormat="1">
      <c r="A59">
        <v>55</v>
      </c>
      <c r="B59" t="s">
        <v>864</v>
      </c>
      <c r="C59" s="1">
        <v>55</v>
      </c>
      <c r="D59" s="1" t="str">
        <f t="shared" si="0"/>
        <v>strcpy(PresetName5,("NKP AC DC"));</v>
      </c>
      <c r="E59" s="1" t="s">
        <v>18</v>
      </c>
      <c r="F59" t="s">
        <v>24</v>
      </c>
      <c r="G59" t="s">
        <v>13</v>
      </c>
      <c r="H59" s="1" t="s">
        <v>13</v>
      </c>
      <c r="I59" s="8"/>
      <c r="J59" s="2"/>
      <c r="K59" s="3"/>
    </row>
    <row r="60" spans="1:11" customFormat="1">
      <c r="A60">
        <v>56</v>
      </c>
      <c r="B60" t="s">
        <v>832</v>
      </c>
      <c r="C60" s="1">
        <v>56</v>
      </c>
      <c r="D60" s="1" t="str">
        <f t="shared" si="0"/>
        <v>strcpy(PresetName6,("DJENT La Tempesta"));</v>
      </c>
      <c r="E60" s="1" t="s">
        <v>18</v>
      </c>
      <c r="F60" t="s">
        <v>25</v>
      </c>
      <c r="G60" t="s">
        <v>13</v>
      </c>
      <c r="H60" s="1" t="s">
        <v>13</v>
      </c>
      <c r="I60" s="8"/>
      <c r="J60" s="2" t="str">
        <f xml:space="preserve"> "case "&amp; K60&amp;": "</f>
        <v xml:space="preserve">case 40: </v>
      </c>
      <c r="K60" s="3">
        <f>K46+10</f>
        <v>40</v>
      </c>
    </row>
    <row r="61" spans="1:11" customFormat="1">
      <c r="A61">
        <v>57</v>
      </c>
      <c r="B61" t="s">
        <v>850</v>
      </c>
      <c r="C61" s="1">
        <v>57</v>
      </c>
      <c r="D61" s="1" t="str">
        <f t="shared" si="0"/>
        <v>strcpy(PresetName7,("Bag Pipes drone"));</v>
      </c>
      <c r="E61" s="1" t="s">
        <v>18</v>
      </c>
      <c r="F61" t="s">
        <v>26</v>
      </c>
      <c r="G61" t="s">
        <v>13</v>
      </c>
      <c r="H61" s="1" t="s">
        <v>13</v>
      </c>
      <c r="I61" s="8"/>
      <c r="J61" s="2" t="str">
        <f t="shared" ref="J61:J70" si="9">VLOOKUP(K61,C:D,2,FALSE)</f>
        <v>strcpy(PresetName0,("LT Crunch"));</v>
      </c>
      <c r="K61" s="3">
        <f>K60</f>
        <v>40</v>
      </c>
    </row>
    <row r="62" spans="1:11" customFormat="1">
      <c r="A62">
        <v>58</v>
      </c>
      <c r="B62" t="s">
        <v>849</v>
      </c>
      <c r="C62" s="1">
        <v>58</v>
      </c>
      <c r="D62" s="1" t="str">
        <f t="shared" si="0"/>
        <v>strcpy(PresetName8,("&lt;EMPTY&gt;"));</v>
      </c>
      <c r="E62" s="1" t="s">
        <v>18</v>
      </c>
      <c r="F62" t="s">
        <v>27</v>
      </c>
      <c r="G62" t="s">
        <v>13</v>
      </c>
      <c r="H62" s="1" t="s">
        <v>13</v>
      </c>
      <c r="I62" s="8"/>
      <c r="J62" s="2" t="str">
        <f t="shared" si="9"/>
        <v>strcpy(PresetName1,("LT Chunk"));</v>
      </c>
      <c r="K62" s="3">
        <f>K61+1</f>
        <v>41</v>
      </c>
    </row>
    <row r="63" spans="1:11" customFormat="1">
      <c r="A63">
        <v>59</v>
      </c>
      <c r="B63" t="s">
        <v>849</v>
      </c>
      <c r="C63" s="1">
        <v>59</v>
      </c>
      <c r="D63" s="1" t="str">
        <f t="shared" si="0"/>
        <v>strcpy(PresetName9,("&lt;EMPTY&gt;"));</v>
      </c>
      <c r="E63" s="1" t="s">
        <v>18</v>
      </c>
      <c r="F63" t="s">
        <v>28</v>
      </c>
      <c r="G63" t="s">
        <v>13</v>
      </c>
      <c r="H63" s="1" t="s">
        <v>13</v>
      </c>
      <c r="I63" s="8"/>
      <c r="J63" s="2" t="str">
        <f t="shared" si="9"/>
        <v>strcpy(PresetName2,("MCU"));</v>
      </c>
      <c r="K63" s="3">
        <f t="shared" ref="K63:K70" si="10">K62+1</f>
        <v>42</v>
      </c>
    </row>
    <row r="64" spans="1:11" customFormat="1">
      <c r="A64">
        <v>60</v>
      </c>
      <c r="B64" t="s">
        <v>849</v>
      </c>
      <c r="C64" s="1">
        <v>60</v>
      </c>
      <c r="D64" s="1" t="str">
        <f t="shared" si="0"/>
        <v>strcpy(PresetName0,("&lt;EMPTY&gt;"));</v>
      </c>
      <c r="E64" s="1" t="s">
        <v>18</v>
      </c>
      <c r="F64" t="s">
        <v>19</v>
      </c>
      <c r="G64" t="s">
        <v>13</v>
      </c>
      <c r="H64" s="1" t="s">
        <v>13</v>
      </c>
      <c r="I64" s="8"/>
      <c r="J64" s="2" t="str">
        <f t="shared" si="9"/>
        <v>strcpy(PresetName3,("Rockbone! (mas bueno)"));</v>
      </c>
      <c r="K64" s="3">
        <f t="shared" si="10"/>
        <v>43</v>
      </c>
    </row>
    <row r="65" spans="1:11" customFormat="1">
      <c r="A65">
        <v>61</v>
      </c>
      <c r="B65" t="s">
        <v>849</v>
      </c>
      <c r="C65" s="1">
        <v>61</v>
      </c>
      <c r="D65" s="1" t="str">
        <f t="shared" si="0"/>
        <v>strcpy(PresetName1,("&lt;EMPTY&gt;"));</v>
      </c>
      <c r="E65" s="1" t="s">
        <v>18</v>
      </c>
      <c r="F65" t="s">
        <v>20</v>
      </c>
      <c r="G65" t="s">
        <v>13</v>
      </c>
      <c r="H65" s="1" t="s">
        <v>13</v>
      </c>
      <c r="I65" s="8"/>
      <c r="J65" s="2" t="str">
        <f t="shared" si="9"/>
        <v>strcpy(PresetName4,("Skull Crusher"));</v>
      </c>
      <c r="K65" s="3">
        <f t="shared" si="10"/>
        <v>44</v>
      </c>
    </row>
    <row r="66" spans="1:11" customFormat="1">
      <c r="A66">
        <v>62</v>
      </c>
      <c r="B66" t="s">
        <v>849</v>
      </c>
      <c r="C66" s="1">
        <v>62</v>
      </c>
      <c r="D66" s="1" t="str">
        <f t="shared" si="0"/>
        <v>strcpy(PresetName2,("&lt;EMPTY&gt;"));</v>
      </c>
      <c r="E66" s="1" t="s">
        <v>18</v>
      </c>
      <c r="F66" t="s">
        <v>21</v>
      </c>
      <c r="G66" t="s">
        <v>13</v>
      </c>
      <c r="H66" s="1" t="s">
        <v>13</v>
      </c>
      <c r="I66" s="8"/>
      <c r="J66" s="2" t="str">
        <f t="shared" si="9"/>
        <v>strcpy(PresetName5,("Powerball ENGL AX3 -c"));</v>
      </c>
      <c r="K66" s="3">
        <f t="shared" si="10"/>
        <v>45</v>
      </c>
    </row>
    <row r="67" spans="1:11" customFormat="1">
      <c r="A67">
        <v>63</v>
      </c>
      <c r="B67" t="s">
        <v>849</v>
      </c>
      <c r="C67" s="1">
        <v>63</v>
      </c>
      <c r="D67" s="1" t="str">
        <f t="shared" si="0"/>
        <v>strcpy(PresetName3,("&lt;EMPTY&gt;"));</v>
      </c>
      <c r="E67" s="1" t="s">
        <v>18</v>
      </c>
      <c r="F67" t="s">
        <v>22</v>
      </c>
      <c r="G67" t="s">
        <v>13</v>
      </c>
      <c r="H67" s="1" t="s">
        <v>13</v>
      </c>
      <c r="I67" s="8"/>
      <c r="J67" s="2" t="str">
        <f t="shared" si="9"/>
        <v>strcpy(PresetName6,("NKP Dream Theater"));</v>
      </c>
      <c r="K67" s="3">
        <f t="shared" si="10"/>
        <v>46</v>
      </c>
    </row>
    <row r="68" spans="1:11" customFormat="1">
      <c r="A68">
        <v>64</v>
      </c>
      <c r="B68" t="s">
        <v>849</v>
      </c>
      <c r="C68" s="1">
        <v>64</v>
      </c>
      <c r="D68" s="1" t="str">
        <f t="shared" ref="D68:D131" si="11">E68&amp;F68&amp;","&amp;"("&amp;G68&amp;B68&amp;H68&amp;"))"&amp;";"</f>
        <v>strcpy(PresetName4,("&lt;EMPTY&gt;"));</v>
      </c>
      <c r="E68" s="1" t="s">
        <v>18</v>
      </c>
      <c r="F68" t="s">
        <v>23</v>
      </c>
      <c r="G68" t="s">
        <v>13</v>
      </c>
      <c r="H68" s="1" t="s">
        <v>13</v>
      </c>
      <c r="I68" s="8"/>
      <c r="J68" s="2" t="str">
        <f t="shared" si="9"/>
        <v>strcpy(PresetName7,("NKP metallica"));</v>
      </c>
      <c r="K68" s="3">
        <f t="shared" si="10"/>
        <v>47</v>
      </c>
    </row>
    <row r="69" spans="1:11" customFormat="1">
      <c r="A69">
        <v>65</v>
      </c>
      <c r="B69" t="s">
        <v>849</v>
      </c>
      <c r="C69" s="1">
        <v>65</v>
      </c>
      <c r="D69" s="1" t="str">
        <f t="shared" si="11"/>
        <v>strcpy(PresetName5,("&lt;EMPTY&gt;"));</v>
      </c>
      <c r="E69" s="1" t="s">
        <v>18</v>
      </c>
      <c r="F69" t="s">
        <v>24</v>
      </c>
      <c r="G69" t="s">
        <v>13</v>
      </c>
      <c r="H69" s="1" t="s">
        <v>13</v>
      </c>
      <c r="I69" s="8"/>
      <c r="J69" s="2" t="str">
        <f t="shared" si="9"/>
        <v>strcpy(PresetName8,("NKP malmsteen"));</v>
      </c>
      <c r="K69" s="3">
        <f t="shared" si="10"/>
        <v>48</v>
      </c>
    </row>
    <row r="70" spans="1:11" customFormat="1">
      <c r="A70">
        <v>66</v>
      </c>
      <c r="B70" t="s">
        <v>849</v>
      </c>
      <c r="C70" s="1">
        <v>66</v>
      </c>
      <c r="D70" s="1" t="str">
        <f t="shared" si="11"/>
        <v>strcpy(PresetName6,("&lt;EMPTY&gt;"));</v>
      </c>
      <c r="E70" s="1" t="s">
        <v>18</v>
      </c>
      <c r="F70" t="s">
        <v>25</v>
      </c>
      <c r="G70" t="s">
        <v>13</v>
      </c>
      <c r="H70" s="1" t="s">
        <v>13</v>
      </c>
      <c r="I70" s="8"/>
      <c r="J70" s="2" t="str">
        <f t="shared" si="9"/>
        <v>strcpy(PresetName9,("NKP muse (plug in baby)"));</v>
      </c>
      <c r="K70" s="3">
        <f t="shared" si="10"/>
        <v>49</v>
      </c>
    </row>
    <row r="71" spans="1:11" customFormat="1">
      <c r="A71">
        <v>67</v>
      </c>
      <c r="B71" t="s">
        <v>849</v>
      </c>
      <c r="C71" s="1">
        <v>67</v>
      </c>
      <c r="D71" s="1" t="str">
        <f t="shared" si="11"/>
        <v>strcpy(PresetName7,("&lt;EMPTY&gt;"));</v>
      </c>
      <c r="E71" s="1" t="s">
        <v>18</v>
      </c>
      <c r="F71" t="s">
        <v>26</v>
      </c>
      <c r="G71" t="s">
        <v>13</v>
      </c>
      <c r="H71" s="1" t="s">
        <v>13</v>
      </c>
      <c r="I71" s="8"/>
      <c r="J71" s="2"/>
      <c r="K71" s="3"/>
    </row>
    <row r="72" spans="1:11" customFormat="1">
      <c r="A72">
        <v>68</v>
      </c>
      <c r="B72" t="s">
        <v>849</v>
      </c>
      <c r="C72" s="1">
        <v>68</v>
      </c>
      <c r="D72" s="1" t="str">
        <f t="shared" si="11"/>
        <v>strcpy(PresetName8,("&lt;EMPTY&gt;"));</v>
      </c>
      <c r="E72" s="1" t="s">
        <v>18</v>
      </c>
      <c r="F72" t="s">
        <v>27</v>
      </c>
      <c r="G72" t="s">
        <v>13</v>
      </c>
      <c r="H72" s="1" t="s">
        <v>13</v>
      </c>
      <c r="I72" s="8"/>
      <c r="J72" s="2" t="s">
        <v>29</v>
      </c>
      <c r="K72" s="3"/>
    </row>
    <row r="73" spans="1:11" customFormat="1">
      <c r="A73">
        <v>69</v>
      </c>
      <c r="B73" t="s">
        <v>849</v>
      </c>
      <c r="C73" s="1">
        <v>69</v>
      </c>
      <c r="D73" s="1" t="str">
        <f t="shared" si="11"/>
        <v>strcpy(PresetName9,("&lt;EMPTY&gt;"));</v>
      </c>
      <c r="E73" s="1" t="s">
        <v>18</v>
      </c>
      <c r="F73" t="s">
        <v>28</v>
      </c>
      <c r="G73" t="s">
        <v>13</v>
      </c>
      <c r="H73" s="1" t="s">
        <v>13</v>
      </c>
      <c r="I73" s="8"/>
      <c r="J73" s="2"/>
      <c r="K73" s="3"/>
    </row>
    <row r="74" spans="1:11" customFormat="1">
      <c r="A74">
        <v>70</v>
      </c>
      <c r="B74" t="s">
        <v>849</v>
      </c>
      <c r="C74" s="1">
        <v>70</v>
      </c>
      <c r="D74" s="1" t="str">
        <f t="shared" si="11"/>
        <v>strcpy(PresetName0,("&lt;EMPTY&gt;"));</v>
      </c>
      <c r="E74" s="1" t="s">
        <v>18</v>
      </c>
      <c r="F74" t="s">
        <v>19</v>
      </c>
      <c r="G74" t="s">
        <v>13</v>
      </c>
      <c r="H74" s="1" t="s">
        <v>13</v>
      </c>
      <c r="I74" s="8"/>
      <c r="J74" s="2" t="str">
        <f xml:space="preserve"> "case "&amp; K74&amp;": "</f>
        <v xml:space="preserve">case 50: </v>
      </c>
      <c r="K74" s="3">
        <f>K60+10</f>
        <v>50</v>
      </c>
    </row>
    <row r="75" spans="1:11" customFormat="1">
      <c r="A75">
        <v>71</v>
      </c>
      <c r="B75" t="s">
        <v>849</v>
      </c>
      <c r="C75" s="1">
        <v>71</v>
      </c>
      <c r="D75" s="1" t="str">
        <f t="shared" si="11"/>
        <v>strcpy(PresetName1,("&lt;EMPTY&gt;"));</v>
      </c>
      <c r="E75" s="1" t="s">
        <v>18</v>
      </c>
      <c r="F75" t="s">
        <v>20</v>
      </c>
      <c r="G75" t="s">
        <v>13</v>
      </c>
      <c r="H75" s="1" t="s">
        <v>13</v>
      </c>
      <c r="I75" s="8"/>
      <c r="J75" s="2" t="str">
        <f t="shared" ref="J75:J84" si="12">VLOOKUP(K75,C:D,2,FALSE)</f>
        <v>strcpy(PresetName0,("NKP meshuggah"));</v>
      </c>
      <c r="K75" s="3">
        <f>K74</f>
        <v>50</v>
      </c>
    </row>
    <row r="76" spans="1:11" customFormat="1">
      <c r="A76">
        <v>72</v>
      </c>
      <c r="B76" t="s">
        <v>849</v>
      </c>
      <c r="C76" s="1">
        <v>72</v>
      </c>
      <c r="D76" s="1" t="str">
        <f t="shared" si="11"/>
        <v>strcpy(PresetName2,("&lt;EMPTY&gt;"));</v>
      </c>
      <c r="E76" s="1" t="s">
        <v>18</v>
      </c>
      <c r="F76" t="s">
        <v>21</v>
      </c>
      <c r="G76" t="s">
        <v>13</v>
      </c>
      <c r="H76" s="1" t="s">
        <v>13</v>
      </c>
      <c r="I76" s="8"/>
      <c r="J76" s="2" t="str">
        <f t="shared" si="12"/>
        <v>strcpy(PresetName1,("NKP hendrix"));</v>
      </c>
      <c r="K76" s="3">
        <f>K75+1</f>
        <v>51</v>
      </c>
    </row>
    <row r="77" spans="1:11" customFormat="1">
      <c r="A77">
        <v>73</v>
      </c>
      <c r="B77" t="s">
        <v>849</v>
      </c>
      <c r="C77" s="1">
        <v>73</v>
      </c>
      <c r="D77" s="1" t="str">
        <f t="shared" si="11"/>
        <v>strcpy(PresetName3,("&lt;EMPTY&gt;"));</v>
      </c>
      <c r="E77" s="1" t="s">
        <v>18</v>
      </c>
      <c r="F77" t="s">
        <v>22</v>
      </c>
      <c r="G77" t="s">
        <v>13</v>
      </c>
      <c r="H77" s="1" t="s">
        <v>13</v>
      </c>
      <c r="I77" s="8"/>
      <c r="J77" s="2" t="str">
        <f t="shared" si="12"/>
        <v>strcpy(PresetName2,("NKP nirvana"));</v>
      </c>
      <c r="K77" s="3">
        <f t="shared" ref="K77:K84" si="13">K76+1</f>
        <v>52</v>
      </c>
    </row>
    <row r="78" spans="1:11" customFormat="1">
      <c r="A78">
        <v>74</v>
      </c>
      <c r="B78" t="s">
        <v>849</v>
      </c>
      <c r="C78" s="1">
        <v>74</v>
      </c>
      <c r="D78" s="1" t="str">
        <f t="shared" si="11"/>
        <v>strcpy(PresetName4,("&lt;EMPTY&gt;"));</v>
      </c>
      <c r="E78" s="1" t="s">
        <v>18</v>
      </c>
      <c r="F78" t="s">
        <v>23</v>
      </c>
      <c r="G78" t="s">
        <v>13</v>
      </c>
      <c r="H78" s="1" t="s">
        <v>13</v>
      </c>
      <c r="I78" s="8"/>
      <c r="J78" s="2" t="str">
        <f t="shared" si="12"/>
        <v>strcpy(PresetName3,("NKP guns N roses"));</v>
      </c>
      <c r="K78" s="3">
        <f t="shared" si="13"/>
        <v>53</v>
      </c>
    </row>
    <row r="79" spans="1:11" customFormat="1">
      <c r="A79">
        <v>75</v>
      </c>
      <c r="B79" t="s">
        <v>849</v>
      </c>
      <c r="C79" s="1">
        <v>75</v>
      </c>
      <c r="D79" s="1" t="str">
        <f t="shared" si="11"/>
        <v>strcpy(PresetName5,("&lt;EMPTY&gt;"));</v>
      </c>
      <c r="E79" s="1" t="s">
        <v>18</v>
      </c>
      <c r="F79" t="s">
        <v>24</v>
      </c>
      <c r="G79" t="s">
        <v>13</v>
      </c>
      <c r="H79" s="1" t="s">
        <v>13</v>
      </c>
      <c r="I79" s="8"/>
      <c r="J79" s="2" t="str">
        <f t="shared" si="12"/>
        <v>strcpy(PresetName4,("NKP Slayer"));</v>
      </c>
      <c r="K79" s="3">
        <f t="shared" si="13"/>
        <v>54</v>
      </c>
    </row>
    <row r="80" spans="1:11" customFormat="1">
      <c r="A80">
        <v>76</v>
      </c>
      <c r="B80" t="s">
        <v>849</v>
      </c>
      <c r="C80" s="1">
        <v>76</v>
      </c>
      <c r="D80" s="1" t="str">
        <f t="shared" si="11"/>
        <v>strcpy(PresetName6,("&lt;EMPTY&gt;"));</v>
      </c>
      <c r="E80" s="1" t="s">
        <v>18</v>
      </c>
      <c r="F80" t="s">
        <v>25</v>
      </c>
      <c r="G80" t="s">
        <v>13</v>
      </c>
      <c r="H80" s="1" t="s">
        <v>13</v>
      </c>
      <c r="I80" s="8"/>
      <c r="J80" s="2" t="str">
        <f t="shared" si="12"/>
        <v>strcpy(PresetName5,("NKP AC DC"));</v>
      </c>
      <c r="K80" s="3">
        <f t="shared" si="13"/>
        <v>55</v>
      </c>
    </row>
    <row r="81" spans="1:11" customFormat="1">
      <c r="A81">
        <v>77</v>
      </c>
      <c r="B81" t="s">
        <v>849</v>
      </c>
      <c r="C81" s="1">
        <v>77</v>
      </c>
      <c r="D81" s="1" t="str">
        <f t="shared" si="11"/>
        <v>strcpy(PresetName7,("&lt;EMPTY&gt;"));</v>
      </c>
      <c r="E81" s="1" t="s">
        <v>18</v>
      </c>
      <c r="F81" t="s">
        <v>26</v>
      </c>
      <c r="G81" t="s">
        <v>13</v>
      </c>
      <c r="H81" s="1" t="s">
        <v>13</v>
      </c>
      <c r="I81" s="8"/>
      <c r="J81" s="2" t="str">
        <f t="shared" si="12"/>
        <v>strcpy(PresetName6,("DJENT La Tempesta"));</v>
      </c>
      <c r="K81" s="3">
        <f t="shared" si="13"/>
        <v>56</v>
      </c>
    </row>
    <row r="82" spans="1:11" customFormat="1">
      <c r="A82">
        <v>78</v>
      </c>
      <c r="B82" t="s">
        <v>849</v>
      </c>
      <c r="C82" s="1">
        <v>78</v>
      </c>
      <c r="D82" s="1" t="str">
        <f t="shared" si="11"/>
        <v>strcpy(PresetName8,("&lt;EMPTY&gt;"));</v>
      </c>
      <c r="E82" s="1" t="s">
        <v>18</v>
      </c>
      <c r="F82" t="s">
        <v>27</v>
      </c>
      <c r="G82" t="s">
        <v>13</v>
      </c>
      <c r="H82" s="1" t="s">
        <v>13</v>
      </c>
      <c r="I82" s="8"/>
      <c r="J82" s="2" t="str">
        <f t="shared" si="12"/>
        <v>strcpy(PresetName7,("Bag Pipes drone"));</v>
      </c>
      <c r="K82" s="3">
        <f t="shared" si="13"/>
        <v>57</v>
      </c>
    </row>
    <row r="83" spans="1:11" customFormat="1">
      <c r="A83">
        <v>79</v>
      </c>
      <c r="B83" t="s">
        <v>849</v>
      </c>
      <c r="C83" s="1">
        <v>79</v>
      </c>
      <c r="D83" s="1" t="str">
        <f t="shared" si="11"/>
        <v>strcpy(PresetName9,("&lt;EMPTY&gt;"));</v>
      </c>
      <c r="E83" s="1" t="s">
        <v>18</v>
      </c>
      <c r="F83" t="s">
        <v>28</v>
      </c>
      <c r="G83" t="s">
        <v>13</v>
      </c>
      <c r="H83" s="1" t="s">
        <v>13</v>
      </c>
      <c r="I83" s="8"/>
      <c r="J83" s="2" t="str">
        <f t="shared" si="12"/>
        <v>strcpy(PresetName8,("&lt;EMPTY&gt;"));</v>
      </c>
      <c r="K83" s="3">
        <f t="shared" si="13"/>
        <v>58</v>
      </c>
    </row>
    <row r="84" spans="1:11" customFormat="1">
      <c r="A84">
        <v>80</v>
      </c>
      <c r="B84" t="s">
        <v>849</v>
      </c>
      <c r="C84" s="1">
        <v>80</v>
      </c>
      <c r="D84" s="1" t="str">
        <f t="shared" si="11"/>
        <v>strcpy(PresetName0,("&lt;EMPTY&gt;"));</v>
      </c>
      <c r="E84" s="1" t="s">
        <v>18</v>
      </c>
      <c r="F84" t="s">
        <v>19</v>
      </c>
      <c r="G84" t="s">
        <v>13</v>
      </c>
      <c r="H84" s="1" t="s">
        <v>13</v>
      </c>
      <c r="I84" s="8"/>
      <c r="J84" s="2" t="str">
        <f t="shared" si="12"/>
        <v>strcpy(PresetName9,("&lt;EMPTY&gt;"));</v>
      </c>
      <c r="K84" s="3">
        <f t="shared" si="13"/>
        <v>59</v>
      </c>
    </row>
    <row r="85" spans="1:11" customFormat="1">
      <c r="A85">
        <v>81</v>
      </c>
      <c r="B85" t="s">
        <v>849</v>
      </c>
      <c r="C85" s="1">
        <v>81</v>
      </c>
      <c r="D85" s="1" t="str">
        <f t="shared" si="11"/>
        <v>strcpy(PresetName1,("&lt;EMPTY&gt;"));</v>
      </c>
      <c r="E85" s="1" t="s">
        <v>18</v>
      </c>
      <c r="F85" t="s">
        <v>20</v>
      </c>
      <c r="G85" t="s">
        <v>13</v>
      </c>
      <c r="H85" s="1" t="s">
        <v>13</v>
      </c>
      <c r="I85" s="8"/>
      <c r="J85" s="2"/>
      <c r="K85" s="3"/>
    </row>
    <row r="86" spans="1:11" customFormat="1">
      <c r="A86">
        <v>82</v>
      </c>
      <c r="B86" t="s">
        <v>849</v>
      </c>
      <c r="C86" s="1">
        <v>82</v>
      </c>
      <c r="D86" s="1" t="str">
        <f t="shared" si="11"/>
        <v>strcpy(PresetName2,("&lt;EMPTY&gt;"));</v>
      </c>
      <c r="E86" s="1" t="s">
        <v>18</v>
      </c>
      <c r="F86" t="s">
        <v>21</v>
      </c>
      <c r="G86" t="s">
        <v>13</v>
      </c>
      <c r="H86" s="1" t="s">
        <v>13</v>
      </c>
      <c r="I86" s="8"/>
      <c r="J86" s="2" t="s">
        <v>29</v>
      </c>
      <c r="K86" s="3"/>
    </row>
    <row r="87" spans="1:11" customFormat="1">
      <c r="A87">
        <v>83</v>
      </c>
      <c r="B87" t="s">
        <v>849</v>
      </c>
      <c r="C87" s="1">
        <v>83</v>
      </c>
      <c r="D87" s="1" t="str">
        <f t="shared" si="11"/>
        <v>strcpy(PresetName3,("&lt;EMPTY&gt;"));</v>
      </c>
      <c r="E87" s="1" t="s">
        <v>18</v>
      </c>
      <c r="F87" t="s">
        <v>22</v>
      </c>
      <c r="G87" t="s">
        <v>13</v>
      </c>
      <c r="H87" s="1" t="s">
        <v>13</v>
      </c>
      <c r="I87" s="8"/>
      <c r="J87" s="2"/>
      <c r="K87" s="3"/>
    </row>
    <row r="88" spans="1:11" customFormat="1">
      <c r="A88">
        <v>84</v>
      </c>
      <c r="B88" t="s">
        <v>849</v>
      </c>
      <c r="C88" s="1">
        <v>84</v>
      </c>
      <c r="D88" s="1" t="str">
        <f t="shared" si="11"/>
        <v>strcpy(PresetName4,("&lt;EMPTY&gt;"));</v>
      </c>
      <c r="E88" s="1" t="s">
        <v>18</v>
      </c>
      <c r="F88" t="s">
        <v>23</v>
      </c>
      <c r="G88" t="s">
        <v>13</v>
      </c>
      <c r="H88" s="1" t="s">
        <v>13</v>
      </c>
      <c r="I88" s="8"/>
      <c r="J88" s="2" t="str">
        <f xml:space="preserve"> "case "&amp; K88&amp;": "</f>
        <v xml:space="preserve">case 60: </v>
      </c>
      <c r="K88" s="3">
        <f>K74+10</f>
        <v>60</v>
      </c>
    </row>
    <row r="89" spans="1:11" customFormat="1">
      <c r="A89">
        <v>85</v>
      </c>
      <c r="B89" t="s">
        <v>849</v>
      </c>
      <c r="C89" s="1">
        <v>85</v>
      </c>
      <c r="D89" s="1" t="str">
        <f t="shared" si="11"/>
        <v>strcpy(PresetName5,("&lt;EMPTY&gt;"));</v>
      </c>
      <c r="E89" s="1" t="s">
        <v>18</v>
      </c>
      <c r="F89" t="s">
        <v>24</v>
      </c>
      <c r="G89" t="s">
        <v>13</v>
      </c>
      <c r="H89" s="1" t="s">
        <v>13</v>
      </c>
      <c r="I89" s="8"/>
      <c r="J89" s="2" t="str">
        <f t="shared" ref="J89:J98" si="14">VLOOKUP(K89,C:D,2,FALSE)</f>
        <v>strcpy(PresetName0,("&lt;EMPTY&gt;"));</v>
      </c>
      <c r="K89" s="3">
        <f>K88</f>
        <v>60</v>
      </c>
    </row>
    <row r="90" spans="1:11" customFormat="1">
      <c r="A90">
        <v>86</v>
      </c>
      <c r="B90" t="s">
        <v>849</v>
      </c>
      <c r="C90" s="1">
        <v>86</v>
      </c>
      <c r="D90" s="1" t="str">
        <f t="shared" si="11"/>
        <v>strcpy(PresetName6,("&lt;EMPTY&gt;"));</v>
      </c>
      <c r="E90" s="1" t="s">
        <v>18</v>
      </c>
      <c r="F90" t="s">
        <v>25</v>
      </c>
      <c r="G90" t="s">
        <v>13</v>
      </c>
      <c r="H90" s="1" t="s">
        <v>13</v>
      </c>
      <c r="I90" s="8"/>
      <c r="J90" s="2" t="str">
        <f t="shared" si="14"/>
        <v>strcpy(PresetName1,("&lt;EMPTY&gt;"));</v>
      </c>
      <c r="K90" s="3">
        <f>K89+1</f>
        <v>61</v>
      </c>
    </row>
    <row r="91" spans="1:11" customFormat="1">
      <c r="A91">
        <v>87</v>
      </c>
      <c r="B91" t="s">
        <v>849</v>
      </c>
      <c r="C91" s="1">
        <v>87</v>
      </c>
      <c r="D91" s="1" t="str">
        <f t="shared" si="11"/>
        <v>strcpy(PresetName7,("&lt;EMPTY&gt;"));</v>
      </c>
      <c r="E91" s="1" t="s">
        <v>18</v>
      </c>
      <c r="F91" t="s">
        <v>26</v>
      </c>
      <c r="G91" t="s">
        <v>13</v>
      </c>
      <c r="H91" s="1" t="s">
        <v>13</v>
      </c>
      <c r="I91" s="8"/>
      <c r="J91" s="2" t="str">
        <f t="shared" si="14"/>
        <v>strcpy(PresetName2,("&lt;EMPTY&gt;"));</v>
      </c>
      <c r="K91" s="3">
        <f t="shared" ref="K91:K98" si="15">K90+1</f>
        <v>62</v>
      </c>
    </row>
    <row r="92" spans="1:11" customFormat="1">
      <c r="A92">
        <v>88</v>
      </c>
      <c r="B92" t="s">
        <v>849</v>
      </c>
      <c r="C92" s="1">
        <v>88</v>
      </c>
      <c r="D92" s="1" t="str">
        <f t="shared" si="11"/>
        <v>strcpy(PresetName8,("&lt;EMPTY&gt;"));</v>
      </c>
      <c r="E92" s="1" t="s">
        <v>18</v>
      </c>
      <c r="F92" t="s">
        <v>27</v>
      </c>
      <c r="G92" t="s">
        <v>13</v>
      </c>
      <c r="H92" s="1" t="s">
        <v>13</v>
      </c>
      <c r="I92" s="8"/>
      <c r="J92" s="2" t="str">
        <f t="shared" si="14"/>
        <v>strcpy(PresetName3,("&lt;EMPTY&gt;"));</v>
      </c>
      <c r="K92" s="3">
        <f t="shared" si="15"/>
        <v>63</v>
      </c>
    </row>
    <row r="93" spans="1:11" customFormat="1">
      <c r="A93">
        <v>89</v>
      </c>
      <c r="B93" t="s">
        <v>849</v>
      </c>
      <c r="C93" s="1">
        <v>89</v>
      </c>
      <c r="D93" s="1" t="str">
        <f t="shared" si="11"/>
        <v>strcpy(PresetName9,("&lt;EMPTY&gt;"));</v>
      </c>
      <c r="E93" s="1" t="s">
        <v>18</v>
      </c>
      <c r="F93" t="s">
        <v>28</v>
      </c>
      <c r="G93" t="s">
        <v>13</v>
      </c>
      <c r="H93" s="1" t="s">
        <v>13</v>
      </c>
      <c r="I93" s="8"/>
      <c r="J93" s="2" t="str">
        <f t="shared" si="14"/>
        <v>strcpy(PresetName4,("&lt;EMPTY&gt;"));</v>
      </c>
      <c r="K93" s="3">
        <f t="shared" si="15"/>
        <v>64</v>
      </c>
    </row>
    <row r="94" spans="1:11" customFormat="1">
      <c r="A94">
        <v>90</v>
      </c>
      <c r="B94" t="s">
        <v>849</v>
      </c>
      <c r="C94" s="1">
        <v>90</v>
      </c>
      <c r="D94" s="1" t="str">
        <f t="shared" si="11"/>
        <v>strcpy(PresetName0,("&lt;EMPTY&gt;"));</v>
      </c>
      <c r="E94" s="1" t="s">
        <v>18</v>
      </c>
      <c r="F94" t="s">
        <v>19</v>
      </c>
      <c r="G94" t="s">
        <v>13</v>
      </c>
      <c r="H94" s="1" t="s">
        <v>13</v>
      </c>
      <c r="I94" s="8"/>
      <c r="J94" s="2" t="str">
        <f t="shared" si="14"/>
        <v>strcpy(PresetName5,("&lt;EMPTY&gt;"));</v>
      </c>
      <c r="K94" s="3">
        <f t="shared" si="15"/>
        <v>65</v>
      </c>
    </row>
    <row r="95" spans="1:11" customFormat="1">
      <c r="A95">
        <v>91</v>
      </c>
      <c r="B95" t="s">
        <v>849</v>
      </c>
      <c r="C95" s="1">
        <v>91</v>
      </c>
      <c r="D95" s="1" t="str">
        <f t="shared" si="11"/>
        <v>strcpy(PresetName1,("&lt;EMPTY&gt;"));</v>
      </c>
      <c r="E95" s="1" t="s">
        <v>18</v>
      </c>
      <c r="F95" t="s">
        <v>20</v>
      </c>
      <c r="G95" t="s">
        <v>13</v>
      </c>
      <c r="H95" s="1" t="s">
        <v>13</v>
      </c>
      <c r="I95" s="8"/>
      <c r="J95" s="2" t="str">
        <f t="shared" si="14"/>
        <v>strcpy(PresetName6,("&lt;EMPTY&gt;"));</v>
      </c>
      <c r="K95" s="3">
        <f t="shared" si="15"/>
        <v>66</v>
      </c>
    </row>
    <row r="96" spans="1:11" customFormat="1">
      <c r="A96">
        <v>92</v>
      </c>
      <c r="B96" t="s">
        <v>849</v>
      </c>
      <c r="C96" s="1">
        <v>92</v>
      </c>
      <c r="D96" s="1" t="str">
        <f t="shared" si="11"/>
        <v>strcpy(PresetName2,("&lt;EMPTY&gt;"));</v>
      </c>
      <c r="E96" s="1" t="s">
        <v>18</v>
      </c>
      <c r="F96" t="s">
        <v>21</v>
      </c>
      <c r="G96" t="s">
        <v>13</v>
      </c>
      <c r="H96" s="1" t="s">
        <v>13</v>
      </c>
      <c r="I96" s="8"/>
      <c r="J96" s="2" t="str">
        <f t="shared" si="14"/>
        <v>strcpy(PresetName7,("&lt;EMPTY&gt;"));</v>
      </c>
      <c r="K96" s="3">
        <f t="shared" si="15"/>
        <v>67</v>
      </c>
    </row>
    <row r="97" spans="1:11" customFormat="1">
      <c r="A97">
        <v>93</v>
      </c>
      <c r="B97" t="s">
        <v>849</v>
      </c>
      <c r="C97" s="1">
        <v>93</v>
      </c>
      <c r="D97" s="1" t="str">
        <f t="shared" si="11"/>
        <v>strcpy(PresetName3,("&lt;EMPTY&gt;"));</v>
      </c>
      <c r="E97" s="1" t="s">
        <v>18</v>
      </c>
      <c r="F97" t="s">
        <v>22</v>
      </c>
      <c r="G97" t="s">
        <v>13</v>
      </c>
      <c r="H97" s="1" t="s">
        <v>13</v>
      </c>
      <c r="I97" s="8"/>
      <c r="J97" s="2" t="str">
        <f t="shared" si="14"/>
        <v>strcpy(PresetName8,("&lt;EMPTY&gt;"));</v>
      </c>
      <c r="K97" s="3">
        <f t="shared" si="15"/>
        <v>68</v>
      </c>
    </row>
    <row r="98" spans="1:11" customFormat="1">
      <c r="A98">
        <v>94</v>
      </c>
      <c r="B98" t="s">
        <v>849</v>
      </c>
      <c r="C98" s="1">
        <v>94</v>
      </c>
      <c r="D98" s="1" t="str">
        <f t="shared" si="11"/>
        <v>strcpy(PresetName4,("&lt;EMPTY&gt;"));</v>
      </c>
      <c r="E98" s="1" t="s">
        <v>18</v>
      </c>
      <c r="F98" t="s">
        <v>23</v>
      </c>
      <c r="G98" t="s">
        <v>13</v>
      </c>
      <c r="H98" s="1" t="s">
        <v>13</v>
      </c>
      <c r="I98" s="8"/>
      <c r="J98" s="2" t="str">
        <f t="shared" si="14"/>
        <v>strcpy(PresetName9,("&lt;EMPTY&gt;"));</v>
      </c>
      <c r="K98" s="3">
        <f t="shared" si="15"/>
        <v>69</v>
      </c>
    </row>
    <row r="99" spans="1:11" customFormat="1">
      <c r="A99">
        <v>95</v>
      </c>
      <c r="B99" t="s">
        <v>849</v>
      </c>
      <c r="C99" s="1">
        <v>95</v>
      </c>
      <c r="D99" s="1" t="str">
        <f t="shared" si="11"/>
        <v>strcpy(PresetName5,("&lt;EMPTY&gt;"));</v>
      </c>
      <c r="E99" s="1" t="s">
        <v>18</v>
      </c>
      <c r="F99" t="s">
        <v>24</v>
      </c>
      <c r="G99" t="s">
        <v>13</v>
      </c>
      <c r="H99" s="1" t="s">
        <v>13</v>
      </c>
      <c r="I99" s="8"/>
      <c r="J99" s="2"/>
      <c r="K99" s="3"/>
    </row>
    <row r="100" spans="1:11" customFormat="1">
      <c r="A100">
        <v>96</v>
      </c>
      <c r="B100" t="s">
        <v>849</v>
      </c>
      <c r="C100" s="1">
        <v>96</v>
      </c>
      <c r="D100" s="1" t="str">
        <f t="shared" si="11"/>
        <v>strcpy(PresetName6,("&lt;EMPTY&gt;"));</v>
      </c>
      <c r="E100" s="1" t="s">
        <v>18</v>
      </c>
      <c r="F100" t="s">
        <v>25</v>
      </c>
      <c r="G100" t="s">
        <v>13</v>
      </c>
      <c r="H100" s="1" t="s">
        <v>13</v>
      </c>
      <c r="I100" s="8"/>
      <c r="J100" s="2" t="s">
        <v>29</v>
      </c>
      <c r="K100" s="3"/>
    </row>
    <row r="101" spans="1:11" customFormat="1">
      <c r="A101">
        <v>97</v>
      </c>
      <c r="B101" t="s">
        <v>849</v>
      </c>
      <c r="C101" s="1">
        <v>97</v>
      </c>
      <c r="D101" s="1" t="str">
        <f t="shared" si="11"/>
        <v>strcpy(PresetName7,("&lt;EMPTY&gt;"));</v>
      </c>
      <c r="E101" s="1" t="s">
        <v>18</v>
      </c>
      <c r="F101" t="s">
        <v>26</v>
      </c>
      <c r="G101" t="s">
        <v>13</v>
      </c>
      <c r="H101" s="1" t="s">
        <v>13</v>
      </c>
      <c r="I101" s="8"/>
      <c r="J101" s="2"/>
      <c r="K101" s="3"/>
    </row>
    <row r="102" spans="1:11" customFormat="1">
      <c r="A102">
        <v>98</v>
      </c>
      <c r="B102" t="s">
        <v>849</v>
      </c>
      <c r="C102" s="1">
        <v>98</v>
      </c>
      <c r="D102" s="1" t="str">
        <f t="shared" si="11"/>
        <v>strcpy(PresetName8,("&lt;EMPTY&gt;"));</v>
      </c>
      <c r="E102" s="1" t="s">
        <v>18</v>
      </c>
      <c r="F102" t="s">
        <v>27</v>
      </c>
      <c r="G102" t="s">
        <v>13</v>
      </c>
      <c r="H102" s="1" t="s">
        <v>13</v>
      </c>
      <c r="I102" s="8"/>
      <c r="J102" s="2" t="str">
        <f xml:space="preserve"> "case "&amp; K102&amp;": "</f>
        <v xml:space="preserve">case 70: </v>
      </c>
      <c r="K102" s="3">
        <f>K88+10</f>
        <v>70</v>
      </c>
    </row>
    <row r="103" spans="1:11" customFormat="1">
      <c r="A103">
        <v>99</v>
      </c>
      <c r="B103" t="s">
        <v>849</v>
      </c>
      <c r="C103" s="1">
        <v>99</v>
      </c>
      <c r="D103" s="1" t="str">
        <f t="shared" si="11"/>
        <v>strcpy(PresetName9,("&lt;EMPTY&gt;"));</v>
      </c>
      <c r="E103" s="1" t="s">
        <v>18</v>
      </c>
      <c r="F103" t="s">
        <v>28</v>
      </c>
      <c r="G103" t="s">
        <v>13</v>
      </c>
      <c r="H103" s="1" t="s">
        <v>13</v>
      </c>
      <c r="I103" s="8"/>
      <c r="J103" s="2" t="str">
        <f t="shared" ref="J103:J112" si="16">VLOOKUP(K103,C:D,2,FALSE)</f>
        <v>strcpy(PresetName0,("&lt;EMPTY&gt;"));</v>
      </c>
      <c r="K103" s="3">
        <f>K102</f>
        <v>70</v>
      </c>
    </row>
    <row r="104" spans="1:11" customFormat="1">
      <c r="A104">
        <v>100</v>
      </c>
      <c r="B104" t="s">
        <v>801</v>
      </c>
      <c r="C104" s="1">
        <v>100</v>
      </c>
      <c r="D104" s="1" t="str">
        <f t="shared" si="11"/>
        <v>strcpy(PresetName0,("Rockin' Train"));</v>
      </c>
      <c r="E104" s="1" t="s">
        <v>18</v>
      </c>
      <c r="F104" t="s">
        <v>19</v>
      </c>
      <c r="G104" t="s">
        <v>13</v>
      </c>
      <c r="H104" s="1" t="s">
        <v>13</v>
      </c>
      <c r="I104" s="8"/>
      <c r="J104" s="2" t="str">
        <f t="shared" si="16"/>
        <v>strcpy(PresetName1,("&lt;EMPTY&gt;"));</v>
      </c>
      <c r="K104" s="3">
        <f>K103+1</f>
        <v>71</v>
      </c>
    </row>
    <row r="105" spans="1:11" customFormat="1">
      <c r="A105">
        <v>101</v>
      </c>
      <c r="B105" t="s">
        <v>865</v>
      </c>
      <c r="C105" s="1">
        <v>101</v>
      </c>
      <c r="D105" s="1" t="str">
        <f t="shared" si="11"/>
        <v>strcpy(PresetName1,("Dr Z's blues"));</v>
      </c>
      <c r="E105" s="1" t="s">
        <v>18</v>
      </c>
      <c r="F105" t="s">
        <v>20</v>
      </c>
      <c r="G105" t="s">
        <v>13</v>
      </c>
      <c r="H105" s="1" t="s">
        <v>13</v>
      </c>
      <c r="I105" s="8"/>
      <c r="J105" s="2" t="str">
        <f t="shared" si="16"/>
        <v>strcpy(PresetName2,("&lt;EMPTY&gt;"));</v>
      </c>
      <c r="K105" s="3">
        <f t="shared" ref="K105:K112" si="17">K104+1</f>
        <v>72</v>
      </c>
    </row>
    <row r="106" spans="1:11" customFormat="1">
      <c r="A106">
        <v>102</v>
      </c>
      <c r="B106" t="s">
        <v>866</v>
      </c>
      <c r="C106" s="1">
        <v>102</v>
      </c>
      <c r="D106" s="1" t="str">
        <f t="shared" si="11"/>
        <v>strcpy(PresetName2,("Carol-Ann OD2 lead 1"));</v>
      </c>
      <c r="E106" s="1" t="s">
        <v>18</v>
      </c>
      <c r="F106" t="s">
        <v>21</v>
      </c>
      <c r="G106" t="s">
        <v>13</v>
      </c>
      <c r="H106" s="1" t="s">
        <v>13</v>
      </c>
      <c r="I106" s="8"/>
      <c r="J106" s="2" t="str">
        <f t="shared" si="16"/>
        <v>strcpy(PresetName3,("&lt;EMPTY&gt;"));</v>
      </c>
      <c r="K106" s="3">
        <f t="shared" si="17"/>
        <v>73</v>
      </c>
    </row>
    <row r="107" spans="1:11" customFormat="1">
      <c r="A107">
        <v>103</v>
      </c>
      <c r="B107" t="s">
        <v>867</v>
      </c>
      <c r="C107" s="1">
        <v>103</v>
      </c>
      <c r="D107" s="1" t="str">
        <f t="shared" si="11"/>
        <v>strcpy(PresetName3,("Carol-Ann OD2 lead 2"));</v>
      </c>
      <c r="E107" s="1" t="s">
        <v>18</v>
      </c>
      <c r="F107" t="s">
        <v>22</v>
      </c>
      <c r="G107" t="s">
        <v>13</v>
      </c>
      <c r="H107" s="1" t="s">
        <v>13</v>
      </c>
      <c r="I107" s="8"/>
      <c r="J107" s="2" t="str">
        <f t="shared" si="16"/>
        <v>strcpy(PresetName4,("&lt;EMPTY&gt;"));</v>
      </c>
      <c r="K107" s="3">
        <f t="shared" si="17"/>
        <v>74</v>
      </c>
    </row>
    <row r="108" spans="1:11" customFormat="1">
      <c r="A108">
        <v>104</v>
      </c>
      <c r="B108" t="s">
        <v>868</v>
      </c>
      <c r="C108" s="1">
        <v>104</v>
      </c>
      <c r="D108" s="1" t="str">
        <f t="shared" si="11"/>
        <v>strcpy(PresetName4,("Carol-Ann OD2 lead 3"));</v>
      </c>
      <c r="E108" s="1" t="s">
        <v>18</v>
      </c>
      <c r="F108" t="s">
        <v>23</v>
      </c>
      <c r="G108" t="s">
        <v>13</v>
      </c>
      <c r="H108" s="1" t="s">
        <v>13</v>
      </c>
      <c r="I108" s="8"/>
      <c r="J108" s="2" t="str">
        <f t="shared" si="16"/>
        <v>strcpy(PresetName5,("&lt;EMPTY&gt;"));</v>
      </c>
      <c r="K108" s="3">
        <f t="shared" si="17"/>
        <v>75</v>
      </c>
    </row>
    <row r="109" spans="1:11" customFormat="1">
      <c r="A109">
        <v>105</v>
      </c>
      <c r="B109" t="s">
        <v>802</v>
      </c>
      <c r="C109" s="1">
        <v>105</v>
      </c>
      <c r="D109" s="1" t="str">
        <f t="shared" si="11"/>
        <v>strcpy(PresetName5,("Fat Buddah"));</v>
      </c>
      <c r="E109" s="1" t="s">
        <v>18</v>
      </c>
      <c r="F109" t="s">
        <v>24</v>
      </c>
      <c r="G109" t="s">
        <v>13</v>
      </c>
      <c r="H109" s="1" t="s">
        <v>13</v>
      </c>
      <c r="I109" s="8"/>
      <c r="J109" s="2" t="str">
        <f t="shared" si="16"/>
        <v>strcpy(PresetName6,("&lt;EMPTY&gt;"));</v>
      </c>
      <c r="K109" s="3">
        <f t="shared" si="17"/>
        <v>76</v>
      </c>
    </row>
    <row r="110" spans="1:11" customFormat="1">
      <c r="A110">
        <v>106</v>
      </c>
      <c r="B110" t="s">
        <v>803</v>
      </c>
      <c r="C110" s="1">
        <v>106</v>
      </c>
      <c r="D110" s="1" t="str">
        <f t="shared" si="11"/>
        <v>strcpy(PresetName6,("Bright Buddah"));</v>
      </c>
      <c r="E110" s="1" t="s">
        <v>18</v>
      </c>
      <c r="F110" t="s">
        <v>25</v>
      </c>
      <c r="G110" t="s">
        <v>13</v>
      </c>
      <c r="H110" s="1" t="s">
        <v>13</v>
      </c>
      <c r="I110" s="8"/>
      <c r="J110" s="2" t="str">
        <f t="shared" si="16"/>
        <v>strcpy(PresetName7,("&lt;EMPTY&gt;"));</v>
      </c>
      <c r="K110" s="3">
        <f t="shared" si="17"/>
        <v>77</v>
      </c>
    </row>
    <row r="111" spans="1:11" customFormat="1">
      <c r="A111">
        <v>107</v>
      </c>
      <c r="B111" t="s">
        <v>804</v>
      </c>
      <c r="C111" s="1">
        <v>107</v>
      </c>
      <c r="D111" s="1" t="str">
        <f t="shared" si="11"/>
        <v>strcpy(PresetName7,("Bludojai Lead 1"));</v>
      </c>
      <c r="E111" s="1" t="s">
        <v>18</v>
      </c>
      <c r="F111" t="s">
        <v>26</v>
      </c>
      <c r="G111" t="s">
        <v>13</v>
      </c>
      <c r="H111" s="1" t="s">
        <v>13</v>
      </c>
      <c r="I111" s="8"/>
      <c r="J111" s="2" t="str">
        <f t="shared" si="16"/>
        <v>strcpy(PresetName8,("&lt;EMPTY&gt;"));</v>
      </c>
      <c r="K111" s="3">
        <f t="shared" si="17"/>
        <v>78</v>
      </c>
    </row>
    <row r="112" spans="1:11" customFormat="1">
      <c r="A112">
        <v>108</v>
      </c>
      <c r="B112" t="s">
        <v>805</v>
      </c>
      <c r="C112" s="1">
        <v>108</v>
      </c>
      <c r="D112" s="1" t="str">
        <f t="shared" si="11"/>
        <v>strcpy(PresetName8,("Bludojai Lead 2"));</v>
      </c>
      <c r="E112" s="1" t="s">
        <v>18</v>
      </c>
      <c r="F112" t="s">
        <v>27</v>
      </c>
      <c r="G112" t="s">
        <v>13</v>
      </c>
      <c r="H112" s="1" t="s">
        <v>13</v>
      </c>
      <c r="I112" s="8"/>
      <c r="J112" s="2" t="str">
        <f t="shared" si="16"/>
        <v>strcpy(PresetName9,("&lt;EMPTY&gt;"));</v>
      </c>
      <c r="K112" s="3">
        <f t="shared" si="17"/>
        <v>79</v>
      </c>
    </row>
    <row r="113" spans="1:11" customFormat="1">
      <c r="A113">
        <v>109</v>
      </c>
      <c r="B113" t="s">
        <v>869</v>
      </c>
      <c r="C113" s="1">
        <v>109</v>
      </c>
      <c r="D113" s="1" t="str">
        <f t="shared" si="11"/>
        <v>strcpy(PresetName9,("Two Rock to rock"));</v>
      </c>
      <c r="E113" s="1" t="s">
        <v>18</v>
      </c>
      <c r="F113" t="s">
        <v>28</v>
      </c>
      <c r="G113" t="s">
        <v>13</v>
      </c>
      <c r="H113" s="1" t="s">
        <v>13</v>
      </c>
      <c r="I113" s="8"/>
      <c r="J113" s="2"/>
      <c r="K113" s="3"/>
    </row>
    <row r="114" spans="1:11" customFormat="1">
      <c r="A114">
        <v>110</v>
      </c>
      <c r="B114" t="s">
        <v>870</v>
      </c>
      <c r="C114" s="1">
        <v>110</v>
      </c>
      <c r="D114" s="1" t="str">
        <f t="shared" si="11"/>
        <v>strcpy(PresetName0,("Two Rock to rock II"));</v>
      </c>
      <c r="E114" s="1" t="s">
        <v>18</v>
      </c>
      <c r="F114" t="s">
        <v>19</v>
      </c>
      <c r="G114" t="s">
        <v>13</v>
      </c>
      <c r="H114" s="1" t="s">
        <v>13</v>
      </c>
      <c r="I114" s="8"/>
      <c r="J114" s="2" t="s">
        <v>29</v>
      </c>
      <c r="K114" s="3"/>
    </row>
    <row r="115" spans="1:11" customFormat="1">
      <c r="A115">
        <v>111</v>
      </c>
      <c r="B115" t="s">
        <v>806</v>
      </c>
      <c r="C115" s="1">
        <v>111</v>
      </c>
      <c r="D115" s="1" t="str">
        <f t="shared" si="11"/>
        <v>strcpy(PresetName1,("Zen Wreck"));</v>
      </c>
      <c r="E115" s="1" t="s">
        <v>18</v>
      </c>
      <c r="F115" t="s">
        <v>20</v>
      </c>
      <c r="G115" t="s">
        <v>13</v>
      </c>
      <c r="H115" s="1" t="s">
        <v>13</v>
      </c>
      <c r="I115" s="8"/>
      <c r="J115" s="2"/>
      <c r="K115" s="3"/>
    </row>
    <row r="116" spans="1:11" customFormat="1">
      <c r="A116">
        <v>112</v>
      </c>
      <c r="B116" t="s">
        <v>807</v>
      </c>
      <c r="C116" s="1">
        <v>112</v>
      </c>
      <c r="D116" s="1" t="str">
        <f t="shared" si="11"/>
        <v>strcpy(PresetName2,("FAS Wreck"));</v>
      </c>
      <c r="E116" s="1" t="s">
        <v>18</v>
      </c>
      <c r="F116" t="s">
        <v>21</v>
      </c>
      <c r="G116" t="s">
        <v>13</v>
      </c>
      <c r="H116" s="1" t="s">
        <v>13</v>
      </c>
      <c r="I116" s="8"/>
      <c r="J116" s="2" t="str">
        <f xml:space="preserve"> "case "&amp; K116&amp;": "</f>
        <v xml:space="preserve">case 80: </v>
      </c>
      <c r="K116" s="3">
        <f>K102+10</f>
        <v>80</v>
      </c>
    </row>
    <row r="117" spans="1:11" customFormat="1">
      <c r="A117">
        <v>113</v>
      </c>
      <c r="B117" t="s">
        <v>871</v>
      </c>
      <c r="C117" s="1">
        <v>113</v>
      </c>
      <c r="D117" s="1" t="str">
        <f t="shared" si="11"/>
        <v>strcpy(PresetName3,("What the Fuchs is goin'"));</v>
      </c>
      <c r="E117" s="1" t="s">
        <v>18</v>
      </c>
      <c r="F117" t="s">
        <v>22</v>
      </c>
      <c r="G117" t="s">
        <v>13</v>
      </c>
      <c r="H117" s="1" t="s">
        <v>13</v>
      </c>
      <c r="I117" s="8"/>
      <c r="J117" s="2" t="str">
        <f t="shared" ref="J117:J126" si="18">VLOOKUP(K117,C:D,2,FALSE)</f>
        <v>strcpy(PresetName0,("&lt;EMPTY&gt;"));</v>
      </c>
      <c r="K117" s="3">
        <f>K116</f>
        <v>80</v>
      </c>
    </row>
    <row r="118" spans="1:11" customFormat="1">
      <c r="A118">
        <v>114</v>
      </c>
      <c r="B118" t="s">
        <v>808</v>
      </c>
      <c r="C118" s="1">
        <v>114</v>
      </c>
      <c r="D118" s="1" t="str">
        <f t="shared" si="11"/>
        <v>strcpy(PresetName4,("ODS-100 Lead 1"));</v>
      </c>
      <c r="E118" s="1" t="s">
        <v>18</v>
      </c>
      <c r="F118" t="s">
        <v>23</v>
      </c>
      <c r="G118" t="s">
        <v>13</v>
      </c>
      <c r="H118" s="1" t="s">
        <v>13</v>
      </c>
      <c r="I118" s="8"/>
      <c r="J118" s="2" t="str">
        <f t="shared" si="18"/>
        <v>strcpy(PresetName1,("&lt;EMPTY&gt;"));</v>
      </c>
      <c r="K118" s="3">
        <f>K117+1</f>
        <v>81</v>
      </c>
    </row>
    <row r="119" spans="1:11" customFormat="1">
      <c r="A119">
        <v>115</v>
      </c>
      <c r="B119" t="s">
        <v>809</v>
      </c>
      <c r="C119" s="1">
        <v>115</v>
      </c>
      <c r="D119" s="1" t="str">
        <f t="shared" si="11"/>
        <v>strcpy(PresetName5,("ODS-100 Lead 2"));</v>
      </c>
      <c r="E119" s="1" t="s">
        <v>18</v>
      </c>
      <c r="F119" t="s">
        <v>24</v>
      </c>
      <c r="G119" t="s">
        <v>13</v>
      </c>
      <c r="H119" s="1" t="s">
        <v>13</v>
      </c>
      <c r="I119" s="8"/>
      <c r="J119" s="2" t="str">
        <f t="shared" si="18"/>
        <v>strcpy(PresetName2,("&lt;EMPTY&gt;"));</v>
      </c>
      <c r="K119" s="3">
        <f t="shared" ref="K119:K126" si="19">K118+1</f>
        <v>82</v>
      </c>
    </row>
    <row r="120" spans="1:11" customFormat="1">
      <c r="A120">
        <v>116</v>
      </c>
      <c r="B120" t="s">
        <v>810</v>
      </c>
      <c r="C120" s="1">
        <v>116</v>
      </c>
      <c r="D120" s="1" t="str">
        <f t="shared" si="11"/>
        <v>strcpy(PresetName6,("ODS-100 Lead 3"));</v>
      </c>
      <c r="E120" s="1" t="s">
        <v>18</v>
      </c>
      <c r="F120" t="s">
        <v>25</v>
      </c>
      <c r="G120" t="s">
        <v>13</v>
      </c>
      <c r="H120" s="1" t="s">
        <v>13</v>
      </c>
      <c r="I120" s="8"/>
      <c r="J120" s="2" t="str">
        <f t="shared" si="18"/>
        <v>strcpy(PresetName3,("&lt;EMPTY&gt;"));</v>
      </c>
      <c r="K120" s="3">
        <f t="shared" si="19"/>
        <v>83</v>
      </c>
    </row>
    <row r="121" spans="1:11" customFormat="1">
      <c r="A121">
        <v>117</v>
      </c>
      <c r="B121" t="s">
        <v>872</v>
      </c>
      <c r="C121" s="1">
        <v>117</v>
      </c>
      <c r="D121" s="1" t="str">
        <f t="shared" si="11"/>
        <v>strcpy(PresetName7,("ODS-100 Lead 4 Joe B"));</v>
      </c>
      <c r="E121" s="1" t="s">
        <v>18</v>
      </c>
      <c r="F121" t="s">
        <v>26</v>
      </c>
      <c r="G121" t="s">
        <v>13</v>
      </c>
      <c r="H121" s="1" t="s">
        <v>13</v>
      </c>
      <c r="I121" s="8"/>
      <c r="J121" s="2" t="str">
        <f t="shared" si="18"/>
        <v>strcpy(PresetName4,("&lt;EMPTY&gt;"));</v>
      </c>
      <c r="K121" s="3">
        <f t="shared" si="19"/>
        <v>84</v>
      </c>
    </row>
    <row r="122" spans="1:11" customFormat="1">
      <c r="A122">
        <v>118</v>
      </c>
      <c r="B122" t="s">
        <v>873</v>
      </c>
      <c r="C122" s="1">
        <v>118</v>
      </c>
      <c r="D122" s="1" t="str">
        <f t="shared" si="11"/>
        <v>strcpy(PresetName8,("ODS-100 HRM Mid lead"));</v>
      </c>
      <c r="E122" s="1" t="s">
        <v>18</v>
      </c>
      <c r="F122" t="s">
        <v>27</v>
      </c>
      <c r="G122" t="s">
        <v>13</v>
      </c>
      <c r="H122" s="1" t="s">
        <v>13</v>
      </c>
      <c r="I122" s="8"/>
      <c r="J122" s="2" t="str">
        <f t="shared" si="18"/>
        <v>strcpy(PresetName5,("&lt;EMPTY&gt;"));</v>
      </c>
      <c r="K122" s="3">
        <f t="shared" si="19"/>
        <v>85</v>
      </c>
    </row>
    <row r="123" spans="1:11" customFormat="1">
      <c r="A123">
        <v>119</v>
      </c>
      <c r="B123" t="s">
        <v>874</v>
      </c>
      <c r="C123" s="1">
        <v>119</v>
      </c>
      <c r="D123" s="1" t="str">
        <f t="shared" si="11"/>
        <v>strcpy(PresetName9,("ODS-100 Ford lead 1"));</v>
      </c>
      <c r="E123" s="1" t="s">
        <v>18</v>
      </c>
      <c r="F123" t="s">
        <v>28</v>
      </c>
      <c r="G123" t="s">
        <v>13</v>
      </c>
      <c r="H123" s="1" t="s">
        <v>13</v>
      </c>
      <c r="I123" s="8"/>
      <c r="J123" s="2" t="str">
        <f t="shared" si="18"/>
        <v>strcpy(PresetName6,("&lt;EMPTY&gt;"));</v>
      </c>
      <c r="K123" s="3">
        <f t="shared" si="19"/>
        <v>86</v>
      </c>
    </row>
    <row r="124" spans="1:11" customFormat="1">
      <c r="A124">
        <v>120</v>
      </c>
      <c r="B124" t="s">
        <v>875</v>
      </c>
      <c r="C124" s="1">
        <v>120</v>
      </c>
      <c r="D124" s="1" t="str">
        <f t="shared" si="11"/>
        <v>strcpy(PresetName0,("ODS-100 Ford lead 2"));</v>
      </c>
      <c r="E124" s="1" t="s">
        <v>18</v>
      </c>
      <c r="F124" t="s">
        <v>19</v>
      </c>
      <c r="G124" t="s">
        <v>13</v>
      </c>
      <c r="H124" s="1" t="s">
        <v>13</v>
      </c>
      <c r="I124" s="8"/>
      <c r="J124" s="2" t="str">
        <f t="shared" si="18"/>
        <v>strcpy(PresetName7,("&lt;EMPTY&gt;"));</v>
      </c>
      <c r="K124" s="3">
        <f t="shared" si="19"/>
        <v>87</v>
      </c>
    </row>
    <row r="125" spans="1:11" customFormat="1">
      <c r="A125">
        <v>121</v>
      </c>
      <c r="B125" t="s">
        <v>876</v>
      </c>
      <c r="C125" s="1">
        <v>121</v>
      </c>
      <c r="D125" s="1" t="str">
        <f t="shared" si="11"/>
        <v>strcpy(PresetName1,("ODS-100 Ford lead 3"));</v>
      </c>
      <c r="E125" s="1" t="s">
        <v>18</v>
      </c>
      <c r="F125" t="s">
        <v>20</v>
      </c>
      <c r="G125" t="s">
        <v>13</v>
      </c>
      <c r="H125" s="1" t="s">
        <v>13</v>
      </c>
      <c r="I125" s="8"/>
      <c r="J125" s="2" t="str">
        <f t="shared" si="18"/>
        <v>strcpy(PresetName8,("&lt;EMPTY&gt;"));</v>
      </c>
      <c r="K125" s="3">
        <f t="shared" si="19"/>
        <v>88</v>
      </c>
    </row>
    <row r="126" spans="1:11" customFormat="1">
      <c r="A126">
        <v>122</v>
      </c>
      <c r="B126" t="s">
        <v>811</v>
      </c>
      <c r="C126" s="1">
        <v>122</v>
      </c>
      <c r="D126" s="1" t="str">
        <f t="shared" si="11"/>
        <v>strcpy(PresetName2,("Dumble and Dumbler"));</v>
      </c>
      <c r="E126" s="1" t="s">
        <v>18</v>
      </c>
      <c r="F126" t="s">
        <v>21</v>
      </c>
      <c r="G126" t="s">
        <v>13</v>
      </c>
      <c r="H126" s="1" t="s">
        <v>13</v>
      </c>
      <c r="I126" s="8"/>
      <c r="J126" s="2" t="str">
        <f t="shared" si="18"/>
        <v>strcpy(PresetName9,("&lt;EMPTY&gt;"));</v>
      </c>
      <c r="K126" s="3">
        <f t="shared" si="19"/>
        <v>89</v>
      </c>
    </row>
    <row r="127" spans="1:11" customFormat="1">
      <c r="A127">
        <v>123</v>
      </c>
      <c r="B127" t="s">
        <v>812</v>
      </c>
      <c r="C127" s="1">
        <v>123</v>
      </c>
      <c r="D127" s="1" t="str">
        <f t="shared" si="11"/>
        <v>strcpy(PresetName3,("Fat ODS-100"));</v>
      </c>
      <c r="E127" s="1" t="s">
        <v>18</v>
      </c>
      <c r="F127" t="s">
        <v>22</v>
      </c>
      <c r="G127" t="s">
        <v>13</v>
      </c>
      <c r="H127" s="1" t="s">
        <v>13</v>
      </c>
      <c r="I127" s="8"/>
      <c r="J127" s="2"/>
      <c r="K127" s="3"/>
    </row>
    <row r="128" spans="1:11" customFormat="1">
      <c r="A128">
        <v>124</v>
      </c>
      <c r="B128" t="s">
        <v>813</v>
      </c>
      <c r="C128" s="1">
        <v>124</v>
      </c>
      <c r="D128" s="1" t="str">
        <f t="shared" si="11"/>
        <v>strcpy(PresetName4,("Fat lead"));</v>
      </c>
      <c r="E128" s="1" t="s">
        <v>18</v>
      </c>
      <c r="F128" t="s">
        <v>23</v>
      </c>
      <c r="G128" t="s">
        <v>13</v>
      </c>
      <c r="H128" s="1" t="s">
        <v>13</v>
      </c>
      <c r="I128" s="8"/>
      <c r="J128" s="2" t="s">
        <v>29</v>
      </c>
      <c r="K128" s="3"/>
    </row>
    <row r="129" spans="1:11" customFormat="1">
      <c r="A129">
        <v>125</v>
      </c>
      <c r="B129" t="s">
        <v>814</v>
      </c>
      <c r="C129" s="1">
        <v>125</v>
      </c>
      <c r="D129" s="1" t="str">
        <f t="shared" si="11"/>
        <v>strcpy(PresetName5,("Komet Concorde 1"));</v>
      </c>
      <c r="E129" s="1" t="s">
        <v>18</v>
      </c>
      <c r="F129" t="s">
        <v>24</v>
      </c>
      <c r="G129" t="s">
        <v>13</v>
      </c>
      <c r="H129" s="1" t="s">
        <v>13</v>
      </c>
      <c r="I129" s="8"/>
      <c r="J129" s="2"/>
      <c r="K129" s="3"/>
    </row>
    <row r="130" spans="1:11" customFormat="1">
      <c r="A130">
        <v>126</v>
      </c>
      <c r="B130" t="s">
        <v>815</v>
      </c>
      <c r="C130" s="1">
        <v>126</v>
      </c>
      <c r="D130" s="1" t="str">
        <f t="shared" si="11"/>
        <v>strcpy(PresetName6,("Komet Concorde 2"));</v>
      </c>
      <c r="E130" s="1" t="s">
        <v>18</v>
      </c>
      <c r="F130" t="s">
        <v>25</v>
      </c>
      <c r="G130" t="s">
        <v>13</v>
      </c>
      <c r="H130" s="1" t="s">
        <v>13</v>
      </c>
      <c r="I130" s="8"/>
      <c r="J130" s="2" t="str">
        <f xml:space="preserve"> "case "&amp; K130&amp;": "</f>
        <v xml:space="preserve">case 90: </v>
      </c>
      <c r="K130" s="3">
        <f>K116+10</f>
        <v>90</v>
      </c>
    </row>
    <row r="131" spans="1:11" customFormat="1">
      <c r="A131">
        <v>127</v>
      </c>
      <c r="B131" t="s">
        <v>816</v>
      </c>
      <c r="C131" s="1">
        <v>127</v>
      </c>
      <c r="D131" s="1" t="str">
        <f t="shared" si="11"/>
        <v>strcpy(PresetName7,("Komet Concorde 3"));</v>
      </c>
      <c r="E131" s="1" t="s">
        <v>18</v>
      </c>
      <c r="F131" t="s">
        <v>26</v>
      </c>
      <c r="G131" t="s">
        <v>13</v>
      </c>
      <c r="H131" s="1" t="s">
        <v>13</v>
      </c>
      <c r="I131" s="8"/>
      <c r="J131" s="2" t="str">
        <f t="shared" ref="J131:J140" si="20">VLOOKUP(K131,C:D,2,FALSE)</f>
        <v>strcpy(PresetName0,("&lt;EMPTY&gt;"));</v>
      </c>
      <c r="K131" s="3">
        <f>K130</f>
        <v>90</v>
      </c>
    </row>
    <row r="132" spans="1:11" customFormat="1">
      <c r="A132">
        <v>128</v>
      </c>
      <c r="B132" t="s">
        <v>817</v>
      </c>
      <c r="C132" s="1">
        <v>128</v>
      </c>
      <c r="D132" s="1" t="str">
        <f t="shared" ref="D132:D195" si="21">E132&amp;F132&amp;","&amp;"("&amp;G132&amp;B132&amp;H132&amp;"))"&amp;";"</f>
        <v>strcpy(PresetName8,("Tucana blues 1"));</v>
      </c>
      <c r="E132" s="1" t="s">
        <v>18</v>
      </c>
      <c r="F132" t="s">
        <v>27</v>
      </c>
      <c r="G132" t="s">
        <v>13</v>
      </c>
      <c r="H132" s="1" t="s">
        <v>13</v>
      </c>
      <c r="I132" s="8"/>
      <c r="J132" s="2" t="str">
        <f t="shared" si="20"/>
        <v>strcpy(PresetName1,("&lt;EMPTY&gt;"));</v>
      </c>
      <c r="K132" s="3">
        <f>K131+1</f>
        <v>91</v>
      </c>
    </row>
    <row r="133" spans="1:11" customFormat="1">
      <c r="A133">
        <v>129</v>
      </c>
      <c r="B133" t="s">
        <v>818</v>
      </c>
      <c r="C133" s="1">
        <v>129</v>
      </c>
      <c r="D133" s="1" t="str">
        <f t="shared" si="21"/>
        <v>strcpy(PresetName9,("Tucana blues 2"));</v>
      </c>
      <c r="E133" s="1" t="s">
        <v>18</v>
      </c>
      <c r="F133" t="s">
        <v>28</v>
      </c>
      <c r="G133" t="s">
        <v>13</v>
      </c>
      <c r="H133" s="1" t="s">
        <v>13</v>
      </c>
      <c r="I133" s="8"/>
      <c r="J133" s="2" t="str">
        <f t="shared" si="20"/>
        <v>strcpy(PresetName2,("&lt;EMPTY&gt;"));</v>
      </c>
      <c r="K133" s="3">
        <f t="shared" ref="K133:K140" si="22">K132+1</f>
        <v>92</v>
      </c>
    </row>
    <row r="134" spans="1:11" customFormat="1">
      <c r="A134">
        <v>130</v>
      </c>
      <c r="B134" t="s">
        <v>819</v>
      </c>
      <c r="C134" s="1">
        <v>130</v>
      </c>
      <c r="D134" s="1" t="str">
        <f t="shared" si="21"/>
        <v>strcpy(PresetName0,("Hook blues"));</v>
      </c>
      <c r="E134" s="1" t="s">
        <v>18</v>
      </c>
      <c r="F134" t="s">
        <v>19</v>
      </c>
      <c r="G134" t="s">
        <v>13</v>
      </c>
      <c r="H134" s="1" t="s">
        <v>13</v>
      </c>
      <c r="I134" s="8"/>
      <c r="J134" s="2" t="str">
        <f t="shared" si="20"/>
        <v>strcpy(PresetName3,("&lt;EMPTY&gt;"));</v>
      </c>
      <c r="K134" s="3">
        <f t="shared" si="22"/>
        <v>93</v>
      </c>
    </row>
    <row r="135" spans="1:11" customFormat="1">
      <c r="A135">
        <v>131</v>
      </c>
      <c r="B135" t="s">
        <v>820</v>
      </c>
      <c r="C135" s="1">
        <v>131</v>
      </c>
      <c r="D135" s="1" t="str">
        <f t="shared" si="21"/>
        <v>strcpy(PresetName1,("Warm BogFish lead"));</v>
      </c>
      <c r="E135" s="1" t="s">
        <v>18</v>
      </c>
      <c r="F135" t="s">
        <v>20</v>
      </c>
      <c r="G135" t="s">
        <v>13</v>
      </c>
      <c r="H135" s="1" t="s">
        <v>13</v>
      </c>
      <c r="I135" s="8"/>
      <c r="J135" s="2" t="str">
        <f t="shared" si="20"/>
        <v>strcpy(PresetName4,("&lt;EMPTY&gt;"));</v>
      </c>
      <c r="K135" s="3">
        <f t="shared" si="22"/>
        <v>94</v>
      </c>
    </row>
    <row r="136" spans="1:11" customFormat="1">
      <c r="A136">
        <v>132</v>
      </c>
      <c r="B136" t="s">
        <v>821</v>
      </c>
      <c r="C136" s="1">
        <v>132</v>
      </c>
      <c r="D136" s="1" t="str">
        <f t="shared" si="21"/>
        <v>strcpy(PresetName2,("5F1 Tweed EC"));</v>
      </c>
      <c r="E136" s="1" t="s">
        <v>18</v>
      </c>
      <c r="F136" t="s">
        <v>21</v>
      </c>
      <c r="G136" t="s">
        <v>13</v>
      </c>
      <c r="H136" s="1" t="s">
        <v>13</v>
      </c>
      <c r="I136" s="8"/>
      <c r="J136" s="2" t="str">
        <f t="shared" si="20"/>
        <v>strcpy(PresetName5,("&lt;EMPTY&gt;"));</v>
      </c>
      <c r="K136" s="3">
        <f t="shared" si="22"/>
        <v>95</v>
      </c>
    </row>
    <row r="137" spans="1:11" customFormat="1">
      <c r="A137">
        <v>133</v>
      </c>
      <c r="B137" t="s">
        <v>822</v>
      </c>
      <c r="C137" s="1">
        <v>133</v>
      </c>
      <c r="D137" s="1" t="str">
        <f t="shared" si="21"/>
        <v>strcpy(PresetName3,("Blues Jr Fat"));</v>
      </c>
      <c r="E137" s="1" t="s">
        <v>18</v>
      </c>
      <c r="F137" t="s">
        <v>22</v>
      </c>
      <c r="G137" t="s">
        <v>13</v>
      </c>
      <c r="H137" s="1" t="s">
        <v>13</v>
      </c>
      <c r="I137" s="8"/>
      <c r="J137" s="2" t="str">
        <f t="shared" si="20"/>
        <v>strcpy(PresetName6,("&lt;EMPTY&gt;"));</v>
      </c>
      <c r="K137" s="3">
        <f t="shared" si="22"/>
        <v>96</v>
      </c>
    </row>
    <row r="138" spans="1:11" customFormat="1">
      <c r="A138">
        <v>134</v>
      </c>
      <c r="B138" t="s">
        <v>877</v>
      </c>
      <c r="C138" s="1">
        <v>134</v>
      </c>
      <c r="D138" s="1" t="str">
        <f t="shared" si="21"/>
        <v>strcpy(PresetName4,("Texas Blues - Lonestar"));</v>
      </c>
      <c r="E138" s="1" t="s">
        <v>18</v>
      </c>
      <c r="F138" t="s">
        <v>23</v>
      </c>
      <c r="G138" t="s">
        <v>13</v>
      </c>
      <c r="H138" s="1" t="s">
        <v>13</v>
      </c>
      <c r="I138" s="8"/>
      <c r="J138" s="2" t="str">
        <f t="shared" si="20"/>
        <v>strcpy(PresetName7,("&lt;EMPTY&gt;"));</v>
      </c>
      <c r="K138" s="3">
        <f t="shared" si="22"/>
        <v>97</v>
      </c>
    </row>
    <row r="139" spans="1:11" customFormat="1">
      <c r="A139">
        <v>135</v>
      </c>
      <c r="B139" t="s">
        <v>878</v>
      </c>
      <c r="C139" s="1">
        <v>135</v>
      </c>
      <c r="D139" s="1" t="str">
        <f t="shared" si="21"/>
        <v>strcpy(PresetName5,("Texas Blues - Vibroking"));</v>
      </c>
      <c r="E139" s="1" t="s">
        <v>18</v>
      </c>
      <c r="F139" t="s">
        <v>24</v>
      </c>
      <c r="G139" t="s">
        <v>13</v>
      </c>
      <c r="H139" s="1" t="s">
        <v>13</v>
      </c>
      <c r="I139" s="8"/>
      <c r="J139" s="2" t="str">
        <f t="shared" si="20"/>
        <v>strcpy(PresetName8,("&lt;EMPTY&gt;"));</v>
      </c>
      <c r="K139" s="3">
        <f t="shared" si="22"/>
        <v>98</v>
      </c>
    </row>
    <row r="140" spans="1:11" customFormat="1">
      <c r="A140">
        <v>136</v>
      </c>
      <c r="B140" t="s">
        <v>879</v>
      </c>
      <c r="C140" s="1">
        <v>136</v>
      </c>
      <c r="D140" s="1" t="str">
        <f t="shared" si="21"/>
        <v>strcpy(PresetName6,("Texas Blues - VibratoVerb"));</v>
      </c>
      <c r="E140" s="1" t="s">
        <v>18</v>
      </c>
      <c r="F140" t="s">
        <v>25</v>
      </c>
      <c r="G140" t="s">
        <v>13</v>
      </c>
      <c r="H140" s="1" t="s">
        <v>13</v>
      </c>
      <c r="I140" s="8"/>
      <c r="J140" s="2" t="str">
        <f t="shared" si="20"/>
        <v>strcpy(PresetName9,("&lt;EMPTY&gt;"));</v>
      </c>
      <c r="K140" s="3">
        <f t="shared" si="22"/>
        <v>99</v>
      </c>
    </row>
    <row r="141" spans="1:11" customFormat="1">
      <c r="A141">
        <v>137</v>
      </c>
      <c r="B141" t="s">
        <v>880</v>
      </c>
      <c r="C141" s="1">
        <v>137</v>
      </c>
      <c r="D141" s="1" t="str">
        <f t="shared" si="21"/>
        <v>strcpy(PresetName7,("Texas Blues - Bandmaster"));</v>
      </c>
      <c r="E141" s="1" t="s">
        <v>18</v>
      </c>
      <c r="F141" t="s">
        <v>26</v>
      </c>
      <c r="G141" t="s">
        <v>13</v>
      </c>
      <c r="H141" s="1" t="s">
        <v>13</v>
      </c>
      <c r="I141" s="8"/>
      <c r="J141" s="2"/>
      <c r="K141" s="3"/>
    </row>
    <row r="142" spans="1:11" customFormat="1">
      <c r="A142">
        <v>138</v>
      </c>
      <c r="B142" t="s">
        <v>881</v>
      </c>
      <c r="C142" s="1">
        <v>138</v>
      </c>
      <c r="D142" s="1" t="str">
        <f t="shared" si="21"/>
        <v>strcpy(PresetName8,("Texas Blues - Super Reverb"));</v>
      </c>
      <c r="E142" s="1" t="s">
        <v>18</v>
      </c>
      <c r="F142" t="s">
        <v>27</v>
      </c>
      <c r="G142" t="s">
        <v>13</v>
      </c>
      <c r="H142" s="1" t="s">
        <v>13</v>
      </c>
      <c r="I142" s="8"/>
      <c r="J142" s="2" t="s">
        <v>29</v>
      </c>
      <c r="K142" s="3"/>
    </row>
    <row r="143" spans="1:11" customFormat="1">
      <c r="A143">
        <v>139</v>
      </c>
      <c r="B143" t="s">
        <v>882</v>
      </c>
      <c r="C143" s="1">
        <v>139</v>
      </c>
      <c r="D143" s="1" t="str">
        <f t="shared" si="21"/>
        <v>strcpy(PresetName9,("Texas Blues - Princeton"));</v>
      </c>
      <c r="E143" s="1" t="s">
        <v>18</v>
      </c>
      <c r="F143" t="s">
        <v>28</v>
      </c>
      <c r="G143" t="s">
        <v>13</v>
      </c>
      <c r="H143" s="1" t="s">
        <v>13</v>
      </c>
      <c r="I143" s="8"/>
      <c r="J143" s="2"/>
      <c r="K143" s="3"/>
    </row>
    <row r="144" spans="1:11" customFormat="1">
      <c r="A144">
        <v>140</v>
      </c>
      <c r="B144" t="s">
        <v>883</v>
      </c>
      <c r="C144" s="1">
        <v>140</v>
      </c>
      <c r="D144" s="1" t="str">
        <f t="shared" si="21"/>
        <v>strcpy(PresetName0,("Texas Blues - Dr Z"));</v>
      </c>
      <c r="E144" s="1" t="s">
        <v>18</v>
      </c>
      <c r="F144" t="s">
        <v>19</v>
      </c>
      <c r="G144" t="s">
        <v>13</v>
      </c>
      <c r="H144" s="1" t="s">
        <v>13</v>
      </c>
      <c r="I144" s="8"/>
      <c r="J144" s="2" t="str">
        <f xml:space="preserve"> "case "&amp; K144&amp;": "</f>
        <v xml:space="preserve">case 100: </v>
      </c>
      <c r="K144" s="3">
        <f>K130+10</f>
        <v>100</v>
      </c>
    </row>
    <row r="145" spans="1:11" customFormat="1">
      <c r="A145">
        <v>141</v>
      </c>
      <c r="B145" t="s">
        <v>884</v>
      </c>
      <c r="C145" s="1">
        <v>141</v>
      </c>
      <c r="D145" s="1" t="str">
        <f t="shared" si="21"/>
        <v>strcpy(PresetName1,("Texas Blues - Bassman"));</v>
      </c>
      <c r="E145" s="1" t="s">
        <v>18</v>
      </c>
      <c r="F145" t="s">
        <v>20</v>
      </c>
      <c r="G145" t="s">
        <v>13</v>
      </c>
      <c r="H145" s="1" t="s">
        <v>13</v>
      </c>
      <c r="I145" s="8"/>
      <c r="J145" s="2" t="str">
        <f t="shared" ref="J145:J154" si="23">VLOOKUP(K145,C:D,2,FALSE)</f>
        <v>strcpy(PresetName0,("Rockin' Train"));</v>
      </c>
      <c r="K145" s="3">
        <f>K144</f>
        <v>100</v>
      </c>
    </row>
    <row r="146" spans="1:11" customFormat="1">
      <c r="A146">
        <v>142</v>
      </c>
      <c r="B146" t="s">
        <v>823</v>
      </c>
      <c r="C146" s="1">
        <v>142</v>
      </c>
      <c r="D146" s="1" t="str">
        <f t="shared" si="21"/>
        <v>strcpy(PresetName2,("Dirty tweed"));</v>
      </c>
      <c r="E146" s="1" t="s">
        <v>18</v>
      </c>
      <c r="F146" t="s">
        <v>21</v>
      </c>
      <c r="G146" t="s">
        <v>13</v>
      </c>
      <c r="H146" s="1" t="s">
        <v>13</v>
      </c>
      <c r="I146" s="8"/>
      <c r="J146" s="2" t="str">
        <f t="shared" si="23"/>
        <v>strcpy(PresetName1,("Dr Z's blues"));</v>
      </c>
      <c r="K146" s="3">
        <f>K145+1</f>
        <v>101</v>
      </c>
    </row>
    <row r="147" spans="1:11" customFormat="1">
      <c r="A147">
        <v>143</v>
      </c>
      <c r="B147" t="s">
        <v>824</v>
      </c>
      <c r="C147" s="1">
        <v>143</v>
      </c>
      <c r="D147" s="1" t="str">
        <f t="shared" si="21"/>
        <v>strcpy(PresetName3,("Andy Little Wing"));</v>
      </c>
      <c r="E147" s="1" t="s">
        <v>18</v>
      </c>
      <c r="F147" t="s">
        <v>22</v>
      </c>
      <c r="G147" t="s">
        <v>13</v>
      </c>
      <c r="H147" s="1" t="s">
        <v>13</v>
      </c>
      <c r="I147" s="8"/>
      <c r="J147" s="2" t="str">
        <f t="shared" si="23"/>
        <v>strcpy(PresetName2,("Carol-Ann OD2 lead 1"));</v>
      </c>
      <c r="K147" s="3">
        <f t="shared" ref="K147:K154" si="24">K146+1</f>
        <v>102</v>
      </c>
    </row>
    <row r="148" spans="1:11" customFormat="1">
      <c r="A148">
        <v>144</v>
      </c>
      <c r="B148" t="s">
        <v>825</v>
      </c>
      <c r="C148" s="1">
        <v>144</v>
      </c>
      <c r="D148" s="1" t="str">
        <f t="shared" si="21"/>
        <v>strcpy(PresetName4,("Just one night"));</v>
      </c>
      <c r="E148" s="1" t="s">
        <v>18</v>
      </c>
      <c r="F148" t="s">
        <v>23</v>
      </c>
      <c r="G148" t="s">
        <v>13</v>
      </c>
      <c r="H148" s="1" t="s">
        <v>13</v>
      </c>
      <c r="I148" s="8"/>
      <c r="J148" s="2" t="str">
        <f t="shared" si="23"/>
        <v>strcpy(PresetName3,("Carol-Ann OD2 lead 2"));</v>
      </c>
      <c r="K148" s="3">
        <f t="shared" si="24"/>
        <v>103</v>
      </c>
    </row>
    <row r="149" spans="1:11" customFormat="1">
      <c r="A149">
        <v>145</v>
      </c>
      <c r="B149" t="s">
        <v>826</v>
      </c>
      <c r="C149" s="1">
        <v>145</v>
      </c>
      <c r="D149" s="1" t="str">
        <f t="shared" si="21"/>
        <v>strcpy(PresetName5,("AC20 crunch"));</v>
      </c>
      <c r="E149" s="1" t="s">
        <v>18</v>
      </c>
      <c r="F149" t="s">
        <v>24</v>
      </c>
      <c r="G149" t="s">
        <v>13</v>
      </c>
      <c r="H149" s="1" t="s">
        <v>13</v>
      </c>
      <c r="I149" s="8"/>
      <c r="J149" s="2" t="str">
        <f t="shared" si="23"/>
        <v>strcpy(PresetName4,("Carol-Ann OD2 lead 3"));</v>
      </c>
      <c r="K149" s="3">
        <f t="shared" si="24"/>
        <v>104</v>
      </c>
    </row>
    <row r="150" spans="1:11" customFormat="1">
      <c r="A150">
        <v>146</v>
      </c>
      <c r="B150" t="s">
        <v>827</v>
      </c>
      <c r="C150" s="1">
        <v>146</v>
      </c>
      <c r="D150" s="1" t="str">
        <f t="shared" si="21"/>
        <v>strcpy(PresetName6,("AC20 crunch 2"));</v>
      </c>
      <c r="E150" s="1" t="s">
        <v>18</v>
      </c>
      <c r="F150" t="s">
        <v>25</v>
      </c>
      <c r="G150" t="s">
        <v>13</v>
      </c>
      <c r="H150" s="1" t="s">
        <v>13</v>
      </c>
      <c r="I150" s="8"/>
      <c r="J150" s="2" t="str">
        <f t="shared" si="23"/>
        <v>strcpy(PresetName5,("Fat Buddah"));</v>
      </c>
      <c r="K150" s="3">
        <f t="shared" si="24"/>
        <v>105</v>
      </c>
    </row>
    <row r="151" spans="1:11" customFormat="1">
      <c r="A151">
        <v>147</v>
      </c>
      <c r="B151" t="s">
        <v>828</v>
      </c>
      <c r="C151" s="1">
        <v>147</v>
      </c>
      <c r="D151" s="1" t="str">
        <f t="shared" si="21"/>
        <v>strcpy(PresetName7,("AC20 fusion 1"));</v>
      </c>
      <c r="E151" s="1" t="s">
        <v>18</v>
      </c>
      <c r="F151" t="s">
        <v>26</v>
      </c>
      <c r="G151" t="s">
        <v>13</v>
      </c>
      <c r="H151" s="1" t="s">
        <v>13</v>
      </c>
      <c r="I151" s="8"/>
      <c r="J151" s="2" t="str">
        <f t="shared" si="23"/>
        <v>strcpy(PresetName6,("Bright Buddah"));</v>
      </c>
      <c r="K151" s="3">
        <f t="shared" si="24"/>
        <v>106</v>
      </c>
    </row>
    <row r="152" spans="1:11" customFormat="1">
      <c r="A152">
        <v>148</v>
      </c>
      <c r="B152" t="s">
        <v>829</v>
      </c>
      <c r="C152" s="1">
        <v>148</v>
      </c>
      <c r="D152" s="1" t="str">
        <f t="shared" si="21"/>
        <v>strcpy(PresetName8,("AC20 fusion 2"));</v>
      </c>
      <c r="E152" s="1" t="s">
        <v>18</v>
      </c>
      <c r="F152" t="s">
        <v>27</v>
      </c>
      <c r="G152" t="s">
        <v>13</v>
      </c>
      <c r="H152" s="1" t="s">
        <v>13</v>
      </c>
      <c r="I152" s="8"/>
      <c r="J152" s="2" t="str">
        <f t="shared" si="23"/>
        <v>strcpy(PresetName7,("Bludojai Lead 1"));</v>
      </c>
      <c r="K152" s="3">
        <f t="shared" si="24"/>
        <v>107</v>
      </c>
    </row>
    <row r="153" spans="1:11" customFormat="1">
      <c r="A153">
        <v>149</v>
      </c>
      <c r="B153" t="s">
        <v>830</v>
      </c>
      <c r="C153" s="1">
        <v>149</v>
      </c>
      <c r="D153" s="1" t="str">
        <f t="shared" si="21"/>
        <v>strcpy(PresetName9,("AC20 fusion 3"));</v>
      </c>
      <c r="E153" s="1" t="s">
        <v>18</v>
      </c>
      <c r="F153" t="s">
        <v>28</v>
      </c>
      <c r="G153" t="s">
        <v>13</v>
      </c>
      <c r="H153" s="1" t="s">
        <v>13</v>
      </c>
      <c r="I153" s="8"/>
      <c r="J153" s="2" t="str">
        <f t="shared" si="23"/>
        <v>strcpy(PresetName8,("Bludojai Lead 2"));</v>
      </c>
      <c r="K153" s="3">
        <f t="shared" si="24"/>
        <v>108</v>
      </c>
    </row>
    <row r="154" spans="1:11" customFormat="1">
      <c r="A154">
        <v>150</v>
      </c>
      <c r="B154" t="s">
        <v>831</v>
      </c>
      <c r="C154" s="1">
        <v>150</v>
      </c>
      <c r="D154" s="1" t="str">
        <f t="shared" si="21"/>
        <v>strcpy(PresetName0,("Crunchy D30"));</v>
      </c>
      <c r="E154" s="1" t="s">
        <v>18</v>
      </c>
      <c r="F154" t="s">
        <v>19</v>
      </c>
      <c r="G154" t="s">
        <v>13</v>
      </c>
      <c r="H154" s="1" t="s">
        <v>13</v>
      </c>
      <c r="I154" s="8"/>
      <c r="J154" s="2" t="str">
        <f t="shared" si="23"/>
        <v>strcpy(PresetName9,("Two Rock to rock"));</v>
      </c>
      <c r="K154" s="3">
        <f t="shared" si="24"/>
        <v>109</v>
      </c>
    </row>
    <row r="155" spans="1:11" customFormat="1">
      <c r="A155">
        <v>151</v>
      </c>
      <c r="B155" t="s">
        <v>885</v>
      </c>
      <c r="C155" s="1">
        <v>151</v>
      </c>
      <c r="D155" s="1" t="str">
        <f t="shared" si="21"/>
        <v>strcpy(PresetName1,("Div/13 crunch"));</v>
      </c>
      <c r="E155" s="1" t="s">
        <v>18</v>
      </c>
      <c r="F155" t="s">
        <v>20</v>
      </c>
      <c r="G155" t="s">
        <v>13</v>
      </c>
      <c r="H155" s="1" t="s">
        <v>13</v>
      </c>
      <c r="I155" s="8"/>
      <c r="J155" s="2"/>
      <c r="K155" s="3"/>
    </row>
    <row r="156" spans="1:11" customFormat="1">
      <c r="A156">
        <v>152</v>
      </c>
      <c r="B156" t="s">
        <v>886</v>
      </c>
      <c r="C156" s="1">
        <v>152</v>
      </c>
      <c r="D156" s="1" t="str">
        <f t="shared" si="21"/>
        <v>strcpy(PresetName2,("J. Mayer I"));</v>
      </c>
      <c r="E156" s="1" t="s">
        <v>18</v>
      </c>
      <c r="F156" t="s">
        <v>21</v>
      </c>
      <c r="G156" t="s">
        <v>13</v>
      </c>
      <c r="H156" s="1" t="s">
        <v>13</v>
      </c>
      <c r="I156" s="8"/>
      <c r="J156" s="2" t="s">
        <v>29</v>
      </c>
      <c r="K156" s="3"/>
    </row>
    <row r="157" spans="1:11" customFormat="1">
      <c r="A157">
        <v>153</v>
      </c>
      <c r="B157" t="s">
        <v>887</v>
      </c>
      <c r="C157" s="1">
        <v>153</v>
      </c>
      <c r="D157" s="1" t="str">
        <f t="shared" si="21"/>
        <v>strcpy(PresetName3,("J. Mayer II"));</v>
      </c>
      <c r="E157" s="1" t="s">
        <v>18</v>
      </c>
      <c r="F157" t="s">
        <v>22</v>
      </c>
      <c r="G157" t="s">
        <v>13</v>
      </c>
      <c r="H157" s="1" t="s">
        <v>13</v>
      </c>
      <c r="I157" s="8"/>
      <c r="J157" s="2"/>
      <c r="K157" s="3"/>
    </row>
    <row r="158" spans="1:11" customFormat="1">
      <c r="A158">
        <v>154</v>
      </c>
      <c r="B158" t="s">
        <v>849</v>
      </c>
      <c r="C158" s="1">
        <v>154</v>
      </c>
      <c r="D158" s="1" t="str">
        <f t="shared" si="21"/>
        <v>strcpy(PresetName4,("&lt;EMPTY&gt;"));</v>
      </c>
      <c r="E158" s="1" t="s">
        <v>18</v>
      </c>
      <c r="F158" t="s">
        <v>23</v>
      </c>
      <c r="G158" t="s">
        <v>13</v>
      </c>
      <c r="H158" s="1" t="s">
        <v>13</v>
      </c>
      <c r="I158" s="8"/>
      <c r="J158" s="2" t="str">
        <f xml:space="preserve"> "case "&amp; K158&amp;": "</f>
        <v xml:space="preserve">case 110: </v>
      </c>
      <c r="K158" s="3">
        <f>K144+10</f>
        <v>110</v>
      </c>
    </row>
    <row r="159" spans="1:11" customFormat="1">
      <c r="A159">
        <v>155</v>
      </c>
      <c r="B159" s="1" t="s">
        <v>849</v>
      </c>
      <c r="C159" s="1">
        <v>155</v>
      </c>
      <c r="D159" s="1" t="str">
        <f t="shared" si="21"/>
        <v>strcpy(PresetName5,("&lt;EMPTY&gt;"));</v>
      </c>
      <c r="E159" s="1" t="s">
        <v>18</v>
      </c>
      <c r="F159" t="s">
        <v>24</v>
      </c>
      <c r="G159" t="s">
        <v>13</v>
      </c>
      <c r="H159" s="1" t="s">
        <v>13</v>
      </c>
      <c r="I159" s="8"/>
      <c r="J159" s="2" t="str">
        <f t="shared" ref="J159:J168" si="25">VLOOKUP(K159,C:D,2,FALSE)</f>
        <v>strcpy(PresetName0,("Two Rock to rock II"));</v>
      </c>
      <c r="K159" s="3">
        <f>K158</f>
        <v>110</v>
      </c>
    </row>
    <row r="160" spans="1:11" customFormat="1">
      <c r="A160">
        <v>156</v>
      </c>
      <c r="B160" t="s">
        <v>849</v>
      </c>
      <c r="C160" s="1">
        <v>156</v>
      </c>
      <c r="D160" s="1" t="str">
        <f t="shared" si="21"/>
        <v>strcpy(PresetName6,("&lt;EMPTY&gt;"));</v>
      </c>
      <c r="E160" s="1" t="s">
        <v>18</v>
      </c>
      <c r="F160" t="s">
        <v>25</v>
      </c>
      <c r="G160" t="s">
        <v>13</v>
      </c>
      <c r="H160" s="1" t="s">
        <v>13</v>
      </c>
      <c r="I160" s="8"/>
      <c r="J160" s="2" t="str">
        <f t="shared" si="25"/>
        <v>strcpy(PresetName1,("Zen Wreck"));</v>
      </c>
      <c r="K160" s="3">
        <f>K159+1</f>
        <v>111</v>
      </c>
    </row>
    <row r="161" spans="1:11" customFormat="1">
      <c r="A161">
        <v>157</v>
      </c>
      <c r="B161" t="s">
        <v>849</v>
      </c>
      <c r="C161" s="1">
        <v>157</v>
      </c>
      <c r="D161" s="1" t="str">
        <f t="shared" si="21"/>
        <v>strcpy(PresetName7,("&lt;EMPTY&gt;"));</v>
      </c>
      <c r="E161" s="1" t="s">
        <v>18</v>
      </c>
      <c r="F161" t="s">
        <v>26</v>
      </c>
      <c r="G161" t="s">
        <v>13</v>
      </c>
      <c r="H161" s="1" t="s">
        <v>13</v>
      </c>
      <c r="I161" s="8"/>
      <c r="J161" s="2" t="str">
        <f t="shared" si="25"/>
        <v>strcpy(PresetName2,("FAS Wreck"));</v>
      </c>
      <c r="K161" s="3">
        <f t="shared" ref="K161:K168" si="26">K160+1</f>
        <v>112</v>
      </c>
    </row>
    <row r="162" spans="1:11" customFormat="1">
      <c r="A162">
        <v>158</v>
      </c>
      <c r="B162" t="s">
        <v>849</v>
      </c>
      <c r="C162" s="1">
        <v>158</v>
      </c>
      <c r="D162" s="1" t="str">
        <f t="shared" si="21"/>
        <v>strcpy(PresetName8,("&lt;EMPTY&gt;"));</v>
      </c>
      <c r="E162" s="1" t="s">
        <v>18</v>
      </c>
      <c r="F162" t="s">
        <v>27</v>
      </c>
      <c r="G162" t="s">
        <v>13</v>
      </c>
      <c r="H162" s="1" t="s">
        <v>13</v>
      </c>
      <c r="I162" s="8"/>
      <c r="J162" s="2" t="str">
        <f t="shared" si="25"/>
        <v>strcpy(PresetName3,("What the Fuchs is goin'"));</v>
      </c>
      <c r="K162" s="3">
        <f t="shared" si="26"/>
        <v>113</v>
      </c>
    </row>
    <row r="163" spans="1:11" customFormat="1">
      <c r="A163">
        <v>159</v>
      </c>
      <c r="B163" t="s">
        <v>849</v>
      </c>
      <c r="C163" s="1">
        <v>159</v>
      </c>
      <c r="D163" s="1" t="str">
        <f t="shared" si="21"/>
        <v>strcpy(PresetName9,("&lt;EMPTY&gt;"));</v>
      </c>
      <c r="E163" s="1" t="s">
        <v>18</v>
      </c>
      <c r="F163" t="s">
        <v>28</v>
      </c>
      <c r="G163" t="s">
        <v>13</v>
      </c>
      <c r="H163" s="1" t="s">
        <v>13</v>
      </c>
      <c r="I163" s="8"/>
      <c r="J163" s="2" t="str">
        <f t="shared" si="25"/>
        <v>strcpy(PresetName4,("ODS-100 Lead 1"));</v>
      </c>
      <c r="K163" s="3">
        <f t="shared" si="26"/>
        <v>114</v>
      </c>
    </row>
    <row r="164" spans="1:11" customFormat="1">
      <c r="A164">
        <v>160</v>
      </c>
      <c r="B164" t="s">
        <v>849</v>
      </c>
      <c r="C164" s="1">
        <v>160</v>
      </c>
      <c r="D164" s="1" t="str">
        <f t="shared" si="21"/>
        <v>strcpy(PresetName0,("&lt;EMPTY&gt;"));</v>
      </c>
      <c r="E164" s="1" t="s">
        <v>18</v>
      </c>
      <c r="F164" t="s">
        <v>19</v>
      </c>
      <c r="G164" t="s">
        <v>13</v>
      </c>
      <c r="H164" s="1" t="s">
        <v>13</v>
      </c>
      <c r="I164" s="8"/>
      <c r="J164" s="2" t="str">
        <f t="shared" si="25"/>
        <v>strcpy(PresetName5,("ODS-100 Lead 2"));</v>
      </c>
      <c r="K164" s="3">
        <f t="shared" si="26"/>
        <v>115</v>
      </c>
    </row>
    <row r="165" spans="1:11" customFormat="1">
      <c r="A165">
        <v>161</v>
      </c>
      <c r="B165" t="s">
        <v>849</v>
      </c>
      <c r="C165" s="1">
        <v>161</v>
      </c>
      <c r="D165" s="1" t="str">
        <f t="shared" si="21"/>
        <v>strcpy(PresetName1,("&lt;EMPTY&gt;"));</v>
      </c>
      <c r="E165" s="1" t="s">
        <v>18</v>
      </c>
      <c r="F165" t="s">
        <v>20</v>
      </c>
      <c r="G165" t="s">
        <v>13</v>
      </c>
      <c r="H165" s="1" t="s">
        <v>13</v>
      </c>
      <c r="I165" s="8"/>
      <c r="J165" s="2" t="str">
        <f t="shared" si="25"/>
        <v>strcpy(PresetName6,("ODS-100 Lead 3"));</v>
      </c>
      <c r="K165" s="3">
        <f t="shared" si="26"/>
        <v>116</v>
      </c>
    </row>
    <row r="166" spans="1:11" customFormat="1">
      <c r="A166">
        <v>162</v>
      </c>
      <c r="B166" t="s">
        <v>849</v>
      </c>
      <c r="C166" s="1">
        <v>162</v>
      </c>
      <c r="D166" s="1" t="str">
        <f t="shared" si="21"/>
        <v>strcpy(PresetName2,("&lt;EMPTY&gt;"));</v>
      </c>
      <c r="E166" s="1" t="s">
        <v>18</v>
      </c>
      <c r="F166" t="s">
        <v>21</v>
      </c>
      <c r="G166" t="s">
        <v>13</v>
      </c>
      <c r="H166" s="1" t="s">
        <v>13</v>
      </c>
      <c r="I166" s="8"/>
      <c r="J166" s="2" t="str">
        <f t="shared" si="25"/>
        <v>strcpy(PresetName7,("ODS-100 Lead 4 Joe B"));</v>
      </c>
      <c r="K166" s="3">
        <f t="shared" si="26"/>
        <v>117</v>
      </c>
    </row>
    <row r="167" spans="1:11" customFormat="1">
      <c r="A167">
        <v>163</v>
      </c>
      <c r="B167" t="s">
        <v>849</v>
      </c>
      <c r="C167" s="1">
        <v>163</v>
      </c>
      <c r="D167" s="1" t="str">
        <f t="shared" si="21"/>
        <v>strcpy(PresetName3,("&lt;EMPTY&gt;"));</v>
      </c>
      <c r="E167" s="1" t="s">
        <v>18</v>
      </c>
      <c r="F167" t="s">
        <v>22</v>
      </c>
      <c r="G167" t="s">
        <v>13</v>
      </c>
      <c r="H167" s="1" t="s">
        <v>13</v>
      </c>
      <c r="I167" s="8"/>
      <c r="J167" s="2" t="str">
        <f t="shared" si="25"/>
        <v>strcpy(PresetName8,("ODS-100 HRM Mid lead"));</v>
      </c>
      <c r="K167" s="3">
        <f t="shared" si="26"/>
        <v>118</v>
      </c>
    </row>
    <row r="168" spans="1:11" customFormat="1">
      <c r="A168">
        <v>164</v>
      </c>
      <c r="B168" t="s">
        <v>849</v>
      </c>
      <c r="C168" s="1">
        <v>164</v>
      </c>
      <c r="D168" s="1" t="str">
        <f t="shared" si="21"/>
        <v>strcpy(PresetName4,("&lt;EMPTY&gt;"));</v>
      </c>
      <c r="E168" s="1" t="s">
        <v>18</v>
      </c>
      <c r="F168" t="s">
        <v>23</v>
      </c>
      <c r="G168" t="s">
        <v>13</v>
      </c>
      <c r="H168" s="1" t="s">
        <v>13</v>
      </c>
      <c r="I168" s="8"/>
      <c r="J168" s="2" t="str">
        <f t="shared" si="25"/>
        <v>strcpy(PresetName9,("ODS-100 Ford lead 1"));</v>
      </c>
      <c r="K168" s="3">
        <f t="shared" si="26"/>
        <v>119</v>
      </c>
    </row>
    <row r="169" spans="1:11" customFormat="1">
      <c r="A169">
        <v>165</v>
      </c>
      <c r="B169" t="s">
        <v>849</v>
      </c>
      <c r="C169" s="1">
        <v>165</v>
      </c>
      <c r="D169" s="1" t="str">
        <f t="shared" si="21"/>
        <v>strcpy(PresetName5,("&lt;EMPTY&gt;"));</v>
      </c>
      <c r="E169" s="1" t="s">
        <v>18</v>
      </c>
      <c r="F169" t="s">
        <v>24</v>
      </c>
      <c r="G169" t="s">
        <v>13</v>
      </c>
      <c r="H169" s="1" t="s">
        <v>13</v>
      </c>
      <c r="I169" s="8"/>
      <c r="J169" s="2"/>
      <c r="K169" s="3"/>
    </row>
    <row r="170" spans="1:11" customFormat="1">
      <c r="A170">
        <v>166</v>
      </c>
      <c r="B170" t="s">
        <v>849</v>
      </c>
      <c r="C170" s="1">
        <v>166</v>
      </c>
      <c r="D170" s="1" t="str">
        <f t="shared" si="21"/>
        <v>strcpy(PresetName6,("&lt;EMPTY&gt;"));</v>
      </c>
      <c r="E170" s="1" t="s">
        <v>18</v>
      </c>
      <c r="F170" t="s">
        <v>25</v>
      </c>
      <c r="G170" t="s">
        <v>13</v>
      </c>
      <c r="H170" s="1" t="s">
        <v>13</v>
      </c>
      <c r="I170" s="8"/>
      <c r="J170" s="2" t="s">
        <v>29</v>
      </c>
      <c r="K170" s="3"/>
    </row>
    <row r="171" spans="1:11" customFormat="1">
      <c r="A171">
        <v>167</v>
      </c>
      <c r="B171" t="s">
        <v>849</v>
      </c>
      <c r="C171" s="1">
        <v>167</v>
      </c>
      <c r="D171" s="1" t="str">
        <f t="shared" si="21"/>
        <v>strcpy(PresetName7,("&lt;EMPTY&gt;"));</v>
      </c>
      <c r="E171" s="1" t="s">
        <v>18</v>
      </c>
      <c r="F171" t="s">
        <v>26</v>
      </c>
      <c r="G171" t="s">
        <v>13</v>
      </c>
      <c r="H171" s="1" t="s">
        <v>13</v>
      </c>
      <c r="I171" s="8"/>
      <c r="J171" s="2"/>
      <c r="K171" s="3"/>
    </row>
    <row r="172" spans="1:11" customFormat="1">
      <c r="A172">
        <v>168</v>
      </c>
      <c r="B172" t="s">
        <v>849</v>
      </c>
      <c r="C172" s="1">
        <v>168</v>
      </c>
      <c r="D172" s="1" t="str">
        <f t="shared" si="21"/>
        <v>strcpy(PresetName8,("&lt;EMPTY&gt;"));</v>
      </c>
      <c r="E172" s="1" t="s">
        <v>18</v>
      </c>
      <c r="F172" t="s">
        <v>27</v>
      </c>
      <c r="G172" t="s">
        <v>13</v>
      </c>
      <c r="H172" s="1" t="s">
        <v>13</v>
      </c>
      <c r="I172" s="8"/>
      <c r="J172" s="2" t="str">
        <f xml:space="preserve"> "case "&amp; K172&amp;": "</f>
        <v xml:space="preserve">case 120: </v>
      </c>
      <c r="K172" s="3">
        <f>K158+10</f>
        <v>120</v>
      </c>
    </row>
    <row r="173" spans="1:11" customFormat="1">
      <c r="A173">
        <v>169</v>
      </c>
      <c r="B173" t="s">
        <v>849</v>
      </c>
      <c r="C173" s="1">
        <v>169</v>
      </c>
      <c r="D173" s="1" t="str">
        <f t="shared" si="21"/>
        <v>strcpy(PresetName9,("&lt;EMPTY&gt;"));</v>
      </c>
      <c r="E173" s="1" t="s">
        <v>18</v>
      </c>
      <c r="F173" t="s">
        <v>28</v>
      </c>
      <c r="G173" t="s">
        <v>13</v>
      </c>
      <c r="H173" s="1" t="s">
        <v>13</v>
      </c>
      <c r="I173" s="8"/>
      <c r="J173" s="2" t="str">
        <f t="shared" ref="J173:J182" si="27">VLOOKUP(K173,C:D,2,FALSE)</f>
        <v>strcpy(PresetName0,("ODS-100 Ford lead 2"));</v>
      </c>
      <c r="K173" s="3">
        <f>K172</f>
        <v>120</v>
      </c>
    </row>
    <row r="174" spans="1:11" customFormat="1">
      <c r="A174">
        <v>170</v>
      </c>
      <c r="B174" t="s">
        <v>849</v>
      </c>
      <c r="C174" s="1">
        <v>170</v>
      </c>
      <c r="D174" s="1" t="str">
        <f t="shared" si="21"/>
        <v>strcpy(PresetName0,("&lt;EMPTY&gt;"));</v>
      </c>
      <c r="E174" s="1" t="s">
        <v>18</v>
      </c>
      <c r="F174" t="s">
        <v>19</v>
      </c>
      <c r="G174" t="s">
        <v>13</v>
      </c>
      <c r="H174" s="1" t="s">
        <v>13</v>
      </c>
      <c r="I174" s="8"/>
      <c r="J174" s="2" t="str">
        <f t="shared" si="27"/>
        <v>strcpy(PresetName1,("ODS-100 Ford lead 3"));</v>
      </c>
      <c r="K174" s="3">
        <f>K173+1</f>
        <v>121</v>
      </c>
    </row>
    <row r="175" spans="1:11" customFormat="1">
      <c r="A175">
        <v>171</v>
      </c>
      <c r="B175" t="s">
        <v>849</v>
      </c>
      <c r="C175" s="1">
        <v>171</v>
      </c>
      <c r="D175" s="1" t="str">
        <f t="shared" si="21"/>
        <v>strcpy(PresetName1,("&lt;EMPTY&gt;"));</v>
      </c>
      <c r="E175" s="1" t="s">
        <v>18</v>
      </c>
      <c r="F175" t="s">
        <v>20</v>
      </c>
      <c r="G175" t="s">
        <v>13</v>
      </c>
      <c r="H175" s="1" t="s">
        <v>13</v>
      </c>
      <c r="I175" s="8"/>
      <c r="J175" s="2" t="str">
        <f t="shared" si="27"/>
        <v>strcpy(PresetName2,("Dumble and Dumbler"));</v>
      </c>
      <c r="K175" s="3">
        <f t="shared" ref="K175:K182" si="28">K174+1</f>
        <v>122</v>
      </c>
    </row>
    <row r="176" spans="1:11" customFormat="1">
      <c r="A176">
        <v>172</v>
      </c>
      <c r="B176" t="s">
        <v>849</v>
      </c>
      <c r="C176" s="1">
        <v>172</v>
      </c>
      <c r="D176" s="1" t="str">
        <f t="shared" si="21"/>
        <v>strcpy(PresetName2,("&lt;EMPTY&gt;"));</v>
      </c>
      <c r="E176" s="1" t="s">
        <v>18</v>
      </c>
      <c r="F176" t="s">
        <v>21</v>
      </c>
      <c r="G176" t="s">
        <v>13</v>
      </c>
      <c r="H176" s="1" t="s">
        <v>13</v>
      </c>
      <c r="I176" s="8"/>
      <c r="J176" s="2" t="str">
        <f t="shared" si="27"/>
        <v>strcpy(PresetName3,("Fat ODS-100"));</v>
      </c>
      <c r="K176" s="3">
        <f t="shared" si="28"/>
        <v>123</v>
      </c>
    </row>
    <row r="177" spans="1:11" customFormat="1">
      <c r="A177">
        <v>173</v>
      </c>
      <c r="B177" t="s">
        <v>849</v>
      </c>
      <c r="C177" s="1">
        <v>173</v>
      </c>
      <c r="D177" s="1" t="str">
        <f t="shared" si="21"/>
        <v>strcpy(PresetName3,("&lt;EMPTY&gt;"));</v>
      </c>
      <c r="E177" s="1" t="s">
        <v>18</v>
      </c>
      <c r="F177" t="s">
        <v>22</v>
      </c>
      <c r="G177" t="s">
        <v>13</v>
      </c>
      <c r="H177" s="1" t="s">
        <v>13</v>
      </c>
      <c r="I177" s="8"/>
      <c r="J177" s="2" t="str">
        <f t="shared" si="27"/>
        <v>strcpy(PresetName4,("Fat lead"));</v>
      </c>
      <c r="K177" s="3">
        <f t="shared" si="28"/>
        <v>124</v>
      </c>
    </row>
    <row r="178" spans="1:11" customFormat="1">
      <c r="A178">
        <v>174</v>
      </c>
      <c r="B178" t="s">
        <v>849</v>
      </c>
      <c r="C178" s="1">
        <v>174</v>
      </c>
      <c r="D178" s="1" t="str">
        <f t="shared" si="21"/>
        <v>strcpy(PresetName4,("&lt;EMPTY&gt;"));</v>
      </c>
      <c r="E178" s="1" t="s">
        <v>18</v>
      </c>
      <c r="F178" t="s">
        <v>23</v>
      </c>
      <c r="G178" t="s">
        <v>13</v>
      </c>
      <c r="H178" s="1" t="s">
        <v>13</v>
      </c>
      <c r="I178" s="8"/>
      <c r="J178" s="2" t="str">
        <f t="shared" si="27"/>
        <v>strcpy(PresetName5,("Komet Concorde 1"));</v>
      </c>
      <c r="K178" s="3">
        <f t="shared" si="28"/>
        <v>125</v>
      </c>
    </row>
    <row r="179" spans="1:11" customFormat="1">
      <c r="A179">
        <v>175</v>
      </c>
      <c r="B179" t="s">
        <v>849</v>
      </c>
      <c r="C179" s="1">
        <v>175</v>
      </c>
      <c r="D179" s="1" t="str">
        <f t="shared" si="21"/>
        <v>strcpy(PresetName5,("&lt;EMPTY&gt;"));</v>
      </c>
      <c r="E179" s="1" t="s">
        <v>18</v>
      </c>
      <c r="F179" t="s">
        <v>24</v>
      </c>
      <c r="G179" t="s">
        <v>13</v>
      </c>
      <c r="H179" s="1" t="s">
        <v>13</v>
      </c>
      <c r="I179" s="8"/>
      <c r="J179" s="2" t="str">
        <f t="shared" si="27"/>
        <v>strcpy(PresetName6,("Komet Concorde 2"));</v>
      </c>
      <c r="K179" s="3">
        <f t="shared" si="28"/>
        <v>126</v>
      </c>
    </row>
    <row r="180" spans="1:11" customFormat="1">
      <c r="A180">
        <v>176</v>
      </c>
      <c r="B180" t="s">
        <v>849</v>
      </c>
      <c r="C180" s="1">
        <v>176</v>
      </c>
      <c r="D180" s="1" t="str">
        <f t="shared" si="21"/>
        <v>strcpy(PresetName6,("&lt;EMPTY&gt;"));</v>
      </c>
      <c r="E180" s="1" t="s">
        <v>18</v>
      </c>
      <c r="F180" t="s">
        <v>25</v>
      </c>
      <c r="G180" t="s">
        <v>13</v>
      </c>
      <c r="H180" s="1" t="s">
        <v>13</v>
      </c>
      <c r="I180" s="8"/>
      <c r="J180" s="2" t="str">
        <f t="shared" si="27"/>
        <v>strcpy(PresetName7,("Komet Concorde 3"));</v>
      </c>
      <c r="K180" s="3">
        <f t="shared" si="28"/>
        <v>127</v>
      </c>
    </row>
    <row r="181" spans="1:11" customFormat="1">
      <c r="A181">
        <v>177</v>
      </c>
      <c r="B181" t="s">
        <v>849</v>
      </c>
      <c r="C181" s="1">
        <v>177</v>
      </c>
      <c r="D181" s="1" t="str">
        <f t="shared" si="21"/>
        <v>strcpy(PresetName7,("&lt;EMPTY&gt;"));</v>
      </c>
      <c r="E181" s="1" t="s">
        <v>18</v>
      </c>
      <c r="F181" t="s">
        <v>26</v>
      </c>
      <c r="G181" t="s">
        <v>13</v>
      </c>
      <c r="H181" s="1" t="s">
        <v>13</v>
      </c>
      <c r="I181" s="8"/>
      <c r="J181" s="2" t="str">
        <f t="shared" si="27"/>
        <v>strcpy(PresetName8,("Tucana blues 1"));</v>
      </c>
      <c r="K181" s="3">
        <f t="shared" si="28"/>
        <v>128</v>
      </c>
    </row>
    <row r="182" spans="1:11" customFormat="1">
      <c r="A182">
        <v>178</v>
      </c>
      <c r="B182" t="s">
        <v>849</v>
      </c>
      <c r="C182" s="1">
        <v>178</v>
      </c>
      <c r="D182" s="1" t="str">
        <f t="shared" si="21"/>
        <v>strcpy(PresetName8,("&lt;EMPTY&gt;"));</v>
      </c>
      <c r="E182" s="1" t="s">
        <v>18</v>
      </c>
      <c r="F182" t="s">
        <v>27</v>
      </c>
      <c r="G182" t="s">
        <v>13</v>
      </c>
      <c r="H182" s="1" t="s">
        <v>13</v>
      </c>
      <c r="I182" s="8"/>
      <c r="J182" s="2" t="str">
        <f t="shared" si="27"/>
        <v>strcpy(PresetName9,("Tucana blues 2"));</v>
      </c>
      <c r="K182" s="3">
        <f t="shared" si="28"/>
        <v>129</v>
      </c>
    </row>
    <row r="183" spans="1:11" customFormat="1">
      <c r="A183">
        <v>179</v>
      </c>
      <c r="B183" t="s">
        <v>849</v>
      </c>
      <c r="C183" s="1">
        <v>179</v>
      </c>
      <c r="D183" s="1" t="str">
        <f t="shared" si="21"/>
        <v>strcpy(PresetName9,("&lt;EMPTY&gt;"));</v>
      </c>
      <c r="E183" s="1" t="s">
        <v>18</v>
      </c>
      <c r="F183" t="s">
        <v>28</v>
      </c>
      <c r="G183" t="s">
        <v>13</v>
      </c>
      <c r="H183" s="1" t="s">
        <v>13</v>
      </c>
      <c r="I183" s="8"/>
      <c r="J183" s="2"/>
      <c r="K183" s="3"/>
    </row>
    <row r="184" spans="1:11" customFormat="1">
      <c r="A184">
        <v>180</v>
      </c>
      <c r="B184" t="s">
        <v>849</v>
      </c>
      <c r="C184" s="1">
        <v>180</v>
      </c>
      <c r="D184" s="1" t="str">
        <f t="shared" si="21"/>
        <v>strcpy(PresetName0,("&lt;EMPTY&gt;"));</v>
      </c>
      <c r="E184" s="1" t="s">
        <v>18</v>
      </c>
      <c r="F184" t="s">
        <v>19</v>
      </c>
      <c r="G184" t="s">
        <v>13</v>
      </c>
      <c r="H184" s="1" t="s">
        <v>13</v>
      </c>
      <c r="I184" s="8"/>
      <c r="J184" s="2" t="s">
        <v>29</v>
      </c>
      <c r="K184" s="3"/>
    </row>
    <row r="185" spans="1:11" customFormat="1">
      <c r="A185">
        <v>181</v>
      </c>
      <c r="B185" t="s">
        <v>849</v>
      </c>
      <c r="C185" s="1">
        <v>181</v>
      </c>
      <c r="D185" s="1" t="str">
        <f t="shared" si="21"/>
        <v>strcpy(PresetName1,("&lt;EMPTY&gt;"));</v>
      </c>
      <c r="E185" s="1" t="s">
        <v>18</v>
      </c>
      <c r="F185" t="s">
        <v>20</v>
      </c>
      <c r="G185" t="s">
        <v>13</v>
      </c>
      <c r="H185" s="1" t="s">
        <v>13</v>
      </c>
      <c r="I185" s="8"/>
      <c r="J185" s="2"/>
      <c r="K185" s="3"/>
    </row>
    <row r="186" spans="1:11" customFormat="1">
      <c r="A186">
        <v>182</v>
      </c>
      <c r="B186" t="s">
        <v>849</v>
      </c>
      <c r="C186" s="1">
        <v>182</v>
      </c>
      <c r="D186" s="1" t="str">
        <f t="shared" si="21"/>
        <v>strcpy(PresetName2,("&lt;EMPTY&gt;"));</v>
      </c>
      <c r="E186" s="1" t="s">
        <v>18</v>
      </c>
      <c r="F186" t="s">
        <v>21</v>
      </c>
      <c r="G186" t="s">
        <v>13</v>
      </c>
      <c r="H186" s="1" t="s">
        <v>13</v>
      </c>
      <c r="I186" s="8"/>
      <c r="J186" s="2" t="str">
        <f xml:space="preserve"> "case "&amp; K186&amp;": "</f>
        <v xml:space="preserve">case 130: </v>
      </c>
      <c r="K186" s="3">
        <f>K172+10</f>
        <v>130</v>
      </c>
    </row>
    <row r="187" spans="1:11" customFormat="1">
      <c r="A187">
        <v>183</v>
      </c>
      <c r="B187" t="s">
        <v>849</v>
      </c>
      <c r="C187" s="1">
        <v>183</v>
      </c>
      <c r="D187" s="1" t="str">
        <f t="shared" si="21"/>
        <v>strcpy(PresetName3,("&lt;EMPTY&gt;"));</v>
      </c>
      <c r="E187" s="1" t="s">
        <v>18</v>
      </c>
      <c r="F187" t="s">
        <v>22</v>
      </c>
      <c r="G187" t="s">
        <v>13</v>
      </c>
      <c r="H187" s="1" t="s">
        <v>13</v>
      </c>
      <c r="I187" s="8"/>
      <c r="J187" s="2" t="str">
        <f t="shared" ref="J187:J196" si="29">VLOOKUP(K187,C:D,2,FALSE)</f>
        <v>strcpy(PresetName0,("Hook blues"));</v>
      </c>
      <c r="K187" s="3">
        <f>K186</f>
        <v>130</v>
      </c>
    </row>
    <row r="188" spans="1:11" customFormat="1">
      <c r="A188">
        <v>184</v>
      </c>
      <c r="B188" t="s">
        <v>849</v>
      </c>
      <c r="C188" s="1">
        <v>184</v>
      </c>
      <c r="D188" s="1" t="str">
        <f t="shared" si="21"/>
        <v>strcpy(PresetName4,("&lt;EMPTY&gt;"));</v>
      </c>
      <c r="E188" s="1" t="s">
        <v>18</v>
      </c>
      <c r="F188" t="s">
        <v>23</v>
      </c>
      <c r="G188" t="s">
        <v>13</v>
      </c>
      <c r="H188" s="1" t="s">
        <v>13</v>
      </c>
      <c r="I188" s="8"/>
      <c r="J188" s="2" t="str">
        <f t="shared" si="29"/>
        <v>strcpy(PresetName1,("Warm BogFish lead"));</v>
      </c>
      <c r="K188" s="3">
        <f>K187+1</f>
        <v>131</v>
      </c>
    </row>
    <row r="189" spans="1:11" customFormat="1">
      <c r="A189">
        <v>185</v>
      </c>
      <c r="B189" t="s">
        <v>849</v>
      </c>
      <c r="C189" s="1">
        <v>185</v>
      </c>
      <c r="D189" s="1" t="str">
        <f t="shared" si="21"/>
        <v>strcpy(PresetName5,("&lt;EMPTY&gt;"));</v>
      </c>
      <c r="E189" s="1" t="s">
        <v>18</v>
      </c>
      <c r="F189" t="s">
        <v>24</v>
      </c>
      <c r="G189" t="s">
        <v>13</v>
      </c>
      <c r="H189" s="1" t="s">
        <v>13</v>
      </c>
      <c r="I189" s="8"/>
      <c r="J189" s="2" t="str">
        <f t="shared" si="29"/>
        <v>strcpy(PresetName2,("5F1 Tweed EC"));</v>
      </c>
      <c r="K189" s="3">
        <f t="shared" ref="K189:K196" si="30">K188+1</f>
        <v>132</v>
      </c>
    </row>
    <row r="190" spans="1:11" customFormat="1">
      <c r="A190">
        <v>186</v>
      </c>
      <c r="B190" t="s">
        <v>849</v>
      </c>
      <c r="C190" s="1">
        <v>186</v>
      </c>
      <c r="D190" s="1" t="str">
        <f t="shared" si="21"/>
        <v>strcpy(PresetName6,("&lt;EMPTY&gt;"));</v>
      </c>
      <c r="E190" s="1" t="s">
        <v>18</v>
      </c>
      <c r="F190" t="s">
        <v>25</v>
      </c>
      <c r="G190" t="s">
        <v>13</v>
      </c>
      <c r="H190" s="1" t="s">
        <v>13</v>
      </c>
      <c r="I190" s="8"/>
      <c r="J190" s="2" t="str">
        <f t="shared" si="29"/>
        <v>strcpy(PresetName3,("Blues Jr Fat"));</v>
      </c>
      <c r="K190" s="3">
        <f t="shared" si="30"/>
        <v>133</v>
      </c>
    </row>
    <row r="191" spans="1:11" customFormat="1">
      <c r="A191">
        <v>187</v>
      </c>
      <c r="B191" t="s">
        <v>849</v>
      </c>
      <c r="C191" s="1">
        <v>187</v>
      </c>
      <c r="D191" s="1" t="str">
        <f t="shared" si="21"/>
        <v>strcpy(PresetName7,("&lt;EMPTY&gt;"));</v>
      </c>
      <c r="E191" s="1" t="s">
        <v>18</v>
      </c>
      <c r="F191" t="s">
        <v>26</v>
      </c>
      <c r="G191" t="s">
        <v>13</v>
      </c>
      <c r="H191" s="1" t="s">
        <v>13</v>
      </c>
      <c r="I191" s="8"/>
      <c r="J191" s="2" t="str">
        <f t="shared" si="29"/>
        <v>strcpy(PresetName4,("Texas Blues - Lonestar"));</v>
      </c>
      <c r="K191" s="3">
        <f t="shared" si="30"/>
        <v>134</v>
      </c>
    </row>
    <row r="192" spans="1:11" customFormat="1">
      <c r="A192">
        <v>188</v>
      </c>
      <c r="B192" t="s">
        <v>849</v>
      </c>
      <c r="C192" s="1">
        <v>188</v>
      </c>
      <c r="D192" s="1" t="str">
        <f t="shared" si="21"/>
        <v>strcpy(PresetName8,("&lt;EMPTY&gt;"));</v>
      </c>
      <c r="E192" s="1" t="s">
        <v>18</v>
      </c>
      <c r="F192" t="s">
        <v>27</v>
      </c>
      <c r="G192" t="s">
        <v>13</v>
      </c>
      <c r="H192" s="1" t="s">
        <v>13</v>
      </c>
      <c r="I192" s="8"/>
      <c r="J192" s="2" t="str">
        <f t="shared" si="29"/>
        <v>strcpy(PresetName5,("Texas Blues - Vibroking"));</v>
      </c>
      <c r="K192" s="3">
        <f t="shared" si="30"/>
        <v>135</v>
      </c>
    </row>
    <row r="193" spans="1:11" customFormat="1">
      <c r="A193">
        <v>189</v>
      </c>
      <c r="B193" t="s">
        <v>849</v>
      </c>
      <c r="C193" s="1">
        <v>189</v>
      </c>
      <c r="D193" s="1" t="str">
        <f t="shared" si="21"/>
        <v>strcpy(PresetName9,("&lt;EMPTY&gt;"));</v>
      </c>
      <c r="E193" s="1" t="s">
        <v>18</v>
      </c>
      <c r="F193" t="s">
        <v>28</v>
      </c>
      <c r="G193" t="s">
        <v>13</v>
      </c>
      <c r="H193" s="1" t="s">
        <v>13</v>
      </c>
      <c r="I193" s="8"/>
      <c r="J193" s="2" t="str">
        <f t="shared" si="29"/>
        <v>strcpy(PresetName6,("Texas Blues - VibratoVerb"));</v>
      </c>
      <c r="K193" s="3">
        <f t="shared" si="30"/>
        <v>136</v>
      </c>
    </row>
    <row r="194" spans="1:11" customFormat="1">
      <c r="A194">
        <v>190</v>
      </c>
      <c r="B194" t="s">
        <v>849</v>
      </c>
      <c r="C194" s="1">
        <v>190</v>
      </c>
      <c r="D194" s="1" t="str">
        <f t="shared" si="21"/>
        <v>strcpy(PresetName0,("&lt;EMPTY&gt;"));</v>
      </c>
      <c r="E194" s="1" t="s">
        <v>18</v>
      </c>
      <c r="F194" t="s">
        <v>19</v>
      </c>
      <c r="G194" t="s">
        <v>13</v>
      </c>
      <c r="H194" s="1" t="s">
        <v>13</v>
      </c>
      <c r="I194" s="8"/>
      <c r="J194" s="2" t="str">
        <f t="shared" si="29"/>
        <v>strcpy(PresetName7,("Texas Blues - Bandmaster"));</v>
      </c>
      <c r="K194" s="3">
        <f t="shared" si="30"/>
        <v>137</v>
      </c>
    </row>
    <row r="195" spans="1:11" customFormat="1">
      <c r="A195">
        <v>191</v>
      </c>
      <c r="B195" t="s">
        <v>849</v>
      </c>
      <c r="C195" s="1">
        <v>191</v>
      </c>
      <c r="D195" s="1" t="str">
        <f t="shared" si="21"/>
        <v>strcpy(PresetName1,("&lt;EMPTY&gt;"));</v>
      </c>
      <c r="E195" s="1" t="s">
        <v>18</v>
      </c>
      <c r="F195" t="s">
        <v>20</v>
      </c>
      <c r="G195" t="s">
        <v>13</v>
      </c>
      <c r="H195" s="1" t="s">
        <v>13</v>
      </c>
      <c r="I195" s="8"/>
      <c r="J195" s="2" t="str">
        <f t="shared" si="29"/>
        <v>strcpy(PresetName8,("Texas Blues - Super Reverb"));</v>
      </c>
      <c r="K195" s="3">
        <f t="shared" si="30"/>
        <v>138</v>
      </c>
    </row>
    <row r="196" spans="1:11" customFormat="1">
      <c r="A196">
        <v>192</v>
      </c>
      <c r="B196" t="s">
        <v>849</v>
      </c>
      <c r="C196" s="1">
        <v>192</v>
      </c>
      <c r="D196" s="1" t="str">
        <f t="shared" ref="D196:D259" si="31">E196&amp;F196&amp;","&amp;"("&amp;G196&amp;B196&amp;H196&amp;"))"&amp;";"</f>
        <v>strcpy(PresetName2,("&lt;EMPTY&gt;"));</v>
      </c>
      <c r="E196" s="1" t="s">
        <v>18</v>
      </c>
      <c r="F196" t="s">
        <v>21</v>
      </c>
      <c r="G196" t="s">
        <v>13</v>
      </c>
      <c r="H196" s="1" t="s">
        <v>13</v>
      </c>
      <c r="I196" s="8"/>
      <c r="J196" s="2" t="str">
        <f t="shared" si="29"/>
        <v>strcpy(PresetName9,("Texas Blues - Princeton"));</v>
      </c>
      <c r="K196" s="3">
        <f t="shared" si="30"/>
        <v>139</v>
      </c>
    </row>
    <row r="197" spans="1:11" customFormat="1">
      <c r="A197">
        <v>193</v>
      </c>
      <c r="B197" t="s">
        <v>849</v>
      </c>
      <c r="C197" s="1">
        <v>193</v>
      </c>
      <c r="D197" s="1" t="str">
        <f t="shared" si="31"/>
        <v>strcpy(PresetName3,("&lt;EMPTY&gt;"));</v>
      </c>
      <c r="E197" s="1" t="s">
        <v>18</v>
      </c>
      <c r="F197" t="s">
        <v>22</v>
      </c>
      <c r="G197" t="s">
        <v>13</v>
      </c>
      <c r="H197" s="1" t="s">
        <v>13</v>
      </c>
      <c r="I197" s="8"/>
      <c r="J197" s="2"/>
      <c r="K197" s="3"/>
    </row>
    <row r="198" spans="1:11" customFormat="1">
      <c r="A198">
        <v>194</v>
      </c>
      <c r="B198" t="s">
        <v>849</v>
      </c>
      <c r="C198" s="1">
        <v>194</v>
      </c>
      <c r="D198" s="1" t="str">
        <f t="shared" si="31"/>
        <v>strcpy(PresetName4,("&lt;EMPTY&gt;"));</v>
      </c>
      <c r="E198" s="1" t="s">
        <v>18</v>
      </c>
      <c r="F198" t="s">
        <v>23</v>
      </c>
      <c r="G198" t="s">
        <v>13</v>
      </c>
      <c r="H198" s="1" t="s">
        <v>13</v>
      </c>
      <c r="I198" s="8"/>
      <c r="J198" s="2" t="s">
        <v>29</v>
      </c>
      <c r="K198" s="3"/>
    </row>
    <row r="199" spans="1:11" customFormat="1">
      <c r="A199">
        <v>195</v>
      </c>
      <c r="B199" t="s">
        <v>849</v>
      </c>
      <c r="C199" s="1">
        <v>195</v>
      </c>
      <c r="D199" s="1" t="str">
        <f t="shared" si="31"/>
        <v>strcpy(PresetName5,("&lt;EMPTY&gt;"));</v>
      </c>
      <c r="E199" s="1" t="s">
        <v>18</v>
      </c>
      <c r="F199" t="s">
        <v>24</v>
      </c>
      <c r="G199" t="s">
        <v>13</v>
      </c>
      <c r="H199" s="1" t="s">
        <v>13</v>
      </c>
      <c r="I199" s="8"/>
      <c r="J199" s="2"/>
      <c r="K199" s="3"/>
    </row>
    <row r="200" spans="1:11" customFormat="1">
      <c r="A200">
        <v>196</v>
      </c>
      <c r="B200" t="s">
        <v>849</v>
      </c>
      <c r="C200" s="1">
        <v>196</v>
      </c>
      <c r="D200" s="1" t="str">
        <f t="shared" si="31"/>
        <v>strcpy(PresetName6,("&lt;EMPTY&gt;"));</v>
      </c>
      <c r="E200" s="1" t="s">
        <v>18</v>
      </c>
      <c r="F200" t="s">
        <v>25</v>
      </c>
      <c r="G200" t="s">
        <v>13</v>
      </c>
      <c r="H200" s="1" t="s">
        <v>13</v>
      </c>
      <c r="I200" s="8"/>
      <c r="J200" s="2" t="str">
        <f xml:space="preserve"> "case "&amp; K200&amp;": "</f>
        <v xml:space="preserve">case 140: </v>
      </c>
      <c r="K200" s="3">
        <f>K186+10</f>
        <v>140</v>
      </c>
    </row>
    <row r="201" spans="1:11" customFormat="1">
      <c r="A201">
        <v>197</v>
      </c>
      <c r="B201" t="s">
        <v>849</v>
      </c>
      <c r="C201" s="1">
        <v>197</v>
      </c>
      <c r="D201" s="1" t="str">
        <f t="shared" si="31"/>
        <v>strcpy(PresetName7,("&lt;EMPTY&gt;"));</v>
      </c>
      <c r="E201" s="1" t="s">
        <v>18</v>
      </c>
      <c r="F201" t="s">
        <v>26</v>
      </c>
      <c r="G201" t="s">
        <v>13</v>
      </c>
      <c r="H201" s="1" t="s">
        <v>13</v>
      </c>
      <c r="I201" s="8"/>
      <c r="J201" s="2" t="str">
        <f t="shared" ref="J201:J210" si="32">VLOOKUP(K201,C:D,2,FALSE)</f>
        <v>strcpy(PresetName0,("Texas Blues - Dr Z"));</v>
      </c>
      <c r="K201" s="3">
        <f>K200</f>
        <v>140</v>
      </c>
    </row>
    <row r="202" spans="1:11" customFormat="1">
      <c r="A202">
        <v>198</v>
      </c>
      <c r="B202" t="s">
        <v>849</v>
      </c>
      <c r="C202" s="1">
        <v>198</v>
      </c>
      <c r="D202" s="1" t="str">
        <f t="shared" si="31"/>
        <v>strcpy(PresetName8,("&lt;EMPTY&gt;"));</v>
      </c>
      <c r="E202" s="1" t="s">
        <v>18</v>
      </c>
      <c r="F202" t="s">
        <v>27</v>
      </c>
      <c r="G202" t="s">
        <v>13</v>
      </c>
      <c r="H202" s="1" t="s">
        <v>13</v>
      </c>
      <c r="I202" s="8"/>
      <c r="J202" s="2" t="str">
        <f t="shared" si="32"/>
        <v>strcpy(PresetName1,("Texas Blues - Bassman"));</v>
      </c>
      <c r="K202" s="3">
        <f>K201+1</f>
        <v>141</v>
      </c>
    </row>
    <row r="203" spans="1:11" customFormat="1">
      <c r="A203">
        <v>199</v>
      </c>
      <c r="B203" t="s">
        <v>849</v>
      </c>
      <c r="C203" s="1">
        <v>199</v>
      </c>
      <c r="D203" s="1" t="str">
        <f t="shared" si="31"/>
        <v>strcpy(PresetName9,("&lt;EMPTY&gt;"));</v>
      </c>
      <c r="E203" s="1" t="s">
        <v>18</v>
      </c>
      <c r="F203" t="s">
        <v>28</v>
      </c>
      <c r="G203" t="s">
        <v>13</v>
      </c>
      <c r="H203" s="1" t="s">
        <v>13</v>
      </c>
      <c r="I203" s="8"/>
      <c r="J203" s="2" t="str">
        <f t="shared" si="32"/>
        <v>strcpy(PresetName2,("Dirty tweed"));</v>
      </c>
      <c r="K203" s="3">
        <f t="shared" ref="K203:K210" si="33">K202+1</f>
        <v>142</v>
      </c>
    </row>
    <row r="204" spans="1:11" customFormat="1">
      <c r="A204">
        <v>200</v>
      </c>
      <c r="B204" t="s">
        <v>849</v>
      </c>
      <c r="C204" s="1">
        <v>200</v>
      </c>
      <c r="D204" s="1" t="str">
        <f t="shared" si="31"/>
        <v>strcpy(PresetName0,("&lt;EMPTY&gt;"));</v>
      </c>
      <c r="E204" s="1" t="s">
        <v>18</v>
      </c>
      <c r="F204" t="s">
        <v>19</v>
      </c>
      <c r="G204" t="s">
        <v>13</v>
      </c>
      <c r="H204" s="1" t="s">
        <v>13</v>
      </c>
      <c r="I204" s="8"/>
      <c r="J204" s="2" t="str">
        <f t="shared" si="32"/>
        <v>strcpy(PresetName3,("Andy Little Wing"));</v>
      </c>
      <c r="K204" s="3">
        <f t="shared" si="33"/>
        <v>143</v>
      </c>
    </row>
    <row r="205" spans="1:11" customFormat="1">
      <c r="A205">
        <v>201</v>
      </c>
      <c r="B205" t="s">
        <v>849</v>
      </c>
      <c r="C205" s="1">
        <v>201</v>
      </c>
      <c r="D205" s="1" t="str">
        <f t="shared" si="31"/>
        <v>strcpy(PresetName1,("&lt;EMPTY&gt;"));</v>
      </c>
      <c r="E205" s="1" t="s">
        <v>18</v>
      </c>
      <c r="F205" t="s">
        <v>20</v>
      </c>
      <c r="G205" t="s">
        <v>13</v>
      </c>
      <c r="H205" s="1" t="s">
        <v>13</v>
      </c>
      <c r="I205" s="8"/>
      <c r="J205" s="2" t="str">
        <f t="shared" si="32"/>
        <v>strcpy(PresetName4,("Just one night"));</v>
      </c>
      <c r="K205" s="3">
        <f t="shared" si="33"/>
        <v>144</v>
      </c>
    </row>
    <row r="206" spans="1:11" customFormat="1">
      <c r="A206">
        <v>202</v>
      </c>
      <c r="B206" t="s">
        <v>849</v>
      </c>
      <c r="C206" s="1">
        <v>202</v>
      </c>
      <c r="D206" s="1" t="str">
        <f t="shared" si="31"/>
        <v>strcpy(PresetName2,("&lt;EMPTY&gt;"));</v>
      </c>
      <c r="E206" s="1" t="s">
        <v>18</v>
      </c>
      <c r="F206" t="s">
        <v>21</v>
      </c>
      <c r="G206" t="s">
        <v>13</v>
      </c>
      <c r="H206" s="1" t="s">
        <v>13</v>
      </c>
      <c r="I206" s="8"/>
      <c r="J206" s="2" t="str">
        <f t="shared" si="32"/>
        <v>strcpy(PresetName5,("AC20 crunch"));</v>
      </c>
      <c r="K206" s="3">
        <f t="shared" si="33"/>
        <v>145</v>
      </c>
    </row>
    <row r="207" spans="1:11" customFormat="1">
      <c r="A207">
        <v>203</v>
      </c>
      <c r="B207" t="s">
        <v>849</v>
      </c>
      <c r="C207" s="1">
        <v>203</v>
      </c>
      <c r="D207" s="1" t="str">
        <f t="shared" si="31"/>
        <v>strcpy(PresetName3,("&lt;EMPTY&gt;"));</v>
      </c>
      <c r="E207" s="1" t="s">
        <v>18</v>
      </c>
      <c r="F207" t="s">
        <v>22</v>
      </c>
      <c r="G207" t="s">
        <v>13</v>
      </c>
      <c r="H207" s="1" t="s">
        <v>13</v>
      </c>
      <c r="I207" s="8"/>
      <c r="J207" s="2" t="str">
        <f t="shared" si="32"/>
        <v>strcpy(PresetName6,("AC20 crunch 2"));</v>
      </c>
      <c r="K207" s="3">
        <f t="shared" si="33"/>
        <v>146</v>
      </c>
    </row>
    <row r="208" spans="1:11" customFormat="1">
      <c r="A208">
        <v>204</v>
      </c>
      <c r="B208" t="s">
        <v>849</v>
      </c>
      <c r="C208" s="1">
        <v>204</v>
      </c>
      <c r="D208" s="1" t="str">
        <f t="shared" si="31"/>
        <v>strcpy(PresetName4,("&lt;EMPTY&gt;"));</v>
      </c>
      <c r="E208" s="1" t="s">
        <v>18</v>
      </c>
      <c r="F208" t="s">
        <v>23</v>
      </c>
      <c r="G208" t="s">
        <v>13</v>
      </c>
      <c r="H208" s="1" t="s">
        <v>13</v>
      </c>
      <c r="I208" s="8"/>
      <c r="J208" s="2" t="str">
        <f t="shared" si="32"/>
        <v>strcpy(PresetName7,("AC20 fusion 1"));</v>
      </c>
      <c r="K208" s="3">
        <f t="shared" si="33"/>
        <v>147</v>
      </c>
    </row>
    <row r="209" spans="1:11" customFormat="1">
      <c r="A209">
        <v>205</v>
      </c>
      <c r="B209" t="s">
        <v>849</v>
      </c>
      <c r="C209" s="1">
        <v>205</v>
      </c>
      <c r="D209" s="1" t="str">
        <f t="shared" si="31"/>
        <v>strcpy(PresetName5,("&lt;EMPTY&gt;"));</v>
      </c>
      <c r="E209" s="1" t="s">
        <v>18</v>
      </c>
      <c r="F209" t="s">
        <v>24</v>
      </c>
      <c r="G209" t="s">
        <v>13</v>
      </c>
      <c r="H209" s="1" t="s">
        <v>13</v>
      </c>
      <c r="I209" s="8"/>
      <c r="J209" s="2" t="str">
        <f t="shared" si="32"/>
        <v>strcpy(PresetName8,("AC20 fusion 2"));</v>
      </c>
      <c r="K209" s="3">
        <f t="shared" si="33"/>
        <v>148</v>
      </c>
    </row>
    <row r="210" spans="1:11" customFormat="1">
      <c r="A210">
        <v>206</v>
      </c>
      <c r="B210" t="s">
        <v>849</v>
      </c>
      <c r="C210" s="1">
        <v>206</v>
      </c>
      <c r="D210" s="1" t="str">
        <f t="shared" si="31"/>
        <v>strcpy(PresetName6,("&lt;EMPTY&gt;"));</v>
      </c>
      <c r="E210" s="1" t="s">
        <v>18</v>
      </c>
      <c r="F210" t="s">
        <v>25</v>
      </c>
      <c r="G210" t="s">
        <v>13</v>
      </c>
      <c r="H210" s="1" t="s">
        <v>13</v>
      </c>
      <c r="I210" s="8"/>
      <c r="J210" s="2" t="str">
        <f t="shared" si="32"/>
        <v>strcpy(PresetName9,("AC20 fusion 3"));</v>
      </c>
      <c r="K210" s="3">
        <f t="shared" si="33"/>
        <v>149</v>
      </c>
    </row>
    <row r="211" spans="1:11" customFormat="1">
      <c r="A211">
        <v>207</v>
      </c>
      <c r="B211" t="s">
        <v>849</v>
      </c>
      <c r="C211" s="1">
        <v>207</v>
      </c>
      <c r="D211" s="1" t="str">
        <f t="shared" si="31"/>
        <v>strcpy(PresetName7,("&lt;EMPTY&gt;"));</v>
      </c>
      <c r="E211" s="1" t="s">
        <v>18</v>
      </c>
      <c r="F211" t="s">
        <v>26</v>
      </c>
      <c r="G211" t="s">
        <v>13</v>
      </c>
      <c r="H211" s="1" t="s">
        <v>13</v>
      </c>
      <c r="I211" s="8"/>
      <c r="J211" s="2"/>
      <c r="K211" s="3"/>
    </row>
    <row r="212" spans="1:11" customFormat="1">
      <c r="A212">
        <v>208</v>
      </c>
      <c r="B212" t="s">
        <v>849</v>
      </c>
      <c r="C212" s="1">
        <v>208</v>
      </c>
      <c r="D212" s="1" t="str">
        <f t="shared" si="31"/>
        <v>strcpy(PresetName8,("&lt;EMPTY&gt;"));</v>
      </c>
      <c r="E212" s="1" t="s">
        <v>18</v>
      </c>
      <c r="F212" t="s">
        <v>27</v>
      </c>
      <c r="G212" t="s">
        <v>13</v>
      </c>
      <c r="H212" s="1" t="s">
        <v>13</v>
      </c>
      <c r="I212" s="8"/>
      <c r="J212" s="2" t="s">
        <v>29</v>
      </c>
      <c r="K212" s="3"/>
    </row>
    <row r="213" spans="1:11" customFormat="1">
      <c r="A213">
        <v>209</v>
      </c>
      <c r="B213" t="s">
        <v>849</v>
      </c>
      <c r="C213" s="1">
        <v>209</v>
      </c>
      <c r="D213" s="1" t="str">
        <f t="shared" si="31"/>
        <v>strcpy(PresetName9,("&lt;EMPTY&gt;"));</v>
      </c>
      <c r="E213" s="1" t="s">
        <v>18</v>
      </c>
      <c r="F213" t="s">
        <v>28</v>
      </c>
      <c r="G213" t="s">
        <v>13</v>
      </c>
      <c r="H213" s="1" t="s">
        <v>13</v>
      </c>
      <c r="I213" s="8"/>
      <c r="J213" s="2"/>
      <c r="K213" s="3"/>
    </row>
    <row r="214" spans="1:11" customFormat="1">
      <c r="A214">
        <v>210</v>
      </c>
      <c r="B214" t="s">
        <v>849</v>
      </c>
      <c r="C214" s="1">
        <v>210</v>
      </c>
      <c r="D214" s="1" t="str">
        <f t="shared" si="31"/>
        <v>strcpy(PresetName0,("&lt;EMPTY&gt;"));</v>
      </c>
      <c r="E214" s="1" t="s">
        <v>18</v>
      </c>
      <c r="F214" t="s">
        <v>19</v>
      </c>
      <c r="G214" t="s">
        <v>13</v>
      </c>
      <c r="H214" s="1" t="s">
        <v>13</v>
      </c>
      <c r="I214" s="8"/>
      <c r="J214" s="2" t="str">
        <f xml:space="preserve"> "case "&amp; K214&amp;": "</f>
        <v xml:space="preserve">case 150: </v>
      </c>
      <c r="K214" s="3">
        <f>K200+10</f>
        <v>150</v>
      </c>
    </row>
    <row r="215" spans="1:11" customFormat="1">
      <c r="A215">
        <v>211</v>
      </c>
      <c r="B215" t="s">
        <v>849</v>
      </c>
      <c r="C215" s="1">
        <v>211</v>
      </c>
      <c r="D215" s="1" t="str">
        <f t="shared" si="31"/>
        <v>strcpy(PresetName1,("&lt;EMPTY&gt;"));</v>
      </c>
      <c r="E215" s="1" t="s">
        <v>18</v>
      </c>
      <c r="F215" t="s">
        <v>20</v>
      </c>
      <c r="G215" t="s">
        <v>13</v>
      </c>
      <c r="H215" s="1" t="s">
        <v>13</v>
      </c>
      <c r="I215" s="8"/>
      <c r="J215" s="2" t="str">
        <f t="shared" ref="J215:J224" si="34">VLOOKUP(K215,C:D,2,FALSE)</f>
        <v>strcpy(PresetName0,("Crunchy D30"));</v>
      </c>
      <c r="K215" s="3">
        <f>K214</f>
        <v>150</v>
      </c>
    </row>
    <row r="216" spans="1:11" customFormat="1">
      <c r="A216">
        <v>212</v>
      </c>
      <c r="B216" t="s">
        <v>849</v>
      </c>
      <c r="C216" s="1">
        <v>212</v>
      </c>
      <c r="D216" s="1" t="str">
        <f t="shared" si="31"/>
        <v>strcpy(PresetName2,("&lt;EMPTY&gt;"));</v>
      </c>
      <c r="E216" s="1" t="s">
        <v>18</v>
      </c>
      <c r="F216" t="s">
        <v>21</v>
      </c>
      <c r="G216" t="s">
        <v>13</v>
      </c>
      <c r="H216" s="1" t="s">
        <v>13</v>
      </c>
      <c r="I216" s="8"/>
      <c r="J216" s="2" t="str">
        <f t="shared" si="34"/>
        <v>strcpy(PresetName1,("Div/13 crunch"));</v>
      </c>
      <c r="K216" s="3">
        <f>K215+1</f>
        <v>151</v>
      </c>
    </row>
    <row r="217" spans="1:11" customFormat="1">
      <c r="A217">
        <v>213</v>
      </c>
      <c r="B217" t="s">
        <v>849</v>
      </c>
      <c r="C217" s="1">
        <v>213</v>
      </c>
      <c r="D217" s="1" t="str">
        <f t="shared" si="31"/>
        <v>strcpy(PresetName3,("&lt;EMPTY&gt;"));</v>
      </c>
      <c r="E217" s="1" t="s">
        <v>18</v>
      </c>
      <c r="F217" t="s">
        <v>22</v>
      </c>
      <c r="G217" t="s">
        <v>13</v>
      </c>
      <c r="H217" s="1" t="s">
        <v>13</v>
      </c>
      <c r="I217" s="8"/>
      <c r="J217" s="2" t="str">
        <f t="shared" si="34"/>
        <v>strcpy(PresetName2,("J. Mayer I"));</v>
      </c>
      <c r="K217" s="3">
        <f t="shared" ref="K217:K224" si="35">K216+1</f>
        <v>152</v>
      </c>
    </row>
    <row r="218" spans="1:11" customFormat="1">
      <c r="A218">
        <v>214</v>
      </c>
      <c r="B218" t="s">
        <v>849</v>
      </c>
      <c r="C218" s="1">
        <v>214</v>
      </c>
      <c r="D218" s="1" t="str">
        <f t="shared" si="31"/>
        <v>strcpy(PresetName4,("&lt;EMPTY&gt;"));</v>
      </c>
      <c r="E218" s="1" t="s">
        <v>18</v>
      </c>
      <c r="F218" t="s">
        <v>23</v>
      </c>
      <c r="G218" t="s">
        <v>13</v>
      </c>
      <c r="H218" s="1" t="s">
        <v>13</v>
      </c>
      <c r="I218" s="8"/>
      <c r="J218" s="2" t="str">
        <f t="shared" si="34"/>
        <v>strcpy(PresetName3,("J. Mayer II"));</v>
      </c>
      <c r="K218" s="3">
        <f t="shared" si="35"/>
        <v>153</v>
      </c>
    </row>
    <row r="219" spans="1:11" customFormat="1">
      <c r="A219">
        <v>215</v>
      </c>
      <c r="B219" t="s">
        <v>849</v>
      </c>
      <c r="C219" s="1">
        <v>215</v>
      </c>
      <c r="D219" s="1" t="str">
        <f t="shared" si="31"/>
        <v>strcpy(PresetName5,("&lt;EMPTY&gt;"));</v>
      </c>
      <c r="E219" s="1" t="s">
        <v>18</v>
      </c>
      <c r="F219" t="s">
        <v>24</v>
      </c>
      <c r="G219" t="s">
        <v>13</v>
      </c>
      <c r="H219" s="1" t="s">
        <v>13</v>
      </c>
      <c r="I219" s="8"/>
      <c r="J219" s="2" t="str">
        <f t="shared" si="34"/>
        <v>strcpy(PresetName4,("&lt;EMPTY&gt;"));</v>
      </c>
      <c r="K219" s="3">
        <f t="shared" si="35"/>
        <v>154</v>
      </c>
    </row>
    <row r="220" spans="1:11" customFormat="1">
      <c r="A220">
        <v>216</v>
      </c>
      <c r="B220" t="s">
        <v>849</v>
      </c>
      <c r="C220" s="1">
        <v>216</v>
      </c>
      <c r="D220" s="1" t="str">
        <f t="shared" si="31"/>
        <v>strcpy(PresetName6,("&lt;EMPTY&gt;"));</v>
      </c>
      <c r="E220" s="1" t="s">
        <v>18</v>
      </c>
      <c r="F220" t="s">
        <v>25</v>
      </c>
      <c r="G220" t="s">
        <v>13</v>
      </c>
      <c r="H220" s="1" t="s">
        <v>13</v>
      </c>
      <c r="I220" s="8"/>
      <c r="J220" s="2" t="str">
        <f t="shared" si="34"/>
        <v>strcpy(PresetName5,("&lt;EMPTY&gt;"));</v>
      </c>
      <c r="K220" s="3">
        <f t="shared" si="35"/>
        <v>155</v>
      </c>
    </row>
    <row r="221" spans="1:11" customFormat="1">
      <c r="A221">
        <v>217</v>
      </c>
      <c r="B221" t="s">
        <v>849</v>
      </c>
      <c r="C221" s="1">
        <v>217</v>
      </c>
      <c r="D221" s="1" t="str">
        <f t="shared" si="31"/>
        <v>strcpy(PresetName7,("&lt;EMPTY&gt;"));</v>
      </c>
      <c r="E221" s="1" t="s">
        <v>18</v>
      </c>
      <c r="F221" t="s">
        <v>26</v>
      </c>
      <c r="G221" t="s">
        <v>13</v>
      </c>
      <c r="H221" s="1" t="s">
        <v>13</v>
      </c>
      <c r="I221" s="8"/>
      <c r="J221" s="2" t="str">
        <f t="shared" si="34"/>
        <v>strcpy(PresetName6,("&lt;EMPTY&gt;"));</v>
      </c>
      <c r="K221" s="3">
        <f t="shared" si="35"/>
        <v>156</v>
      </c>
    </row>
    <row r="222" spans="1:11" customFormat="1">
      <c r="A222">
        <v>218</v>
      </c>
      <c r="B222" t="s">
        <v>849</v>
      </c>
      <c r="C222" s="1">
        <v>218</v>
      </c>
      <c r="D222" s="1" t="str">
        <f t="shared" si="31"/>
        <v>strcpy(PresetName8,("&lt;EMPTY&gt;"));</v>
      </c>
      <c r="E222" s="1" t="s">
        <v>18</v>
      </c>
      <c r="F222" t="s">
        <v>27</v>
      </c>
      <c r="G222" t="s">
        <v>13</v>
      </c>
      <c r="H222" s="1" t="s">
        <v>13</v>
      </c>
      <c r="I222" s="8"/>
      <c r="J222" s="2" t="str">
        <f t="shared" si="34"/>
        <v>strcpy(PresetName7,("&lt;EMPTY&gt;"));</v>
      </c>
      <c r="K222" s="3">
        <f t="shared" si="35"/>
        <v>157</v>
      </c>
    </row>
    <row r="223" spans="1:11" customFormat="1">
      <c r="A223">
        <v>219</v>
      </c>
      <c r="B223" t="s">
        <v>849</v>
      </c>
      <c r="C223" s="1">
        <v>219</v>
      </c>
      <c r="D223" s="1" t="str">
        <f t="shared" si="31"/>
        <v>strcpy(PresetName9,("&lt;EMPTY&gt;"));</v>
      </c>
      <c r="E223" s="1" t="s">
        <v>18</v>
      </c>
      <c r="F223" t="s">
        <v>28</v>
      </c>
      <c r="G223" t="s">
        <v>13</v>
      </c>
      <c r="H223" s="1" t="s">
        <v>13</v>
      </c>
      <c r="I223" s="8"/>
      <c r="J223" s="2" t="str">
        <f t="shared" si="34"/>
        <v>strcpy(PresetName8,("&lt;EMPTY&gt;"));</v>
      </c>
      <c r="K223" s="3">
        <f t="shared" si="35"/>
        <v>158</v>
      </c>
    </row>
    <row r="224" spans="1:11" customFormat="1">
      <c r="A224">
        <v>220</v>
      </c>
      <c r="B224" t="s">
        <v>849</v>
      </c>
      <c r="C224" s="1">
        <v>220</v>
      </c>
      <c r="D224" s="1" t="str">
        <f t="shared" si="31"/>
        <v>strcpy(PresetName0,("&lt;EMPTY&gt;"));</v>
      </c>
      <c r="E224" s="1" t="s">
        <v>18</v>
      </c>
      <c r="F224" t="s">
        <v>19</v>
      </c>
      <c r="G224" t="s">
        <v>13</v>
      </c>
      <c r="H224" s="1" t="s">
        <v>13</v>
      </c>
      <c r="I224" s="8"/>
      <c r="J224" s="2" t="str">
        <f t="shared" si="34"/>
        <v>strcpy(PresetName9,("&lt;EMPTY&gt;"));</v>
      </c>
      <c r="K224" s="3">
        <f t="shared" si="35"/>
        <v>159</v>
      </c>
    </row>
    <row r="225" spans="1:11" customFormat="1">
      <c r="A225">
        <v>221</v>
      </c>
      <c r="B225" t="s">
        <v>849</v>
      </c>
      <c r="C225" s="1">
        <v>221</v>
      </c>
      <c r="D225" s="1" t="str">
        <f t="shared" si="31"/>
        <v>strcpy(PresetName1,("&lt;EMPTY&gt;"));</v>
      </c>
      <c r="E225" s="1" t="s">
        <v>18</v>
      </c>
      <c r="F225" t="s">
        <v>20</v>
      </c>
      <c r="G225" t="s">
        <v>13</v>
      </c>
      <c r="H225" s="1" t="s">
        <v>13</v>
      </c>
      <c r="I225" s="8"/>
      <c r="J225" s="2"/>
      <c r="K225" s="3"/>
    </row>
    <row r="226" spans="1:11" customFormat="1">
      <c r="A226">
        <v>222</v>
      </c>
      <c r="B226" t="s">
        <v>849</v>
      </c>
      <c r="C226" s="1">
        <v>222</v>
      </c>
      <c r="D226" s="1" t="str">
        <f t="shared" si="31"/>
        <v>strcpy(PresetName2,("&lt;EMPTY&gt;"));</v>
      </c>
      <c r="E226" s="1" t="s">
        <v>18</v>
      </c>
      <c r="F226" t="s">
        <v>21</v>
      </c>
      <c r="G226" t="s">
        <v>13</v>
      </c>
      <c r="H226" s="1" t="s">
        <v>13</v>
      </c>
      <c r="I226" s="8"/>
      <c r="J226" s="2" t="s">
        <v>29</v>
      </c>
      <c r="K226" s="3"/>
    </row>
    <row r="227" spans="1:11" customFormat="1">
      <c r="A227">
        <v>223</v>
      </c>
      <c r="B227" t="s">
        <v>849</v>
      </c>
      <c r="C227" s="1">
        <v>223</v>
      </c>
      <c r="D227" s="1" t="str">
        <f t="shared" si="31"/>
        <v>strcpy(PresetName3,("&lt;EMPTY&gt;"));</v>
      </c>
      <c r="E227" s="1" t="s">
        <v>18</v>
      </c>
      <c r="F227" t="s">
        <v>22</v>
      </c>
      <c r="G227" t="s">
        <v>13</v>
      </c>
      <c r="H227" s="1" t="s">
        <v>13</v>
      </c>
      <c r="I227" s="8"/>
      <c r="J227" s="2"/>
      <c r="K227" s="3"/>
    </row>
    <row r="228" spans="1:11" customFormat="1">
      <c r="A228">
        <v>224</v>
      </c>
      <c r="B228" t="s">
        <v>849</v>
      </c>
      <c r="C228" s="1">
        <v>224</v>
      </c>
      <c r="D228" s="1" t="str">
        <f t="shared" si="31"/>
        <v>strcpy(PresetName4,("&lt;EMPTY&gt;"));</v>
      </c>
      <c r="E228" s="1" t="s">
        <v>18</v>
      </c>
      <c r="F228" t="s">
        <v>23</v>
      </c>
      <c r="G228" t="s">
        <v>13</v>
      </c>
      <c r="H228" s="1" t="s">
        <v>13</v>
      </c>
      <c r="I228" s="8"/>
      <c r="J228" s="2" t="str">
        <f xml:space="preserve"> "case "&amp; K228&amp;": "</f>
        <v xml:space="preserve">case 160: </v>
      </c>
      <c r="K228" s="3">
        <f>K214+10</f>
        <v>160</v>
      </c>
    </row>
    <row r="229" spans="1:11" customFormat="1">
      <c r="A229">
        <v>225</v>
      </c>
      <c r="B229" t="s">
        <v>849</v>
      </c>
      <c r="C229" s="1">
        <v>225</v>
      </c>
      <c r="D229" s="1" t="str">
        <f t="shared" si="31"/>
        <v>strcpy(PresetName5,("&lt;EMPTY&gt;"));</v>
      </c>
      <c r="E229" s="1" t="s">
        <v>18</v>
      </c>
      <c r="F229" t="s">
        <v>24</v>
      </c>
      <c r="G229" t="s">
        <v>13</v>
      </c>
      <c r="H229" s="1" t="s">
        <v>13</v>
      </c>
      <c r="I229" s="8"/>
      <c r="J229" s="2" t="str">
        <f t="shared" ref="J229:J238" si="36">VLOOKUP(K229,C:D,2,FALSE)</f>
        <v>strcpy(PresetName0,("&lt;EMPTY&gt;"));</v>
      </c>
      <c r="K229" s="3">
        <f>K228</f>
        <v>160</v>
      </c>
    </row>
    <row r="230" spans="1:11" customFormat="1">
      <c r="A230">
        <v>226</v>
      </c>
      <c r="B230" t="s">
        <v>849</v>
      </c>
      <c r="C230" s="1">
        <v>226</v>
      </c>
      <c r="D230" s="1" t="str">
        <f t="shared" si="31"/>
        <v>strcpy(PresetName6,("&lt;EMPTY&gt;"));</v>
      </c>
      <c r="E230" s="1" t="s">
        <v>18</v>
      </c>
      <c r="F230" t="s">
        <v>25</v>
      </c>
      <c r="G230" t="s">
        <v>13</v>
      </c>
      <c r="H230" s="1" t="s">
        <v>13</v>
      </c>
      <c r="I230" s="8"/>
      <c r="J230" s="2" t="str">
        <f t="shared" si="36"/>
        <v>strcpy(PresetName1,("&lt;EMPTY&gt;"));</v>
      </c>
      <c r="K230" s="3">
        <f>K229+1</f>
        <v>161</v>
      </c>
    </row>
    <row r="231" spans="1:11" customFormat="1">
      <c r="A231">
        <v>227</v>
      </c>
      <c r="B231" t="s">
        <v>849</v>
      </c>
      <c r="C231" s="1">
        <v>227</v>
      </c>
      <c r="D231" s="1" t="str">
        <f t="shared" si="31"/>
        <v>strcpy(PresetName7,("&lt;EMPTY&gt;"));</v>
      </c>
      <c r="E231" s="1" t="s">
        <v>18</v>
      </c>
      <c r="F231" t="s">
        <v>26</v>
      </c>
      <c r="G231" t="s">
        <v>13</v>
      </c>
      <c r="H231" s="1" t="s">
        <v>13</v>
      </c>
      <c r="I231" s="8"/>
      <c r="J231" s="2" t="str">
        <f t="shared" si="36"/>
        <v>strcpy(PresetName2,("&lt;EMPTY&gt;"));</v>
      </c>
      <c r="K231" s="3">
        <f t="shared" ref="K231:K238" si="37">K230+1</f>
        <v>162</v>
      </c>
    </row>
    <row r="232" spans="1:11" customFormat="1">
      <c r="A232">
        <v>228</v>
      </c>
      <c r="B232" t="s">
        <v>849</v>
      </c>
      <c r="C232" s="1">
        <v>228</v>
      </c>
      <c r="D232" s="1" t="str">
        <f t="shared" si="31"/>
        <v>strcpy(PresetName8,("&lt;EMPTY&gt;"));</v>
      </c>
      <c r="E232" s="1" t="s">
        <v>18</v>
      </c>
      <c r="F232" t="s">
        <v>27</v>
      </c>
      <c r="G232" t="s">
        <v>13</v>
      </c>
      <c r="H232" s="1" t="s">
        <v>13</v>
      </c>
      <c r="I232" s="8"/>
      <c r="J232" s="2" t="str">
        <f t="shared" si="36"/>
        <v>strcpy(PresetName3,("&lt;EMPTY&gt;"));</v>
      </c>
      <c r="K232" s="3">
        <f t="shared" si="37"/>
        <v>163</v>
      </c>
    </row>
    <row r="233" spans="1:11" customFormat="1">
      <c r="A233">
        <v>229</v>
      </c>
      <c r="B233" t="s">
        <v>849</v>
      </c>
      <c r="C233" s="1">
        <v>229</v>
      </c>
      <c r="D233" s="1" t="str">
        <f t="shared" si="31"/>
        <v>strcpy(PresetName9,("&lt;EMPTY&gt;"));</v>
      </c>
      <c r="E233" s="1" t="s">
        <v>18</v>
      </c>
      <c r="F233" t="s">
        <v>28</v>
      </c>
      <c r="G233" t="s">
        <v>13</v>
      </c>
      <c r="H233" s="1" t="s">
        <v>13</v>
      </c>
      <c r="I233" s="8"/>
      <c r="J233" s="2" t="str">
        <f t="shared" si="36"/>
        <v>strcpy(PresetName4,("&lt;EMPTY&gt;"));</v>
      </c>
      <c r="K233" s="3">
        <f t="shared" si="37"/>
        <v>164</v>
      </c>
    </row>
    <row r="234" spans="1:11" customFormat="1">
      <c r="A234">
        <v>230</v>
      </c>
      <c r="B234" t="s">
        <v>849</v>
      </c>
      <c r="C234" s="1">
        <v>230</v>
      </c>
      <c r="D234" s="1" t="str">
        <f t="shared" si="31"/>
        <v>strcpy(PresetName0,("&lt;EMPTY&gt;"));</v>
      </c>
      <c r="E234" s="1" t="s">
        <v>18</v>
      </c>
      <c r="F234" t="s">
        <v>19</v>
      </c>
      <c r="G234" t="s">
        <v>13</v>
      </c>
      <c r="H234" s="1" t="s">
        <v>13</v>
      </c>
      <c r="I234" s="8"/>
      <c r="J234" s="2" t="str">
        <f t="shared" si="36"/>
        <v>strcpy(PresetName5,("&lt;EMPTY&gt;"));</v>
      </c>
      <c r="K234" s="3">
        <f t="shared" si="37"/>
        <v>165</v>
      </c>
    </row>
    <row r="235" spans="1:11" customFormat="1">
      <c r="A235">
        <v>231</v>
      </c>
      <c r="B235" t="s">
        <v>849</v>
      </c>
      <c r="C235" s="1">
        <v>231</v>
      </c>
      <c r="D235" s="1" t="str">
        <f t="shared" si="31"/>
        <v>strcpy(PresetName1,("&lt;EMPTY&gt;"));</v>
      </c>
      <c r="E235" s="1" t="s">
        <v>18</v>
      </c>
      <c r="F235" t="s">
        <v>20</v>
      </c>
      <c r="G235" t="s">
        <v>13</v>
      </c>
      <c r="H235" s="1" t="s">
        <v>13</v>
      </c>
      <c r="I235" s="8"/>
      <c r="J235" s="2" t="str">
        <f t="shared" si="36"/>
        <v>strcpy(PresetName6,("&lt;EMPTY&gt;"));</v>
      </c>
      <c r="K235" s="3">
        <f t="shared" si="37"/>
        <v>166</v>
      </c>
    </row>
    <row r="236" spans="1:11" customFormat="1">
      <c r="A236">
        <v>232</v>
      </c>
      <c r="B236" t="s">
        <v>849</v>
      </c>
      <c r="C236" s="1">
        <v>232</v>
      </c>
      <c r="D236" s="1" t="str">
        <f t="shared" si="31"/>
        <v>strcpy(PresetName2,("&lt;EMPTY&gt;"));</v>
      </c>
      <c r="E236" s="1" t="s">
        <v>18</v>
      </c>
      <c r="F236" t="s">
        <v>21</v>
      </c>
      <c r="G236" t="s">
        <v>13</v>
      </c>
      <c r="H236" s="1" t="s">
        <v>13</v>
      </c>
      <c r="I236" s="8"/>
      <c r="J236" s="2" t="str">
        <f t="shared" si="36"/>
        <v>strcpy(PresetName7,("&lt;EMPTY&gt;"));</v>
      </c>
      <c r="K236" s="3">
        <f t="shared" si="37"/>
        <v>167</v>
      </c>
    </row>
    <row r="237" spans="1:11" customFormat="1">
      <c r="A237">
        <v>233</v>
      </c>
      <c r="B237" t="s">
        <v>849</v>
      </c>
      <c r="C237" s="1">
        <v>233</v>
      </c>
      <c r="D237" s="1" t="str">
        <f t="shared" si="31"/>
        <v>strcpy(PresetName3,("&lt;EMPTY&gt;"));</v>
      </c>
      <c r="E237" s="1" t="s">
        <v>18</v>
      </c>
      <c r="F237" t="s">
        <v>22</v>
      </c>
      <c r="G237" t="s">
        <v>13</v>
      </c>
      <c r="H237" s="1" t="s">
        <v>13</v>
      </c>
      <c r="I237" s="8"/>
      <c r="J237" s="2" t="str">
        <f t="shared" si="36"/>
        <v>strcpy(PresetName8,("&lt;EMPTY&gt;"));</v>
      </c>
      <c r="K237" s="3">
        <f t="shared" si="37"/>
        <v>168</v>
      </c>
    </row>
    <row r="238" spans="1:11" customFormat="1">
      <c r="A238">
        <v>234</v>
      </c>
      <c r="B238" t="s">
        <v>849</v>
      </c>
      <c r="C238" s="1">
        <v>234</v>
      </c>
      <c r="D238" s="1" t="str">
        <f t="shared" si="31"/>
        <v>strcpy(PresetName4,("&lt;EMPTY&gt;"));</v>
      </c>
      <c r="E238" s="1" t="s">
        <v>18</v>
      </c>
      <c r="F238" t="s">
        <v>23</v>
      </c>
      <c r="G238" t="s">
        <v>13</v>
      </c>
      <c r="H238" s="1" t="s">
        <v>13</v>
      </c>
      <c r="I238" s="8"/>
      <c r="J238" s="2" t="str">
        <f t="shared" si="36"/>
        <v>strcpy(PresetName9,("&lt;EMPTY&gt;"));</v>
      </c>
      <c r="K238" s="3">
        <f t="shared" si="37"/>
        <v>169</v>
      </c>
    </row>
    <row r="239" spans="1:11" customFormat="1">
      <c r="A239">
        <v>235</v>
      </c>
      <c r="B239" t="s">
        <v>849</v>
      </c>
      <c r="C239" s="1">
        <v>235</v>
      </c>
      <c r="D239" s="1" t="str">
        <f t="shared" si="31"/>
        <v>strcpy(PresetName5,("&lt;EMPTY&gt;"));</v>
      </c>
      <c r="E239" s="1" t="s">
        <v>18</v>
      </c>
      <c r="F239" t="s">
        <v>24</v>
      </c>
      <c r="G239" t="s">
        <v>13</v>
      </c>
      <c r="H239" s="1" t="s">
        <v>13</v>
      </c>
      <c r="I239" s="8"/>
      <c r="J239" s="2"/>
      <c r="K239" s="3"/>
    </row>
    <row r="240" spans="1:11" customFormat="1">
      <c r="A240">
        <v>236</v>
      </c>
      <c r="B240" t="s">
        <v>849</v>
      </c>
      <c r="C240" s="1">
        <v>236</v>
      </c>
      <c r="D240" s="1" t="str">
        <f t="shared" si="31"/>
        <v>strcpy(PresetName6,("&lt;EMPTY&gt;"));</v>
      </c>
      <c r="E240" s="1" t="s">
        <v>18</v>
      </c>
      <c r="F240" t="s">
        <v>25</v>
      </c>
      <c r="G240" t="s">
        <v>13</v>
      </c>
      <c r="H240" s="1" t="s">
        <v>13</v>
      </c>
      <c r="I240" s="8"/>
      <c r="J240" s="2" t="s">
        <v>29</v>
      </c>
      <c r="K240" s="3"/>
    </row>
    <row r="241" spans="1:11" customFormat="1">
      <c r="A241">
        <v>237</v>
      </c>
      <c r="B241" t="s">
        <v>849</v>
      </c>
      <c r="C241" s="1">
        <v>237</v>
      </c>
      <c r="D241" s="1" t="str">
        <f t="shared" si="31"/>
        <v>strcpy(PresetName7,("&lt;EMPTY&gt;"));</v>
      </c>
      <c r="E241" s="1" t="s">
        <v>18</v>
      </c>
      <c r="F241" t="s">
        <v>26</v>
      </c>
      <c r="G241" t="s">
        <v>13</v>
      </c>
      <c r="H241" s="1" t="s">
        <v>13</v>
      </c>
      <c r="I241" s="8"/>
      <c r="J241" s="2"/>
      <c r="K241" s="3"/>
    </row>
    <row r="242" spans="1:11" customFormat="1">
      <c r="A242">
        <v>238</v>
      </c>
      <c r="B242" t="s">
        <v>849</v>
      </c>
      <c r="C242" s="1">
        <v>238</v>
      </c>
      <c r="D242" s="1" t="str">
        <f t="shared" si="31"/>
        <v>strcpy(PresetName8,("&lt;EMPTY&gt;"));</v>
      </c>
      <c r="E242" s="1" t="s">
        <v>18</v>
      </c>
      <c r="F242" t="s">
        <v>27</v>
      </c>
      <c r="G242" t="s">
        <v>13</v>
      </c>
      <c r="H242" s="1" t="s">
        <v>13</v>
      </c>
      <c r="I242" s="8"/>
      <c r="J242" s="2" t="str">
        <f xml:space="preserve"> "case "&amp; K242&amp;": "</f>
        <v xml:space="preserve">case 170: </v>
      </c>
      <c r="K242" s="3">
        <f>K228+10</f>
        <v>170</v>
      </c>
    </row>
    <row r="243" spans="1:11" customFormat="1">
      <c r="A243">
        <v>239</v>
      </c>
      <c r="B243" t="s">
        <v>849</v>
      </c>
      <c r="C243" s="1">
        <v>239</v>
      </c>
      <c r="D243" s="1" t="str">
        <f t="shared" si="31"/>
        <v>strcpy(PresetName9,("&lt;EMPTY&gt;"));</v>
      </c>
      <c r="E243" s="1" t="s">
        <v>18</v>
      </c>
      <c r="F243" t="s">
        <v>28</v>
      </c>
      <c r="G243" t="s">
        <v>13</v>
      </c>
      <c r="H243" s="1" t="s">
        <v>13</v>
      </c>
      <c r="I243" s="8"/>
      <c r="J243" s="2" t="str">
        <f t="shared" ref="J243:J252" si="38">VLOOKUP(K243,C:D,2,FALSE)</f>
        <v>strcpy(PresetName0,("&lt;EMPTY&gt;"));</v>
      </c>
      <c r="K243" s="3">
        <f>K242</f>
        <v>170</v>
      </c>
    </row>
    <row r="244" spans="1:11" customFormat="1">
      <c r="A244">
        <v>240</v>
      </c>
      <c r="B244" t="s">
        <v>849</v>
      </c>
      <c r="C244" s="1">
        <v>240</v>
      </c>
      <c r="D244" s="1" t="str">
        <f t="shared" si="31"/>
        <v>strcpy(PresetName0,("&lt;EMPTY&gt;"));</v>
      </c>
      <c r="E244" s="1" t="s">
        <v>18</v>
      </c>
      <c r="F244" t="s">
        <v>19</v>
      </c>
      <c r="G244" t="s">
        <v>13</v>
      </c>
      <c r="H244" s="1" t="s">
        <v>13</v>
      </c>
      <c r="I244" s="8"/>
      <c r="J244" s="2" t="str">
        <f t="shared" si="38"/>
        <v>strcpy(PresetName1,("&lt;EMPTY&gt;"));</v>
      </c>
      <c r="K244" s="3">
        <f>K243+1</f>
        <v>171</v>
      </c>
    </row>
    <row r="245" spans="1:11" customFormat="1">
      <c r="A245">
        <v>241</v>
      </c>
      <c r="B245" t="s">
        <v>849</v>
      </c>
      <c r="C245" s="1">
        <v>241</v>
      </c>
      <c r="D245" s="1" t="str">
        <f t="shared" si="31"/>
        <v>strcpy(PresetName1,("&lt;EMPTY&gt;"));</v>
      </c>
      <c r="E245" s="1" t="s">
        <v>18</v>
      </c>
      <c r="F245" t="s">
        <v>20</v>
      </c>
      <c r="G245" t="s">
        <v>13</v>
      </c>
      <c r="H245" s="1" t="s">
        <v>13</v>
      </c>
      <c r="I245" s="8"/>
      <c r="J245" s="2" t="str">
        <f t="shared" si="38"/>
        <v>strcpy(PresetName2,("&lt;EMPTY&gt;"));</v>
      </c>
      <c r="K245" s="3">
        <f t="shared" ref="K245:K252" si="39">K244+1</f>
        <v>172</v>
      </c>
    </row>
    <row r="246" spans="1:11" customFormat="1">
      <c r="A246">
        <v>242</v>
      </c>
      <c r="B246" t="s">
        <v>849</v>
      </c>
      <c r="C246" s="1">
        <v>242</v>
      </c>
      <c r="D246" s="1" t="str">
        <f t="shared" si="31"/>
        <v>strcpy(PresetName2,("&lt;EMPTY&gt;"));</v>
      </c>
      <c r="E246" s="1" t="s">
        <v>18</v>
      </c>
      <c r="F246" t="s">
        <v>21</v>
      </c>
      <c r="G246" t="s">
        <v>13</v>
      </c>
      <c r="H246" s="1" t="s">
        <v>13</v>
      </c>
      <c r="I246" s="8"/>
      <c r="J246" s="2" t="str">
        <f t="shared" si="38"/>
        <v>strcpy(PresetName3,("&lt;EMPTY&gt;"));</v>
      </c>
      <c r="K246" s="3">
        <f t="shared" si="39"/>
        <v>173</v>
      </c>
    </row>
    <row r="247" spans="1:11" customFormat="1">
      <c r="A247">
        <v>243</v>
      </c>
      <c r="B247" t="s">
        <v>849</v>
      </c>
      <c r="C247" s="1">
        <v>243</v>
      </c>
      <c r="D247" s="1" t="str">
        <f t="shared" si="31"/>
        <v>strcpy(PresetName3,("&lt;EMPTY&gt;"));</v>
      </c>
      <c r="E247" s="1" t="s">
        <v>18</v>
      </c>
      <c r="F247" t="s">
        <v>22</v>
      </c>
      <c r="G247" t="s">
        <v>13</v>
      </c>
      <c r="H247" s="1" t="s">
        <v>13</v>
      </c>
      <c r="I247" s="8"/>
      <c r="J247" s="2" t="str">
        <f t="shared" si="38"/>
        <v>strcpy(PresetName4,("&lt;EMPTY&gt;"));</v>
      </c>
      <c r="K247" s="3">
        <f t="shared" si="39"/>
        <v>174</v>
      </c>
    </row>
    <row r="248" spans="1:11" customFormat="1">
      <c r="A248">
        <v>244</v>
      </c>
      <c r="B248" t="s">
        <v>849</v>
      </c>
      <c r="C248" s="1">
        <v>244</v>
      </c>
      <c r="D248" s="1" t="str">
        <f t="shared" si="31"/>
        <v>strcpy(PresetName4,("&lt;EMPTY&gt;"));</v>
      </c>
      <c r="E248" s="1" t="s">
        <v>18</v>
      </c>
      <c r="F248" t="s">
        <v>23</v>
      </c>
      <c r="G248" t="s">
        <v>13</v>
      </c>
      <c r="H248" s="1" t="s">
        <v>13</v>
      </c>
      <c r="I248" s="8"/>
      <c r="J248" s="2" t="str">
        <f t="shared" si="38"/>
        <v>strcpy(PresetName5,("&lt;EMPTY&gt;"));</v>
      </c>
      <c r="K248" s="3">
        <f t="shared" si="39"/>
        <v>175</v>
      </c>
    </row>
    <row r="249" spans="1:11" customFormat="1">
      <c r="A249">
        <v>245</v>
      </c>
      <c r="B249" t="s">
        <v>849</v>
      </c>
      <c r="C249" s="1">
        <v>245</v>
      </c>
      <c r="D249" s="1" t="str">
        <f t="shared" si="31"/>
        <v>strcpy(PresetName5,("&lt;EMPTY&gt;"));</v>
      </c>
      <c r="E249" s="1" t="s">
        <v>18</v>
      </c>
      <c r="F249" t="s">
        <v>24</v>
      </c>
      <c r="G249" t="s">
        <v>13</v>
      </c>
      <c r="H249" s="1" t="s">
        <v>13</v>
      </c>
      <c r="I249" s="8"/>
      <c r="J249" s="2" t="str">
        <f t="shared" si="38"/>
        <v>strcpy(PresetName6,("&lt;EMPTY&gt;"));</v>
      </c>
      <c r="K249" s="3">
        <f t="shared" si="39"/>
        <v>176</v>
      </c>
    </row>
    <row r="250" spans="1:11" customFormat="1">
      <c r="A250">
        <v>246</v>
      </c>
      <c r="B250" t="s">
        <v>849</v>
      </c>
      <c r="C250" s="1">
        <v>246</v>
      </c>
      <c r="D250" s="1" t="str">
        <f t="shared" si="31"/>
        <v>strcpy(PresetName6,("&lt;EMPTY&gt;"));</v>
      </c>
      <c r="E250" s="1" t="s">
        <v>18</v>
      </c>
      <c r="F250" t="s">
        <v>25</v>
      </c>
      <c r="G250" t="s">
        <v>13</v>
      </c>
      <c r="H250" s="1" t="s">
        <v>13</v>
      </c>
      <c r="I250" s="8"/>
      <c r="J250" s="2" t="str">
        <f t="shared" si="38"/>
        <v>strcpy(PresetName7,("&lt;EMPTY&gt;"));</v>
      </c>
      <c r="K250" s="3">
        <f t="shared" si="39"/>
        <v>177</v>
      </c>
    </row>
    <row r="251" spans="1:11" customFormat="1">
      <c r="A251">
        <v>247</v>
      </c>
      <c r="B251" t="s">
        <v>849</v>
      </c>
      <c r="C251" s="1">
        <v>247</v>
      </c>
      <c r="D251" s="1" t="str">
        <f t="shared" si="31"/>
        <v>strcpy(PresetName7,("&lt;EMPTY&gt;"));</v>
      </c>
      <c r="E251" s="1" t="s">
        <v>18</v>
      </c>
      <c r="F251" t="s">
        <v>26</v>
      </c>
      <c r="G251" t="s">
        <v>13</v>
      </c>
      <c r="H251" s="1" t="s">
        <v>13</v>
      </c>
      <c r="I251" s="8"/>
      <c r="J251" s="2" t="str">
        <f t="shared" si="38"/>
        <v>strcpy(PresetName8,("&lt;EMPTY&gt;"));</v>
      </c>
      <c r="K251" s="3">
        <f t="shared" si="39"/>
        <v>178</v>
      </c>
    </row>
    <row r="252" spans="1:11" customFormat="1">
      <c r="A252">
        <v>248</v>
      </c>
      <c r="B252" t="s">
        <v>849</v>
      </c>
      <c r="C252" s="1">
        <v>248</v>
      </c>
      <c r="D252" s="1" t="str">
        <f t="shared" si="31"/>
        <v>strcpy(PresetName8,("&lt;EMPTY&gt;"));</v>
      </c>
      <c r="E252" s="1" t="s">
        <v>18</v>
      </c>
      <c r="F252" t="s">
        <v>27</v>
      </c>
      <c r="G252" t="s">
        <v>13</v>
      </c>
      <c r="H252" s="1" t="s">
        <v>13</v>
      </c>
      <c r="I252" s="8"/>
      <c r="J252" s="2" t="str">
        <f t="shared" si="38"/>
        <v>strcpy(PresetName9,("&lt;EMPTY&gt;"));</v>
      </c>
      <c r="K252" s="3">
        <f t="shared" si="39"/>
        <v>179</v>
      </c>
    </row>
    <row r="253" spans="1:11" customFormat="1">
      <c r="A253">
        <v>249</v>
      </c>
      <c r="B253" t="s">
        <v>849</v>
      </c>
      <c r="C253" s="1">
        <v>249</v>
      </c>
      <c r="D253" s="1" t="str">
        <f t="shared" si="31"/>
        <v>strcpy(PresetName9,("&lt;EMPTY&gt;"));</v>
      </c>
      <c r="E253" s="1" t="s">
        <v>18</v>
      </c>
      <c r="F253" t="s">
        <v>28</v>
      </c>
      <c r="G253" t="s">
        <v>13</v>
      </c>
      <c r="H253" s="1" t="s">
        <v>13</v>
      </c>
      <c r="I253" s="8"/>
      <c r="J253" s="2"/>
      <c r="K253" s="3"/>
    </row>
    <row r="254" spans="1:11" customFormat="1">
      <c r="A254">
        <v>250</v>
      </c>
      <c r="B254" t="s">
        <v>849</v>
      </c>
      <c r="C254" s="1">
        <v>250</v>
      </c>
      <c r="D254" s="1" t="str">
        <f t="shared" si="31"/>
        <v>strcpy(PresetName0,("&lt;EMPTY&gt;"));</v>
      </c>
      <c r="E254" s="1" t="s">
        <v>18</v>
      </c>
      <c r="F254" t="s">
        <v>19</v>
      </c>
      <c r="G254" t="s">
        <v>13</v>
      </c>
      <c r="H254" s="1" t="s">
        <v>13</v>
      </c>
      <c r="I254" s="8"/>
      <c r="J254" s="2" t="s">
        <v>29</v>
      </c>
      <c r="K254" s="3"/>
    </row>
    <row r="255" spans="1:11" customFormat="1">
      <c r="A255">
        <v>251</v>
      </c>
      <c r="B255" t="s">
        <v>849</v>
      </c>
      <c r="C255" s="1">
        <v>251</v>
      </c>
      <c r="D255" s="1" t="str">
        <f t="shared" si="31"/>
        <v>strcpy(PresetName1,("&lt;EMPTY&gt;"));</v>
      </c>
      <c r="E255" s="1" t="s">
        <v>18</v>
      </c>
      <c r="F255" t="s">
        <v>20</v>
      </c>
      <c r="G255" t="s">
        <v>13</v>
      </c>
      <c r="H255" s="1" t="s">
        <v>13</v>
      </c>
      <c r="I255" s="8"/>
      <c r="J255" s="2"/>
      <c r="K255" s="3"/>
    </row>
    <row r="256" spans="1:11" customFormat="1">
      <c r="A256">
        <v>252</v>
      </c>
      <c r="B256" t="s">
        <v>849</v>
      </c>
      <c r="C256" s="1">
        <v>252</v>
      </c>
      <c r="D256" s="1" t="str">
        <f t="shared" si="31"/>
        <v>strcpy(PresetName2,("&lt;EMPTY&gt;"));</v>
      </c>
      <c r="E256" s="1" t="s">
        <v>18</v>
      </c>
      <c r="F256" t="s">
        <v>21</v>
      </c>
      <c r="G256" t="s">
        <v>13</v>
      </c>
      <c r="H256" s="1" t="s">
        <v>13</v>
      </c>
      <c r="I256" s="8"/>
      <c r="J256" s="2" t="str">
        <f xml:space="preserve"> "case "&amp; K256&amp;": "</f>
        <v xml:space="preserve">case 180: </v>
      </c>
      <c r="K256" s="3">
        <f>K242+10</f>
        <v>180</v>
      </c>
    </row>
    <row r="257" spans="1:11" customFormat="1">
      <c r="A257">
        <v>253</v>
      </c>
      <c r="B257" t="s">
        <v>849</v>
      </c>
      <c r="C257" s="1">
        <v>253</v>
      </c>
      <c r="D257" s="1" t="str">
        <f t="shared" si="31"/>
        <v>strcpy(PresetName3,("&lt;EMPTY&gt;"));</v>
      </c>
      <c r="E257" s="1" t="s">
        <v>18</v>
      </c>
      <c r="F257" t="s">
        <v>22</v>
      </c>
      <c r="G257" t="s">
        <v>13</v>
      </c>
      <c r="H257" s="1" t="s">
        <v>13</v>
      </c>
      <c r="I257" s="8"/>
      <c r="J257" s="2" t="str">
        <f t="shared" ref="J257:J266" si="40">VLOOKUP(K257,C:D,2,FALSE)</f>
        <v>strcpy(PresetName0,("&lt;EMPTY&gt;"));</v>
      </c>
      <c r="K257" s="3">
        <f>K256</f>
        <v>180</v>
      </c>
    </row>
    <row r="258" spans="1:11" customFormat="1">
      <c r="A258">
        <v>254</v>
      </c>
      <c r="B258" t="s">
        <v>849</v>
      </c>
      <c r="C258" s="1">
        <v>254</v>
      </c>
      <c r="D258" s="1" t="str">
        <f t="shared" si="31"/>
        <v>strcpy(PresetName4,("&lt;EMPTY&gt;"));</v>
      </c>
      <c r="E258" s="1" t="s">
        <v>18</v>
      </c>
      <c r="F258" t="s">
        <v>23</v>
      </c>
      <c r="G258" t="s">
        <v>13</v>
      </c>
      <c r="H258" s="1" t="s">
        <v>13</v>
      </c>
      <c r="I258" s="8"/>
      <c r="J258" s="2" t="str">
        <f t="shared" si="40"/>
        <v>strcpy(PresetName1,("&lt;EMPTY&gt;"));</v>
      </c>
      <c r="K258" s="3">
        <f>K257+1</f>
        <v>181</v>
      </c>
    </row>
    <row r="259" spans="1:11" customFormat="1">
      <c r="A259">
        <v>255</v>
      </c>
      <c r="B259" t="s">
        <v>849</v>
      </c>
      <c r="C259" s="1">
        <v>255</v>
      </c>
      <c r="D259" s="1" t="str">
        <f t="shared" si="31"/>
        <v>strcpy(PresetName5,("&lt;EMPTY&gt;"));</v>
      </c>
      <c r="E259" s="1" t="s">
        <v>18</v>
      </c>
      <c r="F259" t="s">
        <v>24</v>
      </c>
      <c r="G259" t="s">
        <v>13</v>
      </c>
      <c r="H259" s="1" t="s">
        <v>13</v>
      </c>
      <c r="I259" s="8"/>
      <c r="J259" s="2" t="str">
        <f t="shared" si="40"/>
        <v>strcpy(PresetName2,("&lt;EMPTY&gt;"));</v>
      </c>
      <c r="K259" s="3">
        <f t="shared" ref="K259:K266" si="41">K258+1</f>
        <v>182</v>
      </c>
    </row>
    <row r="260" spans="1:11" customFormat="1">
      <c r="A260">
        <v>256</v>
      </c>
      <c r="B260" t="s">
        <v>849</v>
      </c>
      <c r="C260" s="1">
        <v>256</v>
      </c>
      <c r="D260" s="1" t="str">
        <f t="shared" ref="D260:D323" si="42">E260&amp;F260&amp;","&amp;"("&amp;G260&amp;B260&amp;H260&amp;"))"&amp;";"</f>
        <v>strcpy(PresetName6,("&lt;EMPTY&gt;"));</v>
      </c>
      <c r="E260" s="1" t="s">
        <v>18</v>
      </c>
      <c r="F260" t="s">
        <v>25</v>
      </c>
      <c r="G260" t="s">
        <v>13</v>
      </c>
      <c r="H260" s="1" t="s">
        <v>13</v>
      </c>
      <c r="I260" s="8"/>
      <c r="J260" s="2" t="str">
        <f t="shared" si="40"/>
        <v>strcpy(PresetName3,("&lt;EMPTY&gt;"));</v>
      </c>
      <c r="K260" s="3">
        <f t="shared" si="41"/>
        <v>183</v>
      </c>
    </row>
    <row r="261" spans="1:11" customFormat="1">
      <c r="A261">
        <v>257</v>
      </c>
      <c r="B261" t="s">
        <v>849</v>
      </c>
      <c r="C261" s="1">
        <v>257</v>
      </c>
      <c r="D261" s="1" t="str">
        <f t="shared" si="42"/>
        <v>strcpy(PresetName7,("&lt;EMPTY&gt;"));</v>
      </c>
      <c r="E261" s="1" t="s">
        <v>18</v>
      </c>
      <c r="F261" t="s">
        <v>26</v>
      </c>
      <c r="G261" t="s">
        <v>13</v>
      </c>
      <c r="H261" s="1" t="s">
        <v>13</v>
      </c>
      <c r="I261" s="8"/>
      <c r="J261" s="2" t="str">
        <f t="shared" si="40"/>
        <v>strcpy(PresetName4,("&lt;EMPTY&gt;"));</v>
      </c>
      <c r="K261" s="3">
        <f t="shared" si="41"/>
        <v>184</v>
      </c>
    </row>
    <row r="262" spans="1:11" customFormat="1">
      <c r="A262">
        <v>258</v>
      </c>
      <c r="B262" t="s">
        <v>849</v>
      </c>
      <c r="C262" s="1">
        <v>258</v>
      </c>
      <c r="D262" s="1" t="str">
        <f t="shared" si="42"/>
        <v>strcpy(PresetName8,("&lt;EMPTY&gt;"));</v>
      </c>
      <c r="E262" s="1" t="s">
        <v>18</v>
      </c>
      <c r="F262" t="s">
        <v>27</v>
      </c>
      <c r="G262" t="s">
        <v>13</v>
      </c>
      <c r="H262" s="1" t="s">
        <v>13</v>
      </c>
      <c r="I262" s="8"/>
      <c r="J262" s="2" t="str">
        <f t="shared" si="40"/>
        <v>strcpy(PresetName5,("&lt;EMPTY&gt;"));</v>
      </c>
      <c r="K262" s="3">
        <f t="shared" si="41"/>
        <v>185</v>
      </c>
    </row>
    <row r="263" spans="1:11" customFormat="1">
      <c r="A263">
        <v>259</v>
      </c>
      <c r="B263" t="s">
        <v>849</v>
      </c>
      <c r="C263" s="1">
        <v>259</v>
      </c>
      <c r="D263" s="1" t="str">
        <f t="shared" si="42"/>
        <v>strcpy(PresetName9,("&lt;EMPTY&gt;"));</v>
      </c>
      <c r="E263" s="1" t="s">
        <v>18</v>
      </c>
      <c r="F263" t="s">
        <v>28</v>
      </c>
      <c r="G263" t="s">
        <v>13</v>
      </c>
      <c r="H263" s="1" t="s">
        <v>13</v>
      </c>
      <c r="I263" s="8"/>
      <c r="J263" s="2" t="str">
        <f t="shared" si="40"/>
        <v>strcpy(PresetName6,("&lt;EMPTY&gt;"));</v>
      </c>
      <c r="K263" s="3">
        <f t="shared" si="41"/>
        <v>186</v>
      </c>
    </row>
    <row r="264" spans="1:11" customFormat="1">
      <c r="A264">
        <v>260</v>
      </c>
      <c r="B264" t="s">
        <v>849</v>
      </c>
      <c r="C264" s="1">
        <v>260</v>
      </c>
      <c r="D264" s="1" t="str">
        <f t="shared" si="42"/>
        <v>strcpy(PresetName0,("&lt;EMPTY&gt;"));</v>
      </c>
      <c r="E264" s="1" t="s">
        <v>18</v>
      </c>
      <c r="F264" t="s">
        <v>19</v>
      </c>
      <c r="G264" t="s">
        <v>13</v>
      </c>
      <c r="H264" s="1" t="s">
        <v>13</v>
      </c>
      <c r="I264" s="8"/>
      <c r="J264" s="2" t="str">
        <f t="shared" si="40"/>
        <v>strcpy(PresetName7,("&lt;EMPTY&gt;"));</v>
      </c>
      <c r="K264" s="3">
        <f t="shared" si="41"/>
        <v>187</v>
      </c>
    </row>
    <row r="265" spans="1:11" customFormat="1">
      <c r="A265">
        <v>261</v>
      </c>
      <c r="B265" t="s">
        <v>849</v>
      </c>
      <c r="C265" s="1">
        <v>261</v>
      </c>
      <c r="D265" s="1" t="str">
        <f t="shared" si="42"/>
        <v>strcpy(PresetName1,("&lt;EMPTY&gt;"));</v>
      </c>
      <c r="E265" s="1" t="s">
        <v>18</v>
      </c>
      <c r="F265" t="s">
        <v>20</v>
      </c>
      <c r="G265" t="s">
        <v>13</v>
      </c>
      <c r="H265" s="1" t="s">
        <v>13</v>
      </c>
      <c r="I265" s="8"/>
      <c r="J265" s="2" t="str">
        <f t="shared" si="40"/>
        <v>strcpy(PresetName8,("&lt;EMPTY&gt;"));</v>
      </c>
      <c r="K265" s="3">
        <f t="shared" si="41"/>
        <v>188</v>
      </c>
    </row>
    <row r="266" spans="1:11" customFormat="1">
      <c r="A266">
        <v>262</v>
      </c>
      <c r="B266" t="s">
        <v>849</v>
      </c>
      <c r="C266" s="1">
        <v>262</v>
      </c>
      <c r="D266" s="1" t="str">
        <f t="shared" si="42"/>
        <v>strcpy(PresetName2,("&lt;EMPTY&gt;"));</v>
      </c>
      <c r="E266" s="1" t="s">
        <v>18</v>
      </c>
      <c r="F266" t="s">
        <v>21</v>
      </c>
      <c r="G266" t="s">
        <v>13</v>
      </c>
      <c r="H266" s="1" t="s">
        <v>13</v>
      </c>
      <c r="I266" s="8"/>
      <c r="J266" s="2" t="str">
        <f t="shared" si="40"/>
        <v>strcpy(PresetName9,("&lt;EMPTY&gt;"));</v>
      </c>
      <c r="K266" s="3">
        <f t="shared" si="41"/>
        <v>189</v>
      </c>
    </row>
    <row r="267" spans="1:11" customFormat="1">
      <c r="A267">
        <v>263</v>
      </c>
      <c r="B267" t="s">
        <v>849</v>
      </c>
      <c r="C267" s="1">
        <v>263</v>
      </c>
      <c r="D267" s="1" t="str">
        <f t="shared" si="42"/>
        <v>strcpy(PresetName3,("&lt;EMPTY&gt;"));</v>
      </c>
      <c r="E267" s="1" t="s">
        <v>18</v>
      </c>
      <c r="F267" t="s">
        <v>22</v>
      </c>
      <c r="G267" t="s">
        <v>13</v>
      </c>
      <c r="H267" s="1" t="s">
        <v>13</v>
      </c>
      <c r="I267" s="8"/>
      <c r="J267" s="2"/>
      <c r="K267" s="3"/>
    </row>
    <row r="268" spans="1:11" customFormat="1">
      <c r="A268">
        <v>264</v>
      </c>
      <c r="B268" t="s">
        <v>849</v>
      </c>
      <c r="C268" s="1">
        <v>264</v>
      </c>
      <c r="D268" s="1" t="str">
        <f t="shared" si="42"/>
        <v>strcpy(PresetName4,("&lt;EMPTY&gt;"));</v>
      </c>
      <c r="E268" s="1" t="s">
        <v>18</v>
      </c>
      <c r="F268" t="s">
        <v>23</v>
      </c>
      <c r="G268" t="s">
        <v>13</v>
      </c>
      <c r="H268" s="1" t="s">
        <v>13</v>
      </c>
      <c r="I268" s="8"/>
      <c r="J268" s="2" t="s">
        <v>29</v>
      </c>
      <c r="K268" s="3"/>
    </row>
    <row r="269" spans="1:11" customFormat="1">
      <c r="A269">
        <v>265</v>
      </c>
      <c r="B269" t="s">
        <v>849</v>
      </c>
      <c r="C269" s="1">
        <v>265</v>
      </c>
      <c r="D269" s="1" t="str">
        <f t="shared" si="42"/>
        <v>strcpy(PresetName5,("&lt;EMPTY&gt;"));</v>
      </c>
      <c r="E269" s="1" t="s">
        <v>18</v>
      </c>
      <c r="F269" t="s">
        <v>24</v>
      </c>
      <c r="G269" t="s">
        <v>13</v>
      </c>
      <c r="H269" s="1" t="s">
        <v>13</v>
      </c>
      <c r="I269" s="8"/>
      <c r="J269" s="2"/>
      <c r="K269" s="3"/>
    </row>
    <row r="270" spans="1:11" customFormat="1">
      <c r="A270">
        <v>266</v>
      </c>
      <c r="B270" t="s">
        <v>849</v>
      </c>
      <c r="C270" s="1">
        <v>266</v>
      </c>
      <c r="D270" s="1" t="str">
        <f t="shared" si="42"/>
        <v>strcpy(PresetName6,("&lt;EMPTY&gt;"));</v>
      </c>
      <c r="E270" s="1" t="s">
        <v>18</v>
      </c>
      <c r="F270" t="s">
        <v>25</v>
      </c>
      <c r="G270" t="s">
        <v>13</v>
      </c>
      <c r="H270" s="1" t="s">
        <v>13</v>
      </c>
      <c r="I270" s="8"/>
      <c r="J270" s="2" t="str">
        <f xml:space="preserve"> "case "&amp; K270&amp;": "</f>
        <v xml:space="preserve">case 190: </v>
      </c>
      <c r="K270" s="3">
        <f>K256+10</f>
        <v>190</v>
      </c>
    </row>
    <row r="271" spans="1:11" customFormat="1">
      <c r="A271">
        <v>267</v>
      </c>
      <c r="B271" t="s">
        <v>849</v>
      </c>
      <c r="C271" s="1">
        <v>267</v>
      </c>
      <c r="D271" s="1" t="str">
        <f t="shared" si="42"/>
        <v>strcpy(PresetName7,("&lt;EMPTY&gt;"));</v>
      </c>
      <c r="E271" s="1" t="s">
        <v>18</v>
      </c>
      <c r="F271" t="s">
        <v>26</v>
      </c>
      <c r="G271" t="s">
        <v>13</v>
      </c>
      <c r="H271" s="1" t="s">
        <v>13</v>
      </c>
      <c r="I271" s="8"/>
      <c r="J271" s="2" t="str">
        <f t="shared" ref="J271:J280" si="43">VLOOKUP(K271,C:D,2,FALSE)</f>
        <v>strcpy(PresetName0,("&lt;EMPTY&gt;"));</v>
      </c>
      <c r="K271" s="3">
        <f>K270</f>
        <v>190</v>
      </c>
    </row>
    <row r="272" spans="1:11" customFormat="1">
      <c r="A272">
        <v>268</v>
      </c>
      <c r="B272" t="s">
        <v>849</v>
      </c>
      <c r="C272" s="1">
        <v>268</v>
      </c>
      <c r="D272" s="1" t="str">
        <f t="shared" si="42"/>
        <v>strcpy(PresetName8,("&lt;EMPTY&gt;"));</v>
      </c>
      <c r="E272" s="1" t="s">
        <v>18</v>
      </c>
      <c r="F272" t="s">
        <v>27</v>
      </c>
      <c r="G272" t="s">
        <v>13</v>
      </c>
      <c r="H272" s="1" t="s">
        <v>13</v>
      </c>
      <c r="I272" s="8"/>
      <c r="J272" s="2" t="str">
        <f t="shared" si="43"/>
        <v>strcpy(PresetName1,("&lt;EMPTY&gt;"));</v>
      </c>
      <c r="K272" s="3">
        <f>K271+1</f>
        <v>191</v>
      </c>
    </row>
    <row r="273" spans="1:11" customFormat="1">
      <c r="A273">
        <v>269</v>
      </c>
      <c r="B273" t="s">
        <v>849</v>
      </c>
      <c r="C273" s="1">
        <v>269</v>
      </c>
      <c r="D273" s="1" t="str">
        <f t="shared" si="42"/>
        <v>strcpy(PresetName9,("&lt;EMPTY&gt;"));</v>
      </c>
      <c r="E273" s="1" t="s">
        <v>18</v>
      </c>
      <c r="F273" t="s">
        <v>28</v>
      </c>
      <c r="G273" t="s">
        <v>13</v>
      </c>
      <c r="H273" s="1" t="s">
        <v>13</v>
      </c>
      <c r="I273" s="8"/>
      <c r="J273" s="2" t="str">
        <f t="shared" si="43"/>
        <v>strcpy(PresetName2,("&lt;EMPTY&gt;"));</v>
      </c>
      <c r="K273" s="3">
        <f t="shared" ref="K273:K280" si="44">K272+1</f>
        <v>192</v>
      </c>
    </row>
    <row r="274" spans="1:11" customFormat="1">
      <c r="A274">
        <v>270</v>
      </c>
      <c r="B274" t="s">
        <v>849</v>
      </c>
      <c r="C274" s="1">
        <v>270</v>
      </c>
      <c r="D274" s="1" t="str">
        <f t="shared" si="42"/>
        <v>strcpy(PresetName0,("&lt;EMPTY&gt;"));</v>
      </c>
      <c r="E274" s="1" t="s">
        <v>18</v>
      </c>
      <c r="F274" t="s">
        <v>19</v>
      </c>
      <c r="G274" t="s">
        <v>13</v>
      </c>
      <c r="H274" s="1" t="s">
        <v>13</v>
      </c>
      <c r="I274" s="8"/>
      <c r="J274" s="2" t="str">
        <f t="shared" si="43"/>
        <v>strcpy(PresetName3,("&lt;EMPTY&gt;"));</v>
      </c>
      <c r="K274" s="3">
        <f t="shared" si="44"/>
        <v>193</v>
      </c>
    </row>
    <row r="275" spans="1:11" customFormat="1">
      <c r="A275">
        <v>271</v>
      </c>
      <c r="B275" t="s">
        <v>849</v>
      </c>
      <c r="C275" s="1">
        <v>271</v>
      </c>
      <c r="D275" s="1" t="str">
        <f t="shared" si="42"/>
        <v>strcpy(PresetName1,("&lt;EMPTY&gt;"));</v>
      </c>
      <c r="E275" s="1" t="s">
        <v>18</v>
      </c>
      <c r="F275" t="s">
        <v>20</v>
      </c>
      <c r="G275" t="s">
        <v>13</v>
      </c>
      <c r="H275" s="1" t="s">
        <v>13</v>
      </c>
      <c r="I275" s="8"/>
      <c r="J275" s="2" t="str">
        <f t="shared" si="43"/>
        <v>strcpy(PresetName4,("&lt;EMPTY&gt;"));</v>
      </c>
      <c r="K275" s="3">
        <f t="shared" si="44"/>
        <v>194</v>
      </c>
    </row>
    <row r="276" spans="1:11" customFormat="1">
      <c r="A276">
        <v>272</v>
      </c>
      <c r="B276" t="s">
        <v>849</v>
      </c>
      <c r="C276" s="1">
        <v>272</v>
      </c>
      <c r="D276" s="1" t="str">
        <f t="shared" si="42"/>
        <v>strcpy(PresetName2,("&lt;EMPTY&gt;"));</v>
      </c>
      <c r="E276" s="1" t="s">
        <v>18</v>
      </c>
      <c r="F276" t="s">
        <v>21</v>
      </c>
      <c r="G276" t="s">
        <v>13</v>
      </c>
      <c r="H276" s="1" t="s">
        <v>13</v>
      </c>
      <c r="I276" s="8"/>
      <c r="J276" s="2" t="str">
        <f t="shared" si="43"/>
        <v>strcpy(PresetName5,("&lt;EMPTY&gt;"));</v>
      </c>
      <c r="K276" s="3">
        <f t="shared" si="44"/>
        <v>195</v>
      </c>
    </row>
    <row r="277" spans="1:11" customFormat="1">
      <c r="A277">
        <v>273</v>
      </c>
      <c r="B277" t="s">
        <v>849</v>
      </c>
      <c r="C277" s="1">
        <v>273</v>
      </c>
      <c r="D277" s="1" t="str">
        <f t="shared" si="42"/>
        <v>strcpy(PresetName3,("&lt;EMPTY&gt;"));</v>
      </c>
      <c r="E277" s="1" t="s">
        <v>18</v>
      </c>
      <c r="F277" t="s">
        <v>22</v>
      </c>
      <c r="G277" t="s">
        <v>13</v>
      </c>
      <c r="H277" s="1" t="s">
        <v>13</v>
      </c>
      <c r="I277" s="8"/>
      <c r="J277" s="2" t="str">
        <f t="shared" si="43"/>
        <v>strcpy(PresetName6,("&lt;EMPTY&gt;"));</v>
      </c>
      <c r="K277" s="3">
        <f t="shared" si="44"/>
        <v>196</v>
      </c>
    </row>
    <row r="278" spans="1:11" customFormat="1">
      <c r="A278">
        <v>274</v>
      </c>
      <c r="B278" t="s">
        <v>849</v>
      </c>
      <c r="C278" s="1">
        <v>274</v>
      </c>
      <c r="D278" s="1" t="str">
        <f t="shared" si="42"/>
        <v>strcpy(PresetName4,("&lt;EMPTY&gt;"));</v>
      </c>
      <c r="E278" s="1" t="s">
        <v>18</v>
      </c>
      <c r="F278" t="s">
        <v>23</v>
      </c>
      <c r="G278" t="s">
        <v>13</v>
      </c>
      <c r="H278" s="1" t="s">
        <v>13</v>
      </c>
      <c r="I278" s="8"/>
      <c r="J278" s="2" t="str">
        <f t="shared" si="43"/>
        <v>strcpy(PresetName7,("&lt;EMPTY&gt;"));</v>
      </c>
      <c r="K278" s="3">
        <f t="shared" si="44"/>
        <v>197</v>
      </c>
    </row>
    <row r="279" spans="1:11" customFormat="1">
      <c r="A279">
        <v>275</v>
      </c>
      <c r="B279" t="s">
        <v>849</v>
      </c>
      <c r="C279" s="1">
        <v>275</v>
      </c>
      <c r="D279" s="1" t="str">
        <f t="shared" si="42"/>
        <v>strcpy(PresetName5,("&lt;EMPTY&gt;"));</v>
      </c>
      <c r="E279" s="1" t="s">
        <v>18</v>
      </c>
      <c r="F279" t="s">
        <v>24</v>
      </c>
      <c r="G279" t="s">
        <v>13</v>
      </c>
      <c r="H279" s="1" t="s">
        <v>13</v>
      </c>
      <c r="I279" s="8"/>
      <c r="J279" s="2" t="str">
        <f t="shared" si="43"/>
        <v>strcpy(PresetName8,("&lt;EMPTY&gt;"));</v>
      </c>
      <c r="K279" s="3">
        <f t="shared" si="44"/>
        <v>198</v>
      </c>
    </row>
    <row r="280" spans="1:11" customFormat="1">
      <c r="A280">
        <v>276</v>
      </c>
      <c r="B280" t="s">
        <v>849</v>
      </c>
      <c r="C280" s="1">
        <v>276</v>
      </c>
      <c r="D280" s="1" t="str">
        <f t="shared" si="42"/>
        <v>strcpy(PresetName6,("&lt;EMPTY&gt;"));</v>
      </c>
      <c r="E280" s="1" t="s">
        <v>18</v>
      </c>
      <c r="F280" t="s">
        <v>25</v>
      </c>
      <c r="G280" t="s">
        <v>13</v>
      </c>
      <c r="H280" s="1" t="s">
        <v>13</v>
      </c>
      <c r="I280" s="8"/>
      <c r="J280" s="2" t="str">
        <f t="shared" si="43"/>
        <v>strcpy(PresetName9,("&lt;EMPTY&gt;"));</v>
      </c>
      <c r="K280" s="3">
        <f t="shared" si="44"/>
        <v>199</v>
      </c>
    </row>
    <row r="281" spans="1:11" customFormat="1">
      <c r="A281">
        <v>277</v>
      </c>
      <c r="B281" t="s">
        <v>849</v>
      </c>
      <c r="C281" s="1">
        <v>277</v>
      </c>
      <c r="D281" s="1" t="str">
        <f t="shared" si="42"/>
        <v>strcpy(PresetName7,("&lt;EMPTY&gt;"));</v>
      </c>
      <c r="E281" s="1" t="s">
        <v>18</v>
      </c>
      <c r="F281" t="s">
        <v>26</v>
      </c>
      <c r="G281" t="s">
        <v>13</v>
      </c>
      <c r="H281" s="1" t="s">
        <v>13</v>
      </c>
      <c r="I281" s="8"/>
      <c r="J281" s="2"/>
      <c r="K281" s="3"/>
    </row>
    <row r="282" spans="1:11" customFormat="1">
      <c r="A282">
        <v>278</v>
      </c>
      <c r="B282" t="s">
        <v>849</v>
      </c>
      <c r="C282" s="1">
        <v>278</v>
      </c>
      <c r="D282" s="1" t="str">
        <f t="shared" si="42"/>
        <v>strcpy(PresetName8,("&lt;EMPTY&gt;"));</v>
      </c>
      <c r="E282" s="1" t="s">
        <v>18</v>
      </c>
      <c r="F282" t="s">
        <v>27</v>
      </c>
      <c r="G282" t="s">
        <v>13</v>
      </c>
      <c r="H282" s="1" t="s">
        <v>13</v>
      </c>
      <c r="I282" s="8"/>
      <c r="J282" s="2" t="s">
        <v>29</v>
      </c>
      <c r="K282" s="3"/>
    </row>
    <row r="283" spans="1:11" customFormat="1">
      <c r="A283">
        <v>279</v>
      </c>
      <c r="B283" t="s">
        <v>849</v>
      </c>
      <c r="C283" s="1">
        <v>279</v>
      </c>
      <c r="D283" s="1" t="str">
        <f t="shared" si="42"/>
        <v>strcpy(PresetName9,("&lt;EMPTY&gt;"));</v>
      </c>
      <c r="E283" s="1" t="s">
        <v>18</v>
      </c>
      <c r="F283" t="s">
        <v>28</v>
      </c>
      <c r="G283" t="s">
        <v>13</v>
      </c>
      <c r="H283" s="1" t="s">
        <v>13</v>
      </c>
      <c r="I283" s="8"/>
      <c r="J283" s="2"/>
      <c r="K283" s="3"/>
    </row>
    <row r="284" spans="1:11" customFormat="1">
      <c r="A284">
        <v>280</v>
      </c>
      <c r="B284" t="s">
        <v>849</v>
      </c>
      <c r="C284" s="1">
        <v>280</v>
      </c>
      <c r="D284" s="1" t="str">
        <f t="shared" si="42"/>
        <v>strcpy(PresetName0,("&lt;EMPTY&gt;"));</v>
      </c>
      <c r="E284" s="1" t="s">
        <v>18</v>
      </c>
      <c r="F284" t="s">
        <v>19</v>
      </c>
      <c r="G284" t="s">
        <v>13</v>
      </c>
      <c r="H284" s="1" t="s">
        <v>13</v>
      </c>
      <c r="I284" s="8"/>
      <c r="J284" s="2" t="str">
        <f xml:space="preserve"> "case "&amp; K284&amp;": "</f>
        <v xml:space="preserve">case 200: </v>
      </c>
      <c r="K284" s="3">
        <f>K270+10</f>
        <v>200</v>
      </c>
    </row>
    <row r="285" spans="1:11" customFormat="1">
      <c r="A285">
        <v>281</v>
      </c>
      <c r="B285" t="s">
        <v>849</v>
      </c>
      <c r="C285" s="1">
        <v>281</v>
      </c>
      <c r="D285" s="1" t="str">
        <f t="shared" si="42"/>
        <v>strcpy(PresetName1,("&lt;EMPTY&gt;"));</v>
      </c>
      <c r="E285" s="1" t="s">
        <v>18</v>
      </c>
      <c r="F285" t="s">
        <v>20</v>
      </c>
      <c r="G285" t="s">
        <v>13</v>
      </c>
      <c r="H285" s="1" t="s">
        <v>13</v>
      </c>
      <c r="I285" s="8"/>
      <c r="J285" s="2" t="str">
        <f t="shared" ref="J285:J294" si="45">VLOOKUP(K285,C:D,2,FALSE)</f>
        <v>strcpy(PresetName0,("&lt;EMPTY&gt;"));</v>
      </c>
      <c r="K285" s="3">
        <f>K284</f>
        <v>200</v>
      </c>
    </row>
    <row r="286" spans="1:11" customFormat="1">
      <c r="A286">
        <v>282</v>
      </c>
      <c r="B286" t="s">
        <v>849</v>
      </c>
      <c r="C286" s="1">
        <v>282</v>
      </c>
      <c r="D286" s="1" t="str">
        <f t="shared" si="42"/>
        <v>strcpy(PresetName2,("&lt;EMPTY&gt;"));</v>
      </c>
      <c r="E286" s="1" t="s">
        <v>18</v>
      </c>
      <c r="F286" t="s">
        <v>21</v>
      </c>
      <c r="G286" t="s">
        <v>13</v>
      </c>
      <c r="H286" s="1" t="s">
        <v>13</v>
      </c>
      <c r="I286" s="8"/>
      <c r="J286" s="2" t="str">
        <f t="shared" si="45"/>
        <v>strcpy(PresetName1,("&lt;EMPTY&gt;"));</v>
      </c>
      <c r="K286" s="3">
        <f>K285+1</f>
        <v>201</v>
      </c>
    </row>
    <row r="287" spans="1:11" customFormat="1">
      <c r="A287">
        <v>283</v>
      </c>
      <c r="B287" t="s">
        <v>849</v>
      </c>
      <c r="C287" s="1">
        <v>283</v>
      </c>
      <c r="D287" s="1" t="str">
        <f t="shared" si="42"/>
        <v>strcpy(PresetName3,("&lt;EMPTY&gt;"));</v>
      </c>
      <c r="E287" s="1" t="s">
        <v>18</v>
      </c>
      <c r="F287" t="s">
        <v>22</v>
      </c>
      <c r="G287" t="s">
        <v>13</v>
      </c>
      <c r="H287" s="1" t="s">
        <v>13</v>
      </c>
      <c r="I287" s="8"/>
      <c r="J287" s="2" t="str">
        <f t="shared" si="45"/>
        <v>strcpy(PresetName2,("&lt;EMPTY&gt;"));</v>
      </c>
      <c r="K287" s="3">
        <f t="shared" ref="K287:K294" si="46">K286+1</f>
        <v>202</v>
      </c>
    </row>
    <row r="288" spans="1:11" customFormat="1">
      <c r="A288">
        <v>284</v>
      </c>
      <c r="B288" t="s">
        <v>849</v>
      </c>
      <c r="C288" s="1">
        <v>284</v>
      </c>
      <c r="D288" s="1" t="str">
        <f t="shared" si="42"/>
        <v>strcpy(PresetName4,("&lt;EMPTY&gt;"));</v>
      </c>
      <c r="E288" s="1" t="s">
        <v>18</v>
      </c>
      <c r="F288" t="s">
        <v>23</v>
      </c>
      <c r="G288" t="s">
        <v>13</v>
      </c>
      <c r="H288" s="1" t="s">
        <v>13</v>
      </c>
      <c r="I288" s="8"/>
      <c r="J288" s="2" t="str">
        <f t="shared" si="45"/>
        <v>strcpy(PresetName3,("&lt;EMPTY&gt;"));</v>
      </c>
      <c r="K288" s="3">
        <f t="shared" si="46"/>
        <v>203</v>
      </c>
    </row>
    <row r="289" spans="1:11" customFormat="1">
      <c r="A289">
        <v>285</v>
      </c>
      <c r="B289" t="s">
        <v>849</v>
      </c>
      <c r="C289" s="1">
        <v>285</v>
      </c>
      <c r="D289" s="1" t="str">
        <f t="shared" si="42"/>
        <v>strcpy(PresetName5,("&lt;EMPTY&gt;"));</v>
      </c>
      <c r="E289" s="1" t="s">
        <v>18</v>
      </c>
      <c r="F289" t="s">
        <v>24</v>
      </c>
      <c r="G289" t="s">
        <v>13</v>
      </c>
      <c r="H289" s="1" t="s">
        <v>13</v>
      </c>
      <c r="I289" s="8"/>
      <c r="J289" s="2" t="str">
        <f t="shared" si="45"/>
        <v>strcpy(PresetName4,("&lt;EMPTY&gt;"));</v>
      </c>
      <c r="K289" s="3">
        <f t="shared" si="46"/>
        <v>204</v>
      </c>
    </row>
    <row r="290" spans="1:11" customFormat="1">
      <c r="A290">
        <v>286</v>
      </c>
      <c r="B290" t="s">
        <v>849</v>
      </c>
      <c r="C290" s="1">
        <v>286</v>
      </c>
      <c r="D290" s="1" t="str">
        <f t="shared" si="42"/>
        <v>strcpy(PresetName6,("&lt;EMPTY&gt;"));</v>
      </c>
      <c r="E290" s="1" t="s">
        <v>18</v>
      </c>
      <c r="F290" t="s">
        <v>25</v>
      </c>
      <c r="G290" t="s">
        <v>13</v>
      </c>
      <c r="H290" s="1" t="s">
        <v>13</v>
      </c>
      <c r="I290" s="8"/>
      <c r="J290" s="2" t="str">
        <f t="shared" si="45"/>
        <v>strcpy(PresetName5,("&lt;EMPTY&gt;"));</v>
      </c>
      <c r="K290" s="3">
        <f t="shared" si="46"/>
        <v>205</v>
      </c>
    </row>
    <row r="291" spans="1:11" customFormat="1">
      <c r="A291">
        <v>287</v>
      </c>
      <c r="B291" t="s">
        <v>849</v>
      </c>
      <c r="C291" s="1">
        <v>287</v>
      </c>
      <c r="D291" s="1" t="str">
        <f t="shared" si="42"/>
        <v>strcpy(PresetName7,("&lt;EMPTY&gt;"));</v>
      </c>
      <c r="E291" s="1" t="s">
        <v>18</v>
      </c>
      <c r="F291" t="s">
        <v>26</v>
      </c>
      <c r="G291" t="s">
        <v>13</v>
      </c>
      <c r="H291" s="1" t="s">
        <v>13</v>
      </c>
      <c r="I291" s="8"/>
      <c r="J291" s="2" t="str">
        <f t="shared" si="45"/>
        <v>strcpy(PresetName6,("&lt;EMPTY&gt;"));</v>
      </c>
      <c r="K291" s="3">
        <f t="shared" si="46"/>
        <v>206</v>
      </c>
    </row>
    <row r="292" spans="1:11" customFormat="1">
      <c r="A292">
        <v>288</v>
      </c>
      <c r="B292" t="s">
        <v>849</v>
      </c>
      <c r="C292" s="1">
        <v>288</v>
      </c>
      <c r="D292" s="1" t="str">
        <f t="shared" si="42"/>
        <v>strcpy(PresetName8,("&lt;EMPTY&gt;"));</v>
      </c>
      <c r="E292" s="1" t="s">
        <v>18</v>
      </c>
      <c r="F292" t="s">
        <v>27</v>
      </c>
      <c r="G292" t="s">
        <v>13</v>
      </c>
      <c r="H292" s="1" t="s">
        <v>13</v>
      </c>
      <c r="I292" s="8"/>
      <c r="J292" s="2" t="str">
        <f t="shared" si="45"/>
        <v>strcpy(PresetName7,("&lt;EMPTY&gt;"));</v>
      </c>
      <c r="K292" s="3">
        <f t="shared" si="46"/>
        <v>207</v>
      </c>
    </row>
    <row r="293" spans="1:11" customFormat="1">
      <c r="A293">
        <v>289</v>
      </c>
      <c r="B293" t="s">
        <v>849</v>
      </c>
      <c r="C293" s="1">
        <v>289</v>
      </c>
      <c r="D293" s="1" t="str">
        <f t="shared" si="42"/>
        <v>strcpy(PresetName9,("&lt;EMPTY&gt;"));</v>
      </c>
      <c r="E293" s="1" t="s">
        <v>18</v>
      </c>
      <c r="F293" t="s">
        <v>28</v>
      </c>
      <c r="G293" t="s">
        <v>13</v>
      </c>
      <c r="H293" s="1" t="s">
        <v>13</v>
      </c>
      <c r="I293" s="8"/>
      <c r="J293" s="2" t="str">
        <f t="shared" si="45"/>
        <v>strcpy(PresetName8,("&lt;EMPTY&gt;"));</v>
      </c>
      <c r="K293" s="3">
        <f t="shared" si="46"/>
        <v>208</v>
      </c>
    </row>
    <row r="294" spans="1:11" customFormat="1">
      <c r="A294">
        <v>290</v>
      </c>
      <c r="B294" t="s">
        <v>849</v>
      </c>
      <c r="C294" s="1">
        <v>290</v>
      </c>
      <c r="D294" s="1" t="str">
        <f t="shared" si="42"/>
        <v>strcpy(PresetName0,("&lt;EMPTY&gt;"));</v>
      </c>
      <c r="E294" s="1" t="s">
        <v>18</v>
      </c>
      <c r="F294" t="s">
        <v>19</v>
      </c>
      <c r="G294" t="s">
        <v>13</v>
      </c>
      <c r="H294" s="1" t="s">
        <v>13</v>
      </c>
      <c r="I294" s="8"/>
      <c r="J294" s="2" t="str">
        <f t="shared" si="45"/>
        <v>strcpy(PresetName9,("&lt;EMPTY&gt;"));</v>
      </c>
      <c r="K294" s="3">
        <f t="shared" si="46"/>
        <v>209</v>
      </c>
    </row>
    <row r="295" spans="1:11" customFormat="1">
      <c r="A295">
        <v>291</v>
      </c>
      <c r="B295" t="s">
        <v>849</v>
      </c>
      <c r="C295" s="1">
        <v>291</v>
      </c>
      <c r="D295" s="1" t="str">
        <f t="shared" si="42"/>
        <v>strcpy(PresetName1,("&lt;EMPTY&gt;"));</v>
      </c>
      <c r="E295" s="1" t="s">
        <v>18</v>
      </c>
      <c r="F295" t="s">
        <v>20</v>
      </c>
      <c r="G295" t="s">
        <v>13</v>
      </c>
      <c r="H295" s="1" t="s">
        <v>13</v>
      </c>
      <c r="I295" s="8"/>
      <c r="J295" s="2"/>
      <c r="K295" s="3"/>
    </row>
    <row r="296" spans="1:11" customFormat="1">
      <c r="A296">
        <v>292</v>
      </c>
      <c r="B296" t="s">
        <v>849</v>
      </c>
      <c r="C296" s="1">
        <v>292</v>
      </c>
      <c r="D296" s="1" t="str">
        <f t="shared" si="42"/>
        <v>strcpy(PresetName2,("&lt;EMPTY&gt;"));</v>
      </c>
      <c r="E296" s="1" t="s">
        <v>18</v>
      </c>
      <c r="F296" t="s">
        <v>21</v>
      </c>
      <c r="G296" t="s">
        <v>13</v>
      </c>
      <c r="H296" s="1" t="s">
        <v>13</v>
      </c>
      <c r="I296" s="8"/>
      <c r="J296" s="2" t="s">
        <v>29</v>
      </c>
      <c r="K296" s="3"/>
    </row>
    <row r="297" spans="1:11" customFormat="1">
      <c r="A297">
        <v>293</v>
      </c>
      <c r="B297" t="s">
        <v>849</v>
      </c>
      <c r="C297" s="1">
        <v>293</v>
      </c>
      <c r="D297" s="1" t="str">
        <f t="shared" si="42"/>
        <v>strcpy(PresetName3,("&lt;EMPTY&gt;"));</v>
      </c>
      <c r="E297" s="1" t="s">
        <v>18</v>
      </c>
      <c r="F297" t="s">
        <v>22</v>
      </c>
      <c r="G297" t="s">
        <v>13</v>
      </c>
      <c r="H297" s="1" t="s">
        <v>13</v>
      </c>
      <c r="I297" s="8"/>
      <c r="J297" s="2"/>
      <c r="K297" s="3"/>
    </row>
    <row r="298" spans="1:11" customFormat="1">
      <c r="A298">
        <v>294</v>
      </c>
      <c r="B298" t="s">
        <v>849</v>
      </c>
      <c r="C298" s="1">
        <v>294</v>
      </c>
      <c r="D298" s="1" t="str">
        <f t="shared" si="42"/>
        <v>strcpy(PresetName4,("&lt;EMPTY&gt;"));</v>
      </c>
      <c r="E298" s="1" t="s">
        <v>18</v>
      </c>
      <c r="F298" t="s">
        <v>23</v>
      </c>
      <c r="G298" t="s">
        <v>13</v>
      </c>
      <c r="H298" s="1" t="s">
        <v>13</v>
      </c>
      <c r="I298" s="8"/>
      <c r="J298" s="2" t="str">
        <f xml:space="preserve"> "case "&amp; K298&amp;": "</f>
        <v xml:space="preserve">case 210: </v>
      </c>
      <c r="K298" s="3">
        <f>K284+10</f>
        <v>210</v>
      </c>
    </row>
    <row r="299" spans="1:11" customFormat="1">
      <c r="A299">
        <v>295</v>
      </c>
      <c r="B299" t="s">
        <v>849</v>
      </c>
      <c r="C299" s="1">
        <v>295</v>
      </c>
      <c r="D299" s="1" t="str">
        <f t="shared" si="42"/>
        <v>strcpy(PresetName5,("&lt;EMPTY&gt;"));</v>
      </c>
      <c r="E299" s="1" t="s">
        <v>18</v>
      </c>
      <c r="F299" t="s">
        <v>24</v>
      </c>
      <c r="G299" t="s">
        <v>13</v>
      </c>
      <c r="H299" s="1" t="s">
        <v>13</v>
      </c>
      <c r="I299" s="8"/>
      <c r="J299" s="2" t="str">
        <f t="shared" ref="J299:J308" si="47">VLOOKUP(K299,C:D,2,FALSE)</f>
        <v>strcpy(PresetName0,("&lt;EMPTY&gt;"));</v>
      </c>
      <c r="K299" s="3">
        <f>K298</f>
        <v>210</v>
      </c>
    </row>
    <row r="300" spans="1:11" customFormat="1">
      <c r="A300">
        <v>296</v>
      </c>
      <c r="B300" t="s">
        <v>849</v>
      </c>
      <c r="C300" s="1">
        <v>296</v>
      </c>
      <c r="D300" s="1" t="str">
        <f t="shared" si="42"/>
        <v>strcpy(PresetName6,("&lt;EMPTY&gt;"));</v>
      </c>
      <c r="E300" s="1" t="s">
        <v>18</v>
      </c>
      <c r="F300" t="s">
        <v>25</v>
      </c>
      <c r="G300" t="s">
        <v>13</v>
      </c>
      <c r="H300" s="1" t="s">
        <v>13</v>
      </c>
      <c r="I300" s="8"/>
      <c r="J300" s="2" t="str">
        <f t="shared" si="47"/>
        <v>strcpy(PresetName1,("&lt;EMPTY&gt;"));</v>
      </c>
      <c r="K300" s="3">
        <f>K299+1</f>
        <v>211</v>
      </c>
    </row>
    <row r="301" spans="1:11" customFormat="1">
      <c r="A301">
        <v>297</v>
      </c>
      <c r="B301" t="s">
        <v>849</v>
      </c>
      <c r="C301" s="1">
        <v>297</v>
      </c>
      <c r="D301" s="1" t="str">
        <f t="shared" si="42"/>
        <v>strcpy(PresetName7,("&lt;EMPTY&gt;"));</v>
      </c>
      <c r="E301" s="1" t="s">
        <v>18</v>
      </c>
      <c r="F301" t="s">
        <v>26</v>
      </c>
      <c r="G301" t="s">
        <v>13</v>
      </c>
      <c r="H301" s="1" t="s">
        <v>13</v>
      </c>
      <c r="I301" s="8"/>
      <c r="J301" s="2" t="str">
        <f t="shared" si="47"/>
        <v>strcpy(PresetName2,("&lt;EMPTY&gt;"));</v>
      </c>
      <c r="K301" s="3">
        <f t="shared" ref="K301:K308" si="48">K300+1</f>
        <v>212</v>
      </c>
    </row>
    <row r="302" spans="1:11" customFormat="1">
      <c r="A302">
        <v>298</v>
      </c>
      <c r="B302" t="s">
        <v>849</v>
      </c>
      <c r="C302" s="1">
        <v>298</v>
      </c>
      <c r="D302" s="1" t="str">
        <f t="shared" si="42"/>
        <v>strcpy(PresetName8,("&lt;EMPTY&gt;"));</v>
      </c>
      <c r="E302" s="1" t="s">
        <v>18</v>
      </c>
      <c r="F302" t="s">
        <v>27</v>
      </c>
      <c r="G302" t="s">
        <v>13</v>
      </c>
      <c r="H302" s="1" t="s">
        <v>13</v>
      </c>
      <c r="I302" s="8"/>
      <c r="J302" s="2" t="str">
        <f t="shared" si="47"/>
        <v>strcpy(PresetName3,("&lt;EMPTY&gt;"));</v>
      </c>
      <c r="K302" s="3">
        <f t="shared" si="48"/>
        <v>213</v>
      </c>
    </row>
    <row r="303" spans="1:11" customFormat="1">
      <c r="A303">
        <v>299</v>
      </c>
      <c r="B303" t="s">
        <v>849</v>
      </c>
      <c r="C303" s="1">
        <v>299</v>
      </c>
      <c r="D303" s="1" t="str">
        <f t="shared" si="42"/>
        <v>strcpy(PresetName9,("&lt;EMPTY&gt;"));</v>
      </c>
      <c r="E303" s="1" t="s">
        <v>18</v>
      </c>
      <c r="F303" t="s">
        <v>28</v>
      </c>
      <c r="G303" t="s">
        <v>13</v>
      </c>
      <c r="H303" s="1" t="s">
        <v>13</v>
      </c>
      <c r="I303" s="8"/>
      <c r="J303" s="2" t="str">
        <f t="shared" si="47"/>
        <v>strcpy(PresetName4,("&lt;EMPTY&gt;"));</v>
      </c>
      <c r="K303" s="3">
        <f t="shared" si="48"/>
        <v>214</v>
      </c>
    </row>
    <row r="304" spans="1:11" customFormat="1">
      <c r="A304">
        <v>300</v>
      </c>
      <c r="B304" t="s">
        <v>849</v>
      </c>
      <c r="C304" s="1">
        <v>300</v>
      </c>
      <c r="D304" s="1" t="str">
        <f t="shared" si="42"/>
        <v>strcpy(PresetName0,("&lt;EMPTY&gt;"));</v>
      </c>
      <c r="E304" s="1" t="s">
        <v>18</v>
      </c>
      <c r="F304" t="s">
        <v>19</v>
      </c>
      <c r="G304" t="s">
        <v>13</v>
      </c>
      <c r="H304" s="1" t="s">
        <v>13</v>
      </c>
      <c r="I304" s="8"/>
      <c r="J304" s="2" t="str">
        <f t="shared" si="47"/>
        <v>strcpy(PresetName5,("&lt;EMPTY&gt;"));</v>
      </c>
      <c r="K304" s="3">
        <f t="shared" si="48"/>
        <v>215</v>
      </c>
    </row>
    <row r="305" spans="1:11" customFormat="1">
      <c r="A305">
        <v>301</v>
      </c>
      <c r="B305" t="s">
        <v>849</v>
      </c>
      <c r="C305" s="1">
        <v>301</v>
      </c>
      <c r="D305" s="1" t="str">
        <f t="shared" si="42"/>
        <v>strcpy(PresetName1,("&lt;EMPTY&gt;"));</v>
      </c>
      <c r="E305" s="1" t="s">
        <v>18</v>
      </c>
      <c r="F305" t="s">
        <v>20</v>
      </c>
      <c r="G305" t="s">
        <v>13</v>
      </c>
      <c r="H305" s="1" t="s">
        <v>13</v>
      </c>
      <c r="I305" s="8"/>
      <c r="J305" s="2" t="str">
        <f t="shared" si="47"/>
        <v>strcpy(PresetName6,("&lt;EMPTY&gt;"));</v>
      </c>
      <c r="K305" s="3">
        <f t="shared" si="48"/>
        <v>216</v>
      </c>
    </row>
    <row r="306" spans="1:11" customFormat="1">
      <c r="A306">
        <v>302</v>
      </c>
      <c r="B306" t="s">
        <v>849</v>
      </c>
      <c r="C306" s="1">
        <v>302</v>
      </c>
      <c r="D306" s="1" t="str">
        <f t="shared" si="42"/>
        <v>strcpy(PresetName2,("&lt;EMPTY&gt;"));</v>
      </c>
      <c r="E306" s="1" t="s">
        <v>18</v>
      </c>
      <c r="F306" t="s">
        <v>21</v>
      </c>
      <c r="G306" t="s">
        <v>13</v>
      </c>
      <c r="H306" s="1" t="s">
        <v>13</v>
      </c>
      <c r="I306" s="8"/>
      <c r="J306" s="2" t="str">
        <f t="shared" si="47"/>
        <v>strcpy(PresetName7,("&lt;EMPTY&gt;"));</v>
      </c>
      <c r="K306" s="3">
        <f t="shared" si="48"/>
        <v>217</v>
      </c>
    </row>
    <row r="307" spans="1:11" customFormat="1">
      <c r="A307">
        <v>303</v>
      </c>
      <c r="B307" t="s">
        <v>849</v>
      </c>
      <c r="C307" s="1">
        <v>303</v>
      </c>
      <c r="D307" s="1" t="str">
        <f t="shared" si="42"/>
        <v>strcpy(PresetName3,("&lt;EMPTY&gt;"));</v>
      </c>
      <c r="E307" s="1" t="s">
        <v>18</v>
      </c>
      <c r="F307" t="s">
        <v>22</v>
      </c>
      <c r="G307" t="s">
        <v>13</v>
      </c>
      <c r="H307" s="1" t="s">
        <v>13</v>
      </c>
      <c r="I307" s="8"/>
      <c r="J307" s="2" t="str">
        <f t="shared" si="47"/>
        <v>strcpy(PresetName8,("&lt;EMPTY&gt;"));</v>
      </c>
      <c r="K307" s="3">
        <f t="shared" si="48"/>
        <v>218</v>
      </c>
    </row>
    <row r="308" spans="1:11" customFormat="1">
      <c r="A308">
        <v>304</v>
      </c>
      <c r="B308" t="s">
        <v>849</v>
      </c>
      <c r="C308" s="1">
        <v>304</v>
      </c>
      <c r="D308" s="1" t="str">
        <f t="shared" si="42"/>
        <v>strcpy(PresetName4,("&lt;EMPTY&gt;"));</v>
      </c>
      <c r="E308" s="1" t="s">
        <v>18</v>
      </c>
      <c r="F308" t="s">
        <v>23</v>
      </c>
      <c r="G308" t="s">
        <v>13</v>
      </c>
      <c r="H308" s="1" t="s">
        <v>13</v>
      </c>
      <c r="I308" s="8"/>
      <c r="J308" s="2" t="str">
        <f t="shared" si="47"/>
        <v>strcpy(PresetName9,("&lt;EMPTY&gt;"));</v>
      </c>
      <c r="K308" s="3">
        <f t="shared" si="48"/>
        <v>219</v>
      </c>
    </row>
    <row r="309" spans="1:11" customFormat="1">
      <c r="A309">
        <v>305</v>
      </c>
      <c r="B309" t="s">
        <v>849</v>
      </c>
      <c r="C309" s="1">
        <v>305</v>
      </c>
      <c r="D309" s="1" t="str">
        <f t="shared" si="42"/>
        <v>strcpy(PresetName5,("&lt;EMPTY&gt;"));</v>
      </c>
      <c r="E309" s="1" t="s">
        <v>18</v>
      </c>
      <c r="F309" t="s">
        <v>24</v>
      </c>
      <c r="G309" t="s">
        <v>13</v>
      </c>
      <c r="H309" s="1" t="s">
        <v>13</v>
      </c>
      <c r="I309" s="8"/>
      <c r="J309" s="2"/>
      <c r="K309" s="3"/>
    </row>
    <row r="310" spans="1:11" customFormat="1">
      <c r="A310">
        <v>306</v>
      </c>
      <c r="B310" t="s">
        <v>849</v>
      </c>
      <c r="C310" s="1">
        <v>306</v>
      </c>
      <c r="D310" s="1" t="str">
        <f t="shared" si="42"/>
        <v>strcpy(PresetName6,("&lt;EMPTY&gt;"));</v>
      </c>
      <c r="E310" s="1" t="s">
        <v>18</v>
      </c>
      <c r="F310" t="s">
        <v>25</v>
      </c>
      <c r="G310" t="s">
        <v>13</v>
      </c>
      <c r="H310" s="1" t="s">
        <v>13</v>
      </c>
      <c r="I310" s="8"/>
      <c r="J310" s="2" t="s">
        <v>29</v>
      </c>
      <c r="K310" s="3"/>
    </row>
    <row r="311" spans="1:11" customFormat="1">
      <c r="A311">
        <v>307</v>
      </c>
      <c r="B311" t="s">
        <v>849</v>
      </c>
      <c r="C311" s="1">
        <v>307</v>
      </c>
      <c r="D311" s="1" t="str">
        <f t="shared" si="42"/>
        <v>strcpy(PresetName7,("&lt;EMPTY&gt;"));</v>
      </c>
      <c r="E311" s="1" t="s">
        <v>18</v>
      </c>
      <c r="F311" t="s">
        <v>26</v>
      </c>
      <c r="G311" t="s">
        <v>13</v>
      </c>
      <c r="H311" s="1" t="s">
        <v>13</v>
      </c>
      <c r="I311" s="8"/>
      <c r="J311" s="2"/>
      <c r="K311" s="3"/>
    </row>
    <row r="312" spans="1:11" customFormat="1">
      <c r="A312">
        <v>308</v>
      </c>
      <c r="B312" t="s">
        <v>849</v>
      </c>
      <c r="C312" s="1">
        <v>308</v>
      </c>
      <c r="D312" s="1" t="str">
        <f t="shared" si="42"/>
        <v>strcpy(PresetName8,("&lt;EMPTY&gt;"));</v>
      </c>
      <c r="E312" s="1" t="s">
        <v>18</v>
      </c>
      <c r="F312" t="s">
        <v>27</v>
      </c>
      <c r="G312" t="s">
        <v>13</v>
      </c>
      <c r="H312" s="1" t="s">
        <v>13</v>
      </c>
      <c r="I312" s="8"/>
      <c r="J312" s="2" t="str">
        <f xml:space="preserve"> "case "&amp; K312&amp;": "</f>
        <v xml:space="preserve">case 220: </v>
      </c>
      <c r="K312" s="3">
        <f>K298+10</f>
        <v>220</v>
      </c>
    </row>
    <row r="313" spans="1:11" customFormat="1">
      <c r="A313">
        <v>309</v>
      </c>
      <c r="B313" t="s">
        <v>849</v>
      </c>
      <c r="C313" s="1">
        <v>309</v>
      </c>
      <c r="D313" s="1" t="str">
        <f t="shared" si="42"/>
        <v>strcpy(PresetName9,("&lt;EMPTY&gt;"));</v>
      </c>
      <c r="E313" s="1" t="s">
        <v>18</v>
      </c>
      <c r="F313" t="s">
        <v>28</v>
      </c>
      <c r="G313" t="s">
        <v>13</v>
      </c>
      <c r="H313" s="1" t="s">
        <v>13</v>
      </c>
      <c r="I313" s="8"/>
      <c r="J313" s="2" t="str">
        <f t="shared" ref="J313:J322" si="49">VLOOKUP(K313,C:D,2,FALSE)</f>
        <v>strcpy(PresetName0,("&lt;EMPTY&gt;"));</v>
      </c>
      <c r="K313" s="3">
        <f>K312</f>
        <v>220</v>
      </c>
    </row>
    <row r="314" spans="1:11" customFormat="1">
      <c r="A314">
        <v>310</v>
      </c>
      <c r="B314" t="s">
        <v>849</v>
      </c>
      <c r="C314" s="1">
        <v>310</v>
      </c>
      <c r="D314" s="1" t="str">
        <f t="shared" si="42"/>
        <v>strcpy(PresetName0,("&lt;EMPTY&gt;"));</v>
      </c>
      <c r="E314" s="1" t="s">
        <v>18</v>
      </c>
      <c r="F314" t="s">
        <v>19</v>
      </c>
      <c r="G314" t="s">
        <v>13</v>
      </c>
      <c r="H314" s="1" t="s">
        <v>13</v>
      </c>
      <c r="I314" s="8"/>
      <c r="J314" s="2" t="str">
        <f t="shared" si="49"/>
        <v>strcpy(PresetName1,("&lt;EMPTY&gt;"));</v>
      </c>
      <c r="K314" s="3">
        <f>K313+1</f>
        <v>221</v>
      </c>
    </row>
    <row r="315" spans="1:11" customFormat="1">
      <c r="A315">
        <v>311</v>
      </c>
      <c r="B315" t="s">
        <v>849</v>
      </c>
      <c r="C315" s="1">
        <v>311</v>
      </c>
      <c r="D315" s="1" t="str">
        <f t="shared" si="42"/>
        <v>strcpy(PresetName1,("&lt;EMPTY&gt;"));</v>
      </c>
      <c r="E315" s="1" t="s">
        <v>18</v>
      </c>
      <c r="F315" t="s">
        <v>20</v>
      </c>
      <c r="G315" t="s">
        <v>13</v>
      </c>
      <c r="H315" s="1" t="s">
        <v>13</v>
      </c>
      <c r="I315" s="8"/>
      <c r="J315" s="2" t="str">
        <f t="shared" si="49"/>
        <v>strcpy(PresetName2,("&lt;EMPTY&gt;"));</v>
      </c>
      <c r="K315" s="3">
        <f t="shared" ref="K315:K322" si="50">K314+1</f>
        <v>222</v>
      </c>
    </row>
    <row r="316" spans="1:11" customFormat="1">
      <c r="A316">
        <v>312</v>
      </c>
      <c r="B316" t="s">
        <v>849</v>
      </c>
      <c r="C316" s="1">
        <v>312</v>
      </c>
      <c r="D316" s="1" t="str">
        <f t="shared" si="42"/>
        <v>strcpy(PresetName2,("&lt;EMPTY&gt;"));</v>
      </c>
      <c r="E316" s="1" t="s">
        <v>18</v>
      </c>
      <c r="F316" t="s">
        <v>21</v>
      </c>
      <c r="G316" t="s">
        <v>13</v>
      </c>
      <c r="H316" s="1" t="s">
        <v>13</v>
      </c>
      <c r="I316" s="8"/>
      <c r="J316" s="2" t="str">
        <f t="shared" si="49"/>
        <v>strcpy(PresetName3,("&lt;EMPTY&gt;"));</v>
      </c>
      <c r="K316" s="3">
        <f t="shared" si="50"/>
        <v>223</v>
      </c>
    </row>
    <row r="317" spans="1:11" customFormat="1">
      <c r="A317">
        <v>313</v>
      </c>
      <c r="B317" t="s">
        <v>849</v>
      </c>
      <c r="C317" s="1">
        <v>313</v>
      </c>
      <c r="D317" s="1" t="str">
        <f t="shared" si="42"/>
        <v>strcpy(PresetName3,("&lt;EMPTY&gt;"));</v>
      </c>
      <c r="E317" s="1" t="s">
        <v>18</v>
      </c>
      <c r="F317" t="s">
        <v>22</v>
      </c>
      <c r="G317" t="s">
        <v>13</v>
      </c>
      <c r="H317" s="1" t="s">
        <v>13</v>
      </c>
      <c r="I317" s="8"/>
      <c r="J317" s="2" t="str">
        <f t="shared" si="49"/>
        <v>strcpy(PresetName4,("&lt;EMPTY&gt;"));</v>
      </c>
      <c r="K317" s="3">
        <f t="shared" si="50"/>
        <v>224</v>
      </c>
    </row>
    <row r="318" spans="1:11" customFormat="1">
      <c r="A318">
        <v>314</v>
      </c>
      <c r="B318" t="s">
        <v>849</v>
      </c>
      <c r="C318" s="1">
        <v>314</v>
      </c>
      <c r="D318" s="1" t="str">
        <f t="shared" si="42"/>
        <v>strcpy(PresetName4,("&lt;EMPTY&gt;"));</v>
      </c>
      <c r="E318" s="1" t="s">
        <v>18</v>
      </c>
      <c r="F318" t="s">
        <v>23</v>
      </c>
      <c r="G318" t="s">
        <v>13</v>
      </c>
      <c r="H318" s="1" t="s">
        <v>13</v>
      </c>
      <c r="I318" s="8"/>
      <c r="J318" s="2" t="str">
        <f t="shared" si="49"/>
        <v>strcpy(PresetName5,("&lt;EMPTY&gt;"));</v>
      </c>
      <c r="K318" s="3">
        <f t="shared" si="50"/>
        <v>225</v>
      </c>
    </row>
    <row r="319" spans="1:11" customFormat="1">
      <c r="A319">
        <v>315</v>
      </c>
      <c r="B319" t="s">
        <v>849</v>
      </c>
      <c r="C319" s="1">
        <v>315</v>
      </c>
      <c r="D319" s="1" t="str">
        <f t="shared" si="42"/>
        <v>strcpy(PresetName5,("&lt;EMPTY&gt;"));</v>
      </c>
      <c r="E319" s="1" t="s">
        <v>18</v>
      </c>
      <c r="F319" t="s">
        <v>24</v>
      </c>
      <c r="G319" t="s">
        <v>13</v>
      </c>
      <c r="H319" s="1" t="s">
        <v>13</v>
      </c>
      <c r="I319" s="8"/>
      <c r="J319" s="2" t="str">
        <f t="shared" si="49"/>
        <v>strcpy(PresetName6,("&lt;EMPTY&gt;"));</v>
      </c>
      <c r="K319" s="3">
        <f t="shared" si="50"/>
        <v>226</v>
      </c>
    </row>
    <row r="320" spans="1:11" customFormat="1">
      <c r="A320">
        <v>316</v>
      </c>
      <c r="B320" t="s">
        <v>849</v>
      </c>
      <c r="C320" s="1">
        <v>316</v>
      </c>
      <c r="D320" s="1" t="str">
        <f t="shared" si="42"/>
        <v>strcpy(PresetName6,("&lt;EMPTY&gt;"));</v>
      </c>
      <c r="E320" s="1" t="s">
        <v>18</v>
      </c>
      <c r="F320" t="s">
        <v>25</v>
      </c>
      <c r="G320" t="s">
        <v>13</v>
      </c>
      <c r="H320" s="1" t="s">
        <v>13</v>
      </c>
      <c r="I320" s="8"/>
      <c r="J320" s="2" t="str">
        <f t="shared" si="49"/>
        <v>strcpy(PresetName7,("&lt;EMPTY&gt;"));</v>
      </c>
      <c r="K320" s="3">
        <f t="shared" si="50"/>
        <v>227</v>
      </c>
    </row>
    <row r="321" spans="1:11" customFormat="1">
      <c r="A321">
        <v>317</v>
      </c>
      <c r="B321" t="s">
        <v>849</v>
      </c>
      <c r="C321" s="1">
        <v>317</v>
      </c>
      <c r="D321" s="1" t="str">
        <f t="shared" si="42"/>
        <v>strcpy(PresetName7,("&lt;EMPTY&gt;"));</v>
      </c>
      <c r="E321" s="1" t="s">
        <v>18</v>
      </c>
      <c r="F321" t="s">
        <v>26</v>
      </c>
      <c r="G321" t="s">
        <v>13</v>
      </c>
      <c r="H321" s="1" t="s">
        <v>13</v>
      </c>
      <c r="I321" s="8"/>
      <c r="J321" s="2" t="str">
        <f t="shared" si="49"/>
        <v>strcpy(PresetName8,("&lt;EMPTY&gt;"));</v>
      </c>
      <c r="K321" s="3">
        <f t="shared" si="50"/>
        <v>228</v>
      </c>
    </row>
    <row r="322" spans="1:11" customFormat="1">
      <c r="A322">
        <v>318</v>
      </c>
      <c r="B322" t="s">
        <v>849</v>
      </c>
      <c r="C322" s="1">
        <v>318</v>
      </c>
      <c r="D322" s="1" t="str">
        <f t="shared" si="42"/>
        <v>strcpy(PresetName8,("&lt;EMPTY&gt;"));</v>
      </c>
      <c r="E322" s="1" t="s">
        <v>18</v>
      </c>
      <c r="F322" t="s">
        <v>27</v>
      </c>
      <c r="G322" t="s">
        <v>13</v>
      </c>
      <c r="H322" s="1" t="s">
        <v>13</v>
      </c>
      <c r="I322" s="8"/>
      <c r="J322" s="2" t="str">
        <f t="shared" si="49"/>
        <v>strcpy(PresetName9,("&lt;EMPTY&gt;"));</v>
      </c>
      <c r="K322" s="3">
        <f t="shared" si="50"/>
        <v>229</v>
      </c>
    </row>
    <row r="323" spans="1:11" customFormat="1">
      <c r="A323">
        <v>319</v>
      </c>
      <c r="B323" t="s">
        <v>849</v>
      </c>
      <c r="C323" s="1">
        <v>319</v>
      </c>
      <c r="D323" s="1" t="str">
        <f t="shared" si="42"/>
        <v>strcpy(PresetName9,("&lt;EMPTY&gt;"));</v>
      </c>
      <c r="E323" s="1" t="s">
        <v>18</v>
      </c>
      <c r="F323" t="s">
        <v>28</v>
      </c>
      <c r="G323" t="s">
        <v>13</v>
      </c>
      <c r="H323" s="1" t="s">
        <v>13</v>
      </c>
      <c r="I323" s="8"/>
      <c r="J323" s="2"/>
      <c r="K323" s="3"/>
    </row>
    <row r="324" spans="1:11" customFormat="1">
      <c r="A324">
        <v>320</v>
      </c>
      <c r="B324" t="s">
        <v>849</v>
      </c>
      <c r="C324" s="1">
        <v>320</v>
      </c>
      <c r="D324" s="1" t="str">
        <f t="shared" ref="D324:D387" si="51">E324&amp;F324&amp;","&amp;"("&amp;G324&amp;B324&amp;H324&amp;"))"&amp;";"</f>
        <v>strcpy(PresetName0,("&lt;EMPTY&gt;"));</v>
      </c>
      <c r="E324" s="1" t="s">
        <v>18</v>
      </c>
      <c r="F324" t="s">
        <v>19</v>
      </c>
      <c r="G324" t="s">
        <v>13</v>
      </c>
      <c r="H324" s="1" t="s">
        <v>13</v>
      </c>
      <c r="I324" s="8"/>
      <c r="J324" s="2" t="s">
        <v>29</v>
      </c>
      <c r="K324" s="3"/>
    </row>
    <row r="325" spans="1:11" customFormat="1">
      <c r="A325">
        <v>321</v>
      </c>
      <c r="B325" t="s">
        <v>849</v>
      </c>
      <c r="C325" s="1">
        <v>321</v>
      </c>
      <c r="D325" s="1" t="str">
        <f t="shared" si="51"/>
        <v>strcpy(PresetName1,("&lt;EMPTY&gt;"));</v>
      </c>
      <c r="E325" s="1" t="s">
        <v>18</v>
      </c>
      <c r="F325" t="s">
        <v>20</v>
      </c>
      <c r="G325" t="s">
        <v>13</v>
      </c>
      <c r="H325" s="1" t="s">
        <v>13</v>
      </c>
      <c r="I325" s="8"/>
      <c r="J325" s="2"/>
      <c r="K325" s="3"/>
    </row>
    <row r="326" spans="1:11" customFormat="1">
      <c r="A326">
        <v>322</v>
      </c>
      <c r="B326" t="s">
        <v>849</v>
      </c>
      <c r="C326" s="1">
        <v>322</v>
      </c>
      <c r="D326" s="1" t="str">
        <f t="shared" si="51"/>
        <v>strcpy(PresetName2,("&lt;EMPTY&gt;"));</v>
      </c>
      <c r="E326" s="1" t="s">
        <v>18</v>
      </c>
      <c r="F326" t="s">
        <v>21</v>
      </c>
      <c r="G326" t="s">
        <v>13</v>
      </c>
      <c r="H326" s="1" t="s">
        <v>13</v>
      </c>
      <c r="I326" s="8"/>
      <c r="J326" s="2" t="str">
        <f xml:space="preserve"> "case "&amp; K326&amp;": "</f>
        <v xml:space="preserve">case 230: </v>
      </c>
      <c r="K326" s="3">
        <f>K312+10</f>
        <v>230</v>
      </c>
    </row>
    <row r="327" spans="1:11" customFormat="1">
      <c r="A327">
        <v>323</v>
      </c>
      <c r="B327" t="s">
        <v>849</v>
      </c>
      <c r="C327" s="1">
        <v>323</v>
      </c>
      <c r="D327" s="1" t="str">
        <f t="shared" si="51"/>
        <v>strcpy(PresetName3,("&lt;EMPTY&gt;"));</v>
      </c>
      <c r="E327" s="1" t="s">
        <v>18</v>
      </c>
      <c r="F327" t="s">
        <v>22</v>
      </c>
      <c r="G327" t="s">
        <v>13</v>
      </c>
      <c r="H327" s="1" t="s">
        <v>13</v>
      </c>
      <c r="I327" s="8"/>
      <c r="J327" s="2" t="str">
        <f t="shared" ref="J327:J336" si="52">VLOOKUP(K327,C:D,2,FALSE)</f>
        <v>strcpy(PresetName0,("&lt;EMPTY&gt;"));</v>
      </c>
      <c r="K327" s="3">
        <f>K326</f>
        <v>230</v>
      </c>
    </row>
    <row r="328" spans="1:11" customFormat="1">
      <c r="A328">
        <v>324</v>
      </c>
      <c r="B328" t="s">
        <v>849</v>
      </c>
      <c r="C328" s="1">
        <v>324</v>
      </c>
      <c r="D328" s="1" t="str">
        <f t="shared" si="51"/>
        <v>strcpy(PresetName4,("&lt;EMPTY&gt;"));</v>
      </c>
      <c r="E328" s="1" t="s">
        <v>18</v>
      </c>
      <c r="F328" t="s">
        <v>23</v>
      </c>
      <c r="G328" t="s">
        <v>13</v>
      </c>
      <c r="H328" s="1" t="s">
        <v>13</v>
      </c>
      <c r="I328" s="8"/>
      <c r="J328" s="2" t="str">
        <f t="shared" si="52"/>
        <v>strcpy(PresetName1,("&lt;EMPTY&gt;"));</v>
      </c>
      <c r="K328" s="3">
        <f>K327+1</f>
        <v>231</v>
      </c>
    </row>
    <row r="329" spans="1:11" customFormat="1">
      <c r="A329">
        <v>325</v>
      </c>
      <c r="B329" t="s">
        <v>849</v>
      </c>
      <c r="C329" s="1">
        <v>325</v>
      </c>
      <c r="D329" s="1" t="str">
        <f t="shared" si="51"/>
        <v>strcpy(PresetName5,("&lt;EMPTY&gt;"));</v>
      </c>
      <c r="E329" s="1" t="s">
        <v>18</v>
      </c>
      <c r="F329" t="s">
        <v>24</v>
      </c>
      <c r="G329" t="s">
        <v>13</v>
      </c>
      <c r="H329" s="1" t="s">
        <v>13</v>
      </c>
      <c r="I329" s="8"/>
      <c r="J329" s="2" t="str">
        <f t="shared" si="52"/>
        <v>strcpy(PresetName2,("&lt;EMPTY&gt;"));</v>
      </c>
      <c r="K329" s="3">
        <f t="shared" ref="K329:K336" si="53">K328+1</f>
        <v>232</v>
      </c>
    </row>
    <row r="330" spans="1:11" customFormat="1">
      <c r="A330">
        <v>326</v>
      </c>
      <c r="B330" t="s">
        <v>849</v>
      </c>
      <c r="C330" s="1">
        <v>326</v>
      </c>
      <c r="D330" s="1" t="str">
        <f t="shared" si="51"/>
        <v>strcpy(PresetName6,("&lt;EMPTY&gt;"));</v>
      </c>
      <c r="E330" s="1" t="s">
        <v>18</v>
      </c>
      <c r="F330" t="s">
        <v>25</v>
      </c>
      <c r="G330" t="s">
        <v>13</v>
      </c>
      <c r="H330" s="1" t="s">
        <v>13</v>
      </c>
      <c r="I330" s="8"/>
      <c r="J330" s="2" t="str">
        <f t="shared" si="52"/>
        <v>strcpy(PresetName3,("&lt;EMPTY&gt;"));</v>
      </c>
      <c r="K330" s="3">
        <f t="shared" si="53"/>
        <v>233</v>
      </c>
    </row>
    <row r="331" spans="1:11" customFormat="1">
      <c r="A331">
        <v>327</v>
      </c>
      <c r="B331" t="s">
        <v>849</v>
      </c>
      <c r="C331" s="1">
        <v>327</v>
      </c>
      <c r="D331" s="1" t="str">
        <f t="shared" si="51"/>
        <v>strcpy(PresetName7,("&lt;EMPTY&gt;"));</v>
      </c>
      <c r="E331" s="1" t="s">
        <v>18</v>
      </c>
      <c r="F331" t="s">
        <v>26</v>
      </c>
      <c r="G331" t="s">
        <v>13</v>
      </c>
      <c r="H331" s="1" t="s">
        <v>13</v>
      </c>
      <c r="I331" s="8"/>
      <c r="J331" s="2" t="str">
        <f t="shared" si="52"/>
        <v>strcpy(PresetName4,("&lt;EMPTY&gt;"));</v>
      </c>
      <c r="K331" s="3">
        <f t="shared" si="53"/>
        <v>234</v>
      </c>
    </row>
    <row r="332" spans="1:11" customFormat="1">
      <c r="A332">
        <v>328</v>
      </c>
      <c r="B332" t="s">
        <v>849</v>
      </c>
      <c r="C332" s="1">
        <v>328</v>
      </c>
      <c r="D332" s="1" t="str">
        <f t="shared" si="51"/>
        <v>strcpy(PresetName8,("&lt;EMPTY&gt;"));</v>
      </c>
      <c r="E332" s="1" t="s">
        <v>18</v>
      </c>
      <c r="F332" t="s">
        <v>27</v>
      </c>
      <c r="G332" t="s">
        <v>13</v>
      </c>
      <c r="H332" s="1" t="s">
        <v>13</v>
      </c>
      <c r="I332" s="8"/>
      <c r="J332" s="2" t="str">
        <f t="shared" si="52"/>
        <v>strcpy(PresetName5,("&lt;EMPTY&gt;"));</v>
      </c>
      <c r="K332" s="3">
        <f t="shared" si="53"/>
        <v>235</v>
      </c>
    </row>
    <row r="333" spans="1:11" customFormat="1">
      <c r="A333">
        <v>329</v>
      </c>
      <c r="B333" t="s">
        <v>849</v>
      </c>
      <c r="C333" s="1">
        <v>329</v>
      </c>
      <c r="D333" s="1" t="str">
        <f t="shared" si="51"/>
        <v>strcpy(PresetName9,("&lt;EMPTY&gt;"));</v>
      </c>
      <c r="E333" s="1" t="s">
        <v>18</v>
      </c>
      <c r="F333" t="s">
        <v>28</v>
      </c>
      <c r="G333" t="s">
        <v>13</v>
      </c>
      <c r="H333" s="1" t="s">
        <v>13</v>
      </c>
      <c r="I333" s="8"/>
      <c r="J333" s="2" t="str">
        <f t="shared" si="52"/>
        <v>strcpy(PresetName6,("&lt;EMPTY&gt;"));</v>
      </c>
      <c r="K333" s="3">
        <f t="shared" si="53"/>
        <v>236</v>
      </c>
    </row>
    <row r="334" spans="1:11" customFormat="1">
      <c r="A334">
        <v>330</v>
      </c>
      <c r="B334" t="s">
        <v>849</v>
      </c>
      <c r="C334" s="1">
        <v>330</v>
      </c>
      <c r="D334" s="1" t="str">
        <f t="shared" si="51"/>
        <v>strcpy(PresetName0,("&lt;EMPTY&gt;"));</v>
      </c>
      <c r="E334" s="1" t="s">
        <v>18</v>
      </c>
      <c r="F334" t="s">
        <v>19</v>
      </c>
      <c r="G334" t="s">
        <v>13</v>
      </c>
      <c r="H334" s="1" t="s">
        <v>13</v>
      </c>
      <c r="I334" s="8"/>
      <c r="J334" s="2" t="str">
        <f t="shared" si="52"/>
        <v>strcpy(PresetName7,("&lt;EMPTY&gt;"));</v>
      </c>
      <c r="K334" s="3">
        <f t="shared" si="53"/>
        <v>237</v>
      </c>
    </row>
    <row r="335" spans="1:11" customFormat="1">
      <c r="A335">
        <v>331</v>
      </c>
      <c r="B335" t="s">
        <v>849</v>
      </c>
      <c r="C335" s="1">
        <v>331</v>
      </c>
      <c r="D335" s="1" t="str">
        <f t="shared" si="51"/>
        <v>strcpy(PresetName1,("&lt;EMPTY&gt;"));</v>
      </c>
      <c r="E335" s="1" t="s">
        <v>18</v>
      </c>
      <c r="F335" t="s">
        <v>20</v>
      </c>
      <c r="G335" t="s">
        <v>13</v>
      </c>
      <c r="H335" s="1" t="s">
        <v>13</v>
      </c>
      <c r="I335" s="8"/>
      <c r="J335" s="2" t="str">
        <f t="shared" si="52"/>
        <v>strcpy(PresetName8,("&lt;EMPTY&gt;"));</v>
      </c>
      <c r="K335" s="3">
        <f t="shared" si="53"/>
        <v>238</v>
      </c>
    </row>
    <row r="336" spans="1:11" customFormat="1">
      <c r="A336">
        <v>332</v>
      </c>
      <c r="B336" t="s">
        <v>849</v>
      </c>
      <c r="C336" s="1">
        <v>332</v>
      </c>
      <c r="D336" s="1" t="str">
        <f t="shared" si="51"/>
        <v>strcpy(PresetName2,("&lt;EMPTY&gt;"));</v>
      </c>
      <c r="E336" s="1" t="s">
        <v>18</v>
      </c>
      <c r="F336" t="s">
        <v>21</v>
      </c>
      <c r="G336" t="s">
        <v>13</v>
      </c>
      <c r="H336" s="1" t="s">
        <v>13</v>
      </c>
      <c r="I336" s="8"/>
      <c r="J336" s="2" t="str">
        <f t="shared" si="52"/>
        <v>strcpy(PresetName9,("&lt;EMPTY&gt;"));</v>
      </c>
      <c r="K336" s="3">
        <f t="shared" si="53"/>
        <v>239</v>
      </c>
    </row>
    <row r="337" spans="1:11" customFormat="1">
      <c r="A337">
        <v>333</v>
      </c>
      <c r="B337" t="s">
        <v>849</v>
      </c>
      <c r="C337" s="1">
        <v>333</v>
      </c>
      <c r="D337" s="1" t="str">
        <f t="shared" si="51"/>
        <v>strcpy(PresetName3,("&lt;EMPTY&gt;"));</v>
      </c>
      <c r="E337" s="1" t="s">
        <v>18</v>
      </c>
      <c r="F337" t="s">
        <v>22</v>
      </c>
      <c r="G337" t="s">
        <v>13</v>
      </c>
      <c r="H337" s="1" t="s">
        <v>13</v>
      </c>
      <c r="I337" s="8"/>
      <c r="J337" s="2"/>
      <c r="K337" s="3"/>
    </row>
    <row r="338" spans="1:11" customFormat="1">
      <c r="A338">
        <v>334</v>
      </c>
      <c r="B338" t="s">
        <v>849</v>
      </c>
      <c r="C338" s="1">
        <v>334</v>
      </c>
      <c r="D338" s="1" t="str">
        <f t="shared" si="51"/>
        <v>strcpy(PresetName4,("&lt;EMPTY&gt;"));</v>
      </c>
      <c r="E338" s="1" t="s">
        <v>18</v>
      </c>
      <c r="F338" t="s">
        <v>23</v>
      </c>
      <c r="G338" t="s">
        <v>13</v>
      </c>
      <c r="H338" s="1" t="s">
        <v>13</v>
      </c>
      <c r="I338" s="8"/>
      <c r="J338" s="2" t="s">
        <v>29</v>
      </c>
      <c r="K338" s="3"/>
    </row>
    <row r="339" spans="1:11" customFormat="1">
      <c r="A339">
        <v>335</v>
      </c>
      <c r="B339" t="s">
        <v>849</v>
      </c>
      <c r="C339" s="1">
        <v>335</v>
      </c>
      <c r="D339" s="1" t="str">
        <f t="shared" si="51"/>
        <v>strcpy(PresetName5,("&lt;EMPTY&gt;"));</v>
      </c>
      <c r="E339" s="1" t="s">
        <v>18</v>
      </c>
      <c r="F339" t="s">
        <v>24</v>
      </c>
      <c r="G339" t="s">
        <v>13</v>
      </c>
      <c r="H339" s="1" t="s">
        <v>13</v>
      </c>
      <c r="I339" s="8"/>
      <c r="J339" s="2"/>
      <c r="K339" s="3"/>
    </row>
    <row r="340" spans="1:11" customFormat="1">
      <c r="A340">
        <v>336</v>
      </c>
      <c r="B340" t="s">
        <v>849</v>
      </c>
      <c r="C340" s="1">
        <v>336</v>
      </c>
      <c r="D340" s="1" t="str">
        <f t="shared" si="51"/>
        <v>strcpy(PresetName6,("&lt;EMPTY&gt;"));</v>
      </c>
      <c r="E340" s="1" t="s">
        <v>18</v>
      </c>
      <c r="F340" t="s">
        <v>25</v>
      </c>
      <c r="G340" t="s">
        <v>13</v>
      </c>
      <c r="H340" s="1" t="s">
        <v>13</v>
      </c>
      <c r="I340" s="8"/>
      <c r="J340" s="2" t="str">
        <f xml:space="preserve"> "case "&amp; K340&amp;": "</f>
        <v xml:space="preserve">case 240: </v>
      </c>
      <c r="K340" s="3">
        <f>K326+10</f>
        <v>240</v>
      </c>
    </row>
    <row r="341" spans="1:11" customFormat="1">
      <c r="A341">
        <v>337</v>
      </c>
      <c r="B341" t="s">
        <v>849</v>
      </c>
      <c r="C341" s="1">
        <v>337</v>
      </c>
      <c r="D341" s="1" t="str">
        <f t="shared" si="51"/>
        <v>strcpy(PresetName7,("&lt;EMPTY&gt;"));</v>
      </c>
      <c r="E341" s="1" t="s">
        <v>18</v>
      </c>
      <c r="F341" t="s">
        <v>26</v>
      </c>
      <c r="G341" t="s">
        <v>13</v>
      </c>
      <c r="H341" s="1" t="s">
        <v>13</v>
      </c>
      <c r="I341" s="8"/>
      <c r="J341" s="2" t="str">
        <f t="shared" ref="J341:J350" si="54">VLOOKUP(K341,C:D,2,FALSE)</f>
        <v>strcpy(PresetName0,("&lt;EMPTY&gt;"));</v>
      </c>
      <c r="K341" s="3">
        <f>K340</f>
        <v>240</v>
      </c>
    </row>
    <row r="342" spans="1:11" customFormat="1">
      <c r="A342">
        <v>338</v>
      </c>
      <c r="B342" t="s">
        <v>849</v>
      </c>
      <c r="C342" s="1">
        <v>338</v>
      </c>
      <c r="D342" s="1" t="str">
        <f t="shared" si="51"/>
        <v>strcpy(PresetName8,("&lt;EMPTY&gt;"));</v>
      </c>
      <c r="E342" s="1" t="s">
        <v>18</v>
      </c>
      <c r="F342" t="s">
        <v>27</v>
      </c>
      <c r="G342" t="s">
        <v>13</v>
      </c>
      <c r="H342" s="1" t="s">
        <v>13</v>
      </c>
      <c r="I342" s="8"/>
      <c r="J342" s="2" t="str">
        <f t="shared" si="54"/>
        <v>strcpy(PresetName1,("&lt;EMPTY&gt;"));</v>
      </c>
      <c r="K342" s="3">
        <f>K341+1</f>
        <v>241</v>
      </c>
    </row>
    <row r="343" spans="1:11" customFormat="1">
      <c r="A343">
        <v>339</v>
      </c>
      <c r="B343" t="s">
        <v>849</v>
      </c>
      <c r="C343" s="1">
        <v>339</v>
      </c>
      <c r="D343" s="1" t="str">
        <f t="shared" si="51"/>
        <v>strcpy(PresetName9,("&lt;EMPTY&gt;"));</v>
      </c>
      <c r="E343" s="1" t="s">
        <v>18</v>
      </c>
      <c r="F343" t="s">
        <v>28</v>
      </c>
      <c r="G343" t="s">
        <v>13</v>
      </c>
      <c r="H343" s="1" t="s">
        <v>13</v>
      </c>
      <c r="I343" s="8"/>
      <c r="J343" s="2" t="str">
        <f t="shared" si="54"/>
        <v>strcpy(PresetName2,("&lt;EMPTY&gt;"));</v>
      </c>
      <c r="K343" s="3">
        <f t="shared" ref="K343:K350" si="55">K342+1</f>
        <v>242</v>
      </c>
    </row>
    <row r="344" spans="1:11" customFormat="1">
      <c r="A344">
        <v>340</v>
      </c>
      <c r="B344" t="s">
        <v>849</v>
      </c>
      <c r="C344" s="1">
        <v>340</v>
      </c>
      <c r="D344" s="1" t="str">
        <f t="shared" si="51"/>
        <v>strcpy(PresetName0,("&lt;EMPTY&gt;"));</v>
      </c>
      <c r="E344" s="1" t="s">
        <v>18</v>
      </c>
      <c r="F344" t="s">
        <v>19</v>
      </c>
      <c r="G344" t="s">
        <v>13</v>
      </c>
      <c r="H344" s="1" t="s">
        <v>13</v>
      </c>
      <c r="I344" s="8"/>
      <c r="J344" s="2" t="str">
        <f t="shared" si="54"/>
        <v>strcpy(PresetName3,("&lt;EMPTY&gt;"));</v>
      </c>
      <c r="K344" s="3">
        <f t="shared" si="55"/>
        <v>243</v>
      </c>
    </row>
    <row r="345" spans="1:11" customFormat="1">
      <c r="A345">
        <v>341</v>
      </c>
      <c r="B345" t="s">
        <v>849</v>
      </c>
      <c r="C345" s="1">
        <v>341</v>
      </c>
      <c r="D345" s="1" t="str">
        <f t="shared" si="51"/>
        <v>strcpy(PresetName1,("&lt;EMPTY&gt;"));</v>
      </c>
      <c r="E345" s="1" t="s">
        <v>18</v>
      </c>
      <c r="F345" t="s">
        <v>20</v>
      </c>
      <c r="G345" t="s">
        <v>13</v>
      </c>
      <c r="H345" s="1" t="s">
        <v>13</v>
      </c>
      <c r="I345" s="8"/>
      <c r="J345" s="2" t="str">
        <f t="shared" si="54"/>
        <v>strcpy(PresetName4,("&lt;EMPTY&gt;"));</v>
      </c>
      <c r="K345" s="3">
        <f t="shared" si="55"/>
        <v>244</v>
      </c>
    </row>
    <row r="346" spans="1:11" customFormat="1">
      <c r="A346">
        <v>342</v>
      </c>
      <c r="B346" t="s">
        <v>849</v>
      </c>
      <c r="C346" s="1">
        <v>342</v>
      </c>
      <c r="D346" s="1" t="str">
        <f t="shared" si="51"/>
        <v>strcpy(PresetName2,("&lt;EMPTY&gt;"));</v>
      </c>
      <c r="E346" s="1" t="s">
        <v>18</v>
      </c>
      <c r="F346" t="s">
        <v>21</v>
      </c>
      <c r="G346" t="s">
        <v>13</v>
      </c>
      <c r="H346" s="1" t="s">
        <v>13</v>
      </c>
      <c r="I346" s="8"/>
      <c r="J346" s="2" t="str">
        <f t="shared" si="54"/>
        <v>strcpy(PresetName5,("&lt;EMPTY&gt;"));</v>
      </c>
      <c r="K346" s="3">
        <f t="shared" si="55"/>
        <v>245</v>
      </c>
    </row>
    <row r="347" spans="1:11" customFormat="1">
      <c r="A347">
        <v>343</v>
      </c>
      <c r="B347" t="s">
        <v>849</v>
      </c>
      <c r="C347" s="1">
        <v>343</v>
      </c>
      <c r="D347" s="1" t="str">
        <f t="shared" si="51"/>
        <v>strcpy(PresetName3,("&lt;EMPTY&gt;"));</v>
      </c>
      <c r="E347" s="1" t="s">
        <v>18</v>
      </c>
      <c r="F347" t="s">
        <v>22</v>
      </c>
      <c r="G347" t="s">
        <v>13</v>
      </c>
      <c r="H347" s="1" t="s">
        <v>13</v>
      </c>
      <c r="I347" s="8"/>
      <c r="J347" s="2" t="str">
        <f t="shared" si="54"/>
        <v>strcpy(PresetName6,("&lt;EMPTY&gt;"));</v>
      </c>
      <c r="K347" s="3">
        <f t="shared" si="55"/>
        <v>246</v>
      </c>
    </row>
    <row r="348" spans="1:11" customFormat="1">
      <c r="A348">
        <v>344</v>
      </c>
      <c r="B348" t="s">
        <v>849</v>
      </c>
      <c r="C348" s="1">
        <v>344</v>
      </c>
      <c r="D348" s="1" t="str">
        <f t="shared" si="51"/>
        <v>strcpy(PresetName4,("&lt;EMPTY&gt;"));</v>
      </c>
      <c r="E348" s="1" t="s">
        <v>18</v>
      </c>
      <c r="F348" t="s">
        <v>23</v>
      </c>
      <c r="G348" t="s">
        <v>13</v>
      </c>
      <c r="H348" s="1" t="s">
        <v>13</v>
      </c>
      <c r="I348" s="8"/>
      <c r="J348" s="2" t="str">
        <f t="shared" si="54"/>
        <v>strcpy(PresetName7,("&lt;EMPTY&gt;"));</v>
      </c>
      <c r="K348" s="3">
        <f t="shared" si="55"/>
        <v>247</v>
      </c>
    </row>
    <row r="349" spans="1:11" customFormat="1">
      <c r="A349">
        <v>345</v>
      </c>
      <c r="B349" t="s">
        <v>849</v>
      </c>
      <c r="C349" s="1">
        <v>345</v>
      </c>
      <c r="D349" s="1" t="str">
        <f t="shared" si="51"/>
        <v>strcpy(PresetName5,("&lt;EMPTY&gt;"));</v>
      </c>
      <c r="E349" s="1" t="s">
        <v>18</v>
      </c>
      <c r="F349" t="s">
        <v>24</v>
      </c>
      <c r="G349" t="s">
        <v>13</v>
      </c>
      <c r="H349" s="1" t="s">
        <v>13</v>
      </c>
      <c r="I349" s="8"/>
      <c r="J349" s="2" t="str">
        <f t="shared" si="54"/>
        <v>strcpy(PresetName8,("&lt;EMPTY&gt;"));</v>
      </c>
      <c r="K349" s="3">
        <f t="shared" si="55"/>
        <v>248</v>
      </c>
    </row>
    <row r="350" spans="1:11" customFormat="1">
      <c r="A350">
        <v>346</v>
      </c>
      <c r="B350" t="s">
        <v>849</v>
      </c>
      <c r="C350" s="1">
        <v>346</v>
      </c>
      <c r="D350" s="1" t="str">
        <f t="shared" si="51"/>
        <v>strcpy(PresetName6,("&lt;EMPTY&gt;"));</v>
      </c>
      <c r="E350" s="1" t="s">
        <v>18</v>
      </c>
      <c r="F350" t="s">
        <v>25</v>
      </c>
      <c r="G350" t="s">
        <v>13</v>
      </c>
      <c r="H350" s="1" t="s">
        <v>13</v>
      </c>
      <c r="I350" s="8"/>
      <c r="J350" s="2" t="str">
        <f t="shared" si="54"/>
        <v>strcpy(PresetName9,("&lt;EMPTY&gt;"));</v>
      </c>
      <c r="K350" s="3">
        <f t="shared" si="55"/>
        <v>249</v>
      </c>
    </row>
    <row r="351" spans="1:11" customFormat="1">
      <c r="A351">
        <v>347</v>
      </c>
      <c r="B351" t="s">
        <v>849</v>
      </c>
      <c r="C351" s="1">
        <v>347</v>
      </c>
      <c r="D351" s="1" t="str">
        <f t="shared" si="51"/>
        <v>strcpy(PresetName7,("&lt;EMPTY&gt;"));</v>
      </c>
      <c r="E351" s="1" t="s">
        <v>18</v>
      </c>
      <c r="F351" t="s">
        <v>26</v>
      </c>
      <c r="G351" t="s">
        <v>13</v>
      </c>
      <c r="H351" s="1" t="s">
        <v>13</v>
      </c>
      <c r="I351" s="8"/>
      <c r="J351" s="2"/>
      <c r="K351" s="3"/>
    </row>
    <row r="352" spans="1:11" customFormat="1">
      <c r="A352">
        <v>348</v>
      </c>
      <c r="B352" t="s">
        <v>849</v>
      </c>
      <c r="C352" s="1">
        <v>348</v>
      </c>
      <c r="D352" s="1" t="str">
        <f t="shared" si="51"/>
        <v>strcpy(PresetName8,("&lt;EMPTY&gt;"));</v>
      </c>
      <c r="E352" s="1" t="s">
        <v>18</v>
      </c>
      <c r="F352" t="s">
        <v>27</v>
      </c>
      <c r="G352" t="s">
        <v>13</v>
      </c>
      <c r="H352" s="1" t="s">
        <v>13</v>
      </c>
      <c r="I352" s="8"/>
      <c r="J352" s="2" t="s">
        <v>29</v>
      </c>
      <c r="K352" s="3"/>
    </row>
    <row r="353" spans="1:11" customFormat="1">
      <c r="A353">
        <v>349</v>
      </c>
      <c r="B353" t="s">
        <v>849</v>
      </c>
      <c r="C353" s="1">
        <v>349</v>
      </c>
      <c r="D353" s="1" t="str">
        <f t="shared" si="51"/>
        <v>strcpy(PresetName9,("&lt;EMPTY&gt;"));</v>
      </c>
      <c r="E353" s="1" t="s">
        <v>18</v>
      </c>
      <c r="F353" t="s">
        <v>28</v>
      </c>
      <c r="G353" t="s">
        <v>13</v>
      </c>
      <c r="H353" s="1" t="s">
        <v>13</v>
      </c>
      <c r="I353" s="8"/>
      <c r="J353" s="2"/>
      <c r="K353" s="3"/>
    </row>
    <row r="354" spans="1:11" customFormat="1">
      <c r="A354">
        <v>350</v>
      </c>
      <c r="B354" t="s">
        <v>849</v>
      </c>
      <c r="C354" s="1">
        <v>350</v>
      </c>
      <c r="D354" s="1" t="str">
        <f t="shared" si="51"/>
        <v>strcpy(PresetName0,("&lt;EMPTY&gt;"));</v>
      </c>
      <c r="E354" s="1" t="s">
        <v>18</v>
      </c>
      <c r="F354" t="s">
        <v>19</v>
      </c>
      <c r="G354" t="s">
        <v>13</v>
      </c>
      <c r="H354" s="1" t="s">
        <v>13</v>
      </c>
      <c r="I354" s="8"/>
      <c r="J354" s="2" t="str">
        <f xml:space="preserve"> "case "&amp; K354&amp;": "</f>
        <v xml:space="preserve">case 250: </v>
      </c>
      <c r="K354" s="3">
        <f>K340+10</f>
        <v>250</v>
      </c>
    </row>
    <row r="355" spans="1:11" customFormat="1">
      <c r="A355">
        <v>351</v>
      </c>
      <c r="B355" t="s">
        <v>849</v>
      </c>
      <c r="C355" s="1">
        <v>351</v>
      </c>
      <c r="D355" s="1" t="str">
        <f t="shared" si="51"/>
        <v>strcpy(PresetName1,("&lt;EMPTY&gt;"));</v>
      </c>
      <c r="E355" s="1" t="s">
        <v>18</v>
      </c>
      <c r="F355" t="s">
        <v>20</v>
      </c>
      <c r="G355" t="s">
        <v>13</v>
      </c>
      <c r="H355" s="1" t="s">
        <v>13</v>
      </c>
      <c r="I355" s="8"/>
      <c r="J355" s="2" t="str">
        <f t="shared" ref="J355:J364" si="56">VLOOKUP(K355,C:D,2,FALSE)</f>
        <v>strcpy(PresetName0,("&lt;EMPTY&gt;"));</v>
      </c>
      <c r="K355" s="3">
        <f>K354</f>
        <v>250</v>
      </c>
    </row>
    <row r="356" spans="1:11" customFormat="1">
      <c r="A356">
        <v>352</v>
      </c>
      <c r="B356" t="s">
        <v>849</v>
      </c>
      <c r="C356" s="1">
        <v>352</v>
      </c>
      <c r="D356" s="1" t="str">
        <f t="shared" si="51"/>
        <v>strcpy(PresetName2,("&lt;EMPTY&gt;"));</v>
      </c>
      <c r="E356" s="1" t="s">
        <v>18</v>
      </c>
      <c r="F356" t="s">
        <v>21</v>
      </c>
      <c r="G356" t="s">
        <v>13</v>
      </c>
      <c r="H356" s="1" t="s">
        <v>13</v>
      </c>
      <c r="I356" s="8"/>
      <c r="J356" s="2" t="str">
        <f t="shared" si="56"/>
        <v>strcpy(PresetName1,("&lt;EMPTY&gt;"));</v>
      </c>
      <c r="K356" s="3">
        <f>K355+1</f>
        <v>251</v>
      </c>
    </row>
    <row r="357" spans="1:11" customFormat="1">
      <c r="A357">
        <v>353</v>
      </c>
      <c r="B357" t="s">
        <v>849</v>
      </c>
      <c r="C357" s="1">
        <v>353</v>
      </c>
      <c r="D357" s="1" t="str">
        <f t="shared" si="51"/>
        <v>strcpy(PresetName3,("&lt;EMPTY&gt;"));</v>
      </c>
      <c r="E357" s="1" t="s">
        <v>18</v>
      </c>
      <c r="F357" t="s">
        <v>22</v>
      </c>
      <c r="G357" t="s">
        <v>13</v>
      </c>
      <c r="H357" s="1" t="s">
        <v>13</v>
      </c>
      <c r="I357" s="8"/>
      <c r="J357" s="2" t="str">
        <f t="shared" si="56"/>
        <v>strcpy(PresetName2,("&lt;EMPTY&gt;"));</v>
      </c>
      <c r="K357" s="3">
        <f t="shared" ref="K357:K364" si="57">K356+1</f>
        <v>252</v>
      </c>
    </row>
    <row r="358" spans="1:11" customFormat="1">
      <c r="A358">
        <v>354</v>
      </c>
      <c r="B358" t="s">
        <v>849</v>
      </c>
      <c r="C358" s="1">
        <v>354</v>
      </c>
      <c r="D358" s="1" t="str">
        <f t="shared" si="51"/>
        <v>strcpy(PresetName4,("&lt;EMPTY&gt;"));</v>
      </c>
      <c r="E358" s="1" t="s">
        <v>18</v>
      </c>
      <c r="F358" t="s">
        <v>23</v>
      </c>
      <c r="G358" t="s">
        <v>13</v>
      </c>
      <c r="H358" s="1" t="s">
        <v>13</v>
      </c>
      <c r="I358" s="8"/>
      <c r="J358" s="2" t="str">
        <f t="shared" si="56"/>
        <v>strcpy(PresetName3,("&lt;EMPTY&gt;"));</v>
      </c>
      <c r="K358" s="3">
        <f t="shared" si="57"/>
        <v>253</v>
      </c>
    </row>
    <row r="359" spans="1:11" customFormat="1">
      <c r="A359">
        <v>355</v>
      </c>
      <c r="B359" t="s">
        <v>849</v>
      </c>
      <c r="C359" s="1">
        <v>355</v>
      </c>
      <c r="D359" s="1" t="str">
        <f t="shared" si="51"/>
        <v>strcpy(PresetName5,("&lt;EMPTY&gt;"));</v>
      </c>
      <c r="E359" s="1" t="s">
        <v>18</v>
      </c>
      <c r="F359" t="s">
        <v>24</v>
      </c>
      <c r="G359" t="s">
        <v>13</v>
      </c>
      <c r="H359" s="1" t="s">
        <v>13</v>
      </c>
      <c r="I359" s="8"/>
      <c r="J359" s="2" t="str">
        <f t="shared" si="56"/>
        <v>strcpy(PresetName4,("&lt;EMPTY&gt;"));</v>
      </c>
      <c r="K359" s="3">
        <f t="shared" si="57"/>
        <v>254</v>
      </c>
    </row>
    <row r="360" spans="1:11" customFormat="1">
      <c r="A360">
        <v>356</v>
      </c>
      <c r="B360" t="s">
        <v>849</v>
      </c>
      <c r="C360" s="1">
        <v>356</v>
      </c>
      <c r="D360" s="1" t="str">
        <f t="shared" si="51"/>
        <v>strcpy(PresetName6,("&lt;EMPTY&gt;"));</v>
      </c>
      <c r="E360" s="1" t="s">
        <v>18</v>
      </c>
      <c r="F360" t="s">
        <v>25</v>
      </c>
      <c r="G360" t="s">
        <v>13</v>
      </c>
      <c r="H360" s="1" t="s">
        <v>13</v>
      </c>
      <c r="I360" s="8"/>
      <c r="J360" s="2" t="str">
        <f t="shared" si="56"/>
        <v>strcpy(PresetName5,("&lt;EMPTY&gt;"));</v>
      </c>
      <c r="K360" s="3">
        <f t="shared" si="57"/>
        <v>255</v>
      </c>
    </row>
    <row r="361" spans="1:11" customFormat="1">
      <c r="A361">
        <v>357</v>
      </c>
      <c r="B361" t="s">
        <v>849</v>
      </c>
      <c r="C361" s="1">
        <v>357</v>
      </c>
      <c r="D361" s="1" t="str">
        <f t="shared" si="51"/>
        <v>strcpy(PresetName7,("&lt;EMPTY&gt;"));</v>
      </c>
      <c r="E361" s="1" t="s">
        <v>18</v>
      </c>
      <c r="F361" t="s">
        <v>26</v>
      </c>
      <c r="G361" t="s">
        <v>13</v>
      </c>
      <c r="H361" s="1" t="s">
        <v>13</v>
      </c>
      <c r="I361" s="8"/>
      <c r="J361" s="2" t="str">
        <f t="shared" si="56"/>
        <v>strcpy(PresetName6,("&lt;EMPTY&gt;"));</v>
      </c>
      <c r="K361" s="3">
        <f t="shared" si="57"/>
        <v>256</v>
      </c>
    </row>
    <row r="362" spans="1:11" customFormat="1">
      <c r="A362">
        <v>358</v>
      </c>
      <c r="B362" t="s">
        <v>849</v>
      </c>
      <c r="C362" s="1">
        <v>358</v>
      </c>
      <c r="D362" s="1" t="str">
        <f t="shared" si="51"/>
        <v>strcpy(PresetName8,("&lt;EMPTY&gt;"));</v>
      </c>
      <c r="E362" s="1" t="s">
        <v>18</v>
      </c>
      <c r="F362" t="s">
        <v>27</v>
      </c>
      <c r="G362" t="s">
        <v>13</v>
      </c>
      <c r="H362" s="1" t="s">
        <v>13</v>
      </c>
      <c r="I362" s="8"/>
      <c r="J362" s="2" t="str">
        <f t="shared" si="56"/>
        <v>strcpy(PresetName7,("&lt;EMPTY&gt;"));</v>
      </c>
      <c r="K362" s="3">
        <f t="shared" si="57"/>
        <v>257</v>
      </c>
    </row>
    <row r="363" spans="1:11" customFormat="1">
      <c r="A363">
        <v>359</v>
      </c>
      <c r="B363" t="s">
        <v>849</v>
      </c>
      <c r="C363" s="1">
        <v>359</v>
      </c>
      <c r="D363" s="1" t="str">
        <f t="shared" si="51"/>
        <v>strcpy(PresetName9,("&lt;EMPTY&gt;"));</v>
      </c>
      <c r="E363" s="1" t="s">
        <v>18</v>
      </c>
      <c r="F363" t="s">
        <v>28</v>
      </c>
      <c r="G363" t="s">
        <v>13</v>
      </c>
      <c r="H363" s="1" t="s">
        <v>13</v>
      </c>
      <c r="I363" s="8"/>
      <c r="J363" s="2" t="str">
        <f t="shared" si="56"/>
        <v>strcpy(PresetName8,("&lt;EMPTY&gt;"));</v>
      </c>
      <c r="K363" s="3">
        <f t="shared" si="57"/>
        <v>258</v>
      </c>
    </row>
    <row r="364" spans="1:11" customFormat="1">
      <c r="A364">
        <v>360</v>
      </c>
      <c r="B364" t="s">
        <v>849</v>
      </c>
      <c r="C364" s="1">
        <v>360</v>
      </c>
      <c r="D364" s="1" t="str">
        <f t="shared" si="51"/>
        <v>strcpy(PresetName0,("&lt;EMPTY&gt;"));</v>
      </c>
      <c r="E364" s="1" t="s">
        <v>18</v>
      </c>
      <c r="F364" t="s">
        <v>19</v>
      </c>
      <c r="G364" t="s">
        <v>13</v>
      </c>
      <c r="H364" s="1" t="s">
        <v>13</v>
      </c>
      <c r="I364" s="8"/>
      <c r="J364" s="2" t="str">
        <f t="shared" si="56"/>
        <v>strcpy(PresetName9,("&lt;EMPTY&gt;"));</v>
      </c>
      <c r="K364" s="3">
        <f t="shared" si="57"/>
        <v>259</v>
      </c>
    </row>
    <row r="365" spans="1:11" customFormat="1">
      <c r="A365">
        <v>361</v>
      </c>
      <c r="B365" t="s">
        <v>849</v>
      </c>
      <c r="C365" s="1">
        <v>361</v>
      </c>
      <c r="D365" s="1" t="str">
        <f t="shared" si="51"/>
        <v>strcpy(PresetName1,("&lt;EMPTY&gt;"));</v>
      </c>
      <c r="E365" s="1" t="s">
        <v>18</v>
      </c>
      <c r="F365" t="s">
        <v>20</v>
      </c>
      <c r="G365" t="s">
        <v>13</v>
      </c>
      <c r="H365" s="1" t="s">
        <v>13</v>
      </c>
      <c r="I365" s="8"/>
      <c r="J365" s="2"/>
      <c r="K365" s="3"/>
    </row>
    <row r="366" spans="1:11" customFormat="1">
      <c r="A366">
        <v>362</v>
      </c>
      <c r="B366" t="s">
        <v>849</v>
      </c>
      <c r="C366" s="1">
        <v>362</v>
      </c>
      <c r="D366" s="1" t="str">
        <f t="shared" si="51"/>
        <v>strcpy(PresetName2,("&lt;EMPTY&gt;"));</v>
      </c>
      <c r="E366" s="1" t="s">
        <v>18</v>
      </c>
      <c r="F366" t="s">
        <v>21</v>
      </c>
      <c r="G366" t="s">
        <v>13</v>
      </c>
      <c r="H366" s="1" t="s">
        <v>13</v>
      </c>
      <c r="I366" s="8"/>
      <c r="J366" s="2" t="s">
        <v>29</v>
      </c>
      <c r="K366" s="3"/>
    </row>
    <row r="367" spans="1:11" customFormat="1">
      <c r="A367">
        <v>363</v>
      </c>
      <c r="B367" t="s">
        <v>849</v>
      </c>
      <c r="C367" s="1">
        <v>363</v>
      </c>
      <c r="D367" s="1" t="str">
        <f t="shared" si="51"/>
        <v>strcpy(PresetName3,("&lt;EMPTY&gt;"));</v>
      </c>
      <c r="E367" s="1" t="s">
        <v>18</v>
      </c>
      <c r="F367" t="s">
        <v>22</v>
      </c>
      <c r="G367" t="s">
        <v>13</v>
      </c>
      <c r="H367" s="1" t="s">
        <v>13</v>
      </c>
      <c r="I367" s="8"/>
      <c r="J367" s="2"/>
      <c r="K367" s="3"/>
    </row>
    <row r="368" spans="1:11" customFormat="1">
      <c r="A368">
        <v>364</v>
      </c>
      <c r="B368" t="s">
        <v>849</v>
      </c>
      <c r="C368" s="1">
        <v>364</v>
      </c>
      <c r="D368" s="1" t="str">
        <f t="shared" si="51"/>
        <v>strcpy(PresetName4,("&lt;EMPTY&gt;"));</v>
      </c>
      <c r="E368" s="1" t="s">
        <v>18</v>
      </c>
      <c r="F368" t="s">
        <v>23</v>
      </c>
      <c r="G368" t="s">
        <v>13</v>
      </c>
      <c r="H368" s="1" t="s">
        <v>13</v>
      </c>
      <c r="I368" s="8"/>
      <c r="J368" s="2" t="str">
        <f xml:space="preserve"> "case "&amp; K368&amp;": "</f>
        <v xml:space="preserve">case 260: </v>
      </c>
      <c r="K368" s="3">
        <f>K354+10</f>
        <v>260</v>
      </c>
    </row>
    <row r="369" spans="1:11" customFormat="1">
      <c r="A369">
        <v>365</v>
      </c>
      <c r="B369" t="s">
        <v>849</v>
      </c>
      <c r="C369" s="1">
        <v>365</v>
      </c>
      <c r="D369" s="1" t="str">
        <f t="shared" si="51"/>
        <v>strcpy(PresetName5,("&lt;EMPTY&gt;"));</v>
      </c>
      <c r="E369" s="1" t="s">
        <v>18</v>
      </c>
      <c r="F369" t="s">
        <v>24</v>
      </c>
      <c r="G369" t="s">
        <v>13</v>
      </c>
      <c r="H369" s="1" t="s">
        <v>13</v>
      </c>
      <c r="I369" s="8"/>
      <c r="J369" s="2" t="str">
        <f t="shared" ref="J369:J378" si="58">VLOOKUP(K369,C:D,2,FALSE)</f>
        <v>strcpy(PresetName0,("&lt;EMPTY&gt;"));</v>
      </c>
      <c r="K369" s="3">
        <f>K368</f>
        <v>260</v>
      </c>
    </row>
    <row r="370" spans="1:11" customFormat="1">
      <c r="A370">
        <v>366</v>
      </c>
      <c r="B370" t="s">
        <v>849</v>
      </c>
      <c r="C370" s="1">
        <v>366</v>
      </c>
      <c r="D370" s="1" t="str">
        <f t="shared" si="51"/>
        <v>strcpy(PresetName6,("&lt;EMPTY&gt;"));</v>
      </c>
      <c r="E370" s="1" t="s">
        <v>18</v>
      </c>
      <c r="F370" t="s">
        <v>25</v>
      </c>
      <c r="G370" t="s">
        <v>13</v>
      </c>
      <c r="H370" s="1" t="s">
        <v>13</v>
      </c>
      <c r="I370" s="8"/>
      <c r="J370" s="2" t="str">
        <f t="shared" si="58"/>
        <v>strcpy(PresetName1,("&lt;EMPTY&gt;"));</v>
      </c>
      <c r="K370" s="3">
        <f>K369+1</f>
        <v>261</v>
      </c>
    </row>
    <row r="371" spans="1:11" customFormat="1">
      <c r="A371">
        <v>367</v>
      </c>
      <c r="B371" t="s">
        <v>849</v>
      </c>
      <c r="C371" s="1">
        <v>367</v>
      </c>
      <c r="D371" s="1" t="str">
        <f t="shared" si="51"/>
        <v>strcpy(PresetName7,("&lt;EMPTY&gt;"));</v>
      </c>
      <c r="E371" s="1" t="s">
        <v>18</v>
      </c>
      <c r="F371" t="s">
        <v>26</v>
      </c>
      <c r="G371" t="s">
        <v>13</v>
      </c>
      <c r="H371" s="1" t="s">
        <v>13</v>
      </c>
      <c r="I371" s="8"/>
      <c r="J371" s="2" t="str">
        <f t="shared" si="58"/>
        <v>strcpy(PresetName2,("&lt;EMPTY&gt;"));</v>
      </c>
      <c r="K371" s="3">
        <f t="shared" ref="K371:K378" si="59">K370+1</f>
        <v>262</v>
      </c>
    </row>
    <row r="372" spans="1:11" customFormat="1">
      <c r="A372">
        <v>368</v>
      </c>
      <c r="B372" t="s">
        <v>849</v>
      </c>
      <c r="C372" s="1">
        <v>368</v>
      </c>
      <c r="D372" s="1" t="str">
        <f t="shared" si="51"/>
        <v>strcpy(PresetName8,("&lt;EMPTY&gt;"));</v>
      </c>
      <c r="E372" s="1" t="s">
        <v>18</v>
      </c>
      <c r="F372" t="s">
        <v>27</v>
      </c>
      <c r="G372" t="s">
        <v>13</v>
      </c>
      <c r="H372" s="1" t="s">
        <v>13</v>
      </c>
      <c r="I372" s="8"/>
      <c r="J372" s="2" t="str">
        <f t="shared" si="58"/>
        <v>strcpy(PresetName3,("&lt;EMPTY&gt;"));</v>
      </c>
      <c r="K372" s="3">
        <f t="shared" si="59"/>
        <v>263</v>
      </c>
    </row>
    <row r="373" spans="1:11" customFormat="1">
      <c r="A373">
        <v>369</v>
      </c>
      <c r="B373" t="s">
        <v>849</v>
      </c>
      <c r="C373" s="1">
        <v>369</v>
      </c>
      <c r="D373" s="1" t="str">
        <f t="shared" si="51"/>
        <v>strcpy(PresetName9,("&lt;EMPTY&gt;"));</v>
      </c>
      <c r="E373" s="1" t="s">
        <v>18</v>
      </c>
      <c r="F373" t="s">
        <v>28</v>
      </c>
      <c r="G373" t="s">
        <v>13</v>
      </c>
      <c r="H373" s="1" t="s">
        <v>13</v>
      </c>
      <c r="I373" s="8"/>
      <c r="J373" s="2" t="str">
        <f t="shared" si="58"/>
        <v>strcpy(PresetName4,("&lt;EMPTY&gt;"));</v>
      </c>
      <c r="K373" s="3">
        <f t="shared" si="59"/>
        <v>264</v>
      </c>
    </row>
    <row r="374" spans="1:11" customFormat="1">
      <c r="A374">
        <v>370</v>
      </c>
      <c r="B374" t="s">
        <v>849</v>
      </c>
      <c r="C374" s="1">
        <v>370</v>
      </c>
      <c r="D374" s="1" t="str">
        <f t="shared" si="51"/>
        <v>strcpy(PresetName0,("&lt;EMPTY&gt;"));</v>
      </c>
      <c r="E374" s="1" t="s">
        <v>18</v>
      </c>
      <c r="F374" t="s">
        <v>19</v>
      </c>
      <c r="G374" t="s">
        <v>13</v>
      </c>
      <c r="H374" s="1" t="s">
        <v>13</v>
      </c>
      <c r="I374" s="8"/>
      <c r="J374" s="2" t="str">
        <f t="shared" si="58"/>
        <v>strcpy(PresetName5,("&lt;EMPTY&gt;"));</v>
      </c>
      <c r="K374" s="3">
        <f t="shared" si="59"/>
        <v>265</v>
      </c>
    </row>
    <row r="375" spans="1:11" customFormat="1">
      <c r="A375">
        <v>371</v>
      </c>
      <c r="B375" t="s">
        <v>849</v>
      </c>
      <c r="C375" s="1">
        <v>371</v>
      </c>
      <c r="D375" s="1" t="str">
        <f t="shared" si="51"/>
        <v>strcpy(PresetName1,("&lt;EMPTY&gt;"));</v>
      </c>
      <c r="E375" s="1" t="s">
        <v>18</v>
      </c>
      <c r="F375" t="s">
        <v>20</v>
      </c>
      <c r="G375" t="s">
        <v>13</v>
      </c>
      <c r="H375" s="1" t="s">
        <v>13</v>
      </c>
      <c r="I375" s="8"/>
      <c r="J375" s="2" t="str">
        <f t="shared" si="58"/>
        <v>strcpy(PresetName6,("&lt;EMPTY&gt;"));</v>
      </c>
      <c r="K375" s="3">
        <f t="shared" si="59"/>
        <v>266</v>
      </c>
    </row>
    <row r="376" spans="1:11" customFormat="1">
      <c r="A376">
        <v>372</v>
      </c>
      <c r="B376" t="s">
        <v>849</v>
      </c>
      <c r="C376" s="1">
        <v>372</v>
      </c>
      <c r="D376" s="1" t="str">
        <f t="shared" si="51"/>
        <v>strcpy(PresetName2,("&lt;EMPTY&gt;"));</v>
      </c>
      <c r="E376" s="1" t="s">
        <v>18</v>
      </c>
      <c r="F376" t="s">
        <v>21</v>
      </c>
      <c r="G376" t="s">
        <v>13</v>
      </c>
      <c r="H376" s="1" t="s">
        <v>13</v>
      </c>
      <c r="I376" s="8"/>
      <c r="J376" s="2" t="str">
        <f t="shared" si="58"/>
        <v>strcpy(PresetName7,("&lt;EMPTY&gt;"));</v>
      </c>
      <c r="K376" s="3">
        <f t="shared" si="59"/>
        <v>267</v>
      </c>
    </row>
    <row r="377" spans="1:11" customFormat="1">
      <c r="A377">
        <v>373</v>
      </c>
      <c r="B377" t="s">
        <v>849</v>
      </c>
      <c r="C377" s="1">
        <v>373</v>
      </c>
      <c r="D377" s="1" t="str">
        <f t="shared" si="51"/>
        <v>strcpy(PresetName3,("&lt;EMPTY&gt;"));</v>
      </c>
      <c r="E377" s="1" t="s">
        <v>18</v>
      </c>
      <c r="F377" t="s">
        <v>22</v>
      </c>
      <c r="G377" t="s">
        <v>13</v>
      </c>
      <c r="H377" s="1" t="s">
        <v>13</v>
      </c>
      <c r="I377" s="8"/>
      <c r="J377" s="2" t="str">
        <f t="shared" si="58"/>
        <v>strcpy(PresetName8,("&lt;EMPTY&gt;"));</v>
      </c>
      <c r="K377" s="3">
        <f t="shared" si="59"/>
        <v>268</v>
      </c>
    </row>
    <row r="378" spans="1:11" customFormat="1">
      <c r="A378">
        <v>374</v>
      </c>
      <c r="B378" t="s">
        <v>849</v>
      </c>
      <c r="C378" s="1">
        <v>374</v>
      </c>
      <c r="D378" s="1" t="str">
        <f t="shared" si="51"/>
        <v>strcpy(PresetName4,("&lt;EMPTY&gt;"));</v>
      </c>
      <c r="E378" s="1" t="s">
        <v>18</v>
      </c>
      <c r="F378" t="s">
        <v>23</v>
      </c>
      <c r="G378" t="s">
        <v>13</v>
      </c>
      <c r="H378" s="1" t="s">
        <v>13</v>
      </c>
      <c r="I378" s="8"/>
      <c r="J378" s="2" t="str">
        <f t="shared" si="58"/>
        <v>strcpy(PresetName9,("&lt;EMPTY&gt;"));</v>
      </c>
      <c r="K378" s="3">
        <f t="shared" si="59"/>
        <v>269</v>
      </c>
    </row>
    <row r="379" spans="1:11" customFormat="1">
      <c r="A379">
        <v>375</v>
      </c>
      <c r="B379" t="s">
        <v>849</v>
      </c>
      <c r="C379" s="1">
        <v>375</v>
      </c>
      <c r="D379" s="1" t="str">
        <f t="shared" si="51"/>
        <v>strcpy(PresetName5,("&lt;EMPTY&gt;"));</v>
      </c>
      <c r="E379" s="1" t="s">
        <v>18</v>
      </c>
      <c r="F379" t="s">
        <v>24</v>
      </c>
      <c r="G379" t="s">
        <v>13</v>
      </c>
      <c r="H379" s="1" t="s">
        <v>13</v>
      </c>
      <c r="I379" s="8"/>
      <c r="J379" s="2"/>
      <c r="K379" s="3"/>
    </row>
    <row r="380" spans="1:11" customFormat="1">
      <c r="A380">
        <v>376</v>
      </c>
      <c r="B380" t="s">
        <v>849</v>
      </c>
      <c r="C380" s="1">
        <v>376</v>
      </c>
      <c r="D380" s="1" t="str">
        <f t="shared" si="51"/>
        <v>strcpy(PresetName6,("&lt;EMPTY&gt;"));</v>
      </c>
      <c r="E380" s="1" t="s">
        <v>18</v>
      </c>
      <c r="F380" t="s">
        <v>25</v>
      </c>
      <c r="G380" t="s">
        <v>13</v>
      </c>
      <c r="H380" s="1" t="s">
        <v>13</v>
      </c>
      <c r="I380" s="8"/>
      <c r="J380" s="2" t="s">
        <v>29</v>
      </c>
      <c r="K380" s="3"/>
    </row>
    <row r="381" spans="1:11" customFormat="1">
      <c r="A381">
        <v>377</v>
      </c>
      <c r="B381" t="s">
        <v>849</v>
      </c>
      <c r="C381" s="1">
        <v>377</v>
      </c>
      <c r="D381" s="1" t="str">
        <f t="shared" si="51"/>
        <v>strcpy(PresetName7,("&lt;EMPTY&gt;"));</v>
      </c>
      <c r="E381" s="1" t="s">
        <v>18</v>
      </c>
      <c r="F381" t="s">
        <v>26</v>
      </c>
      <c r="G381" t="s">
        <v>13</v>
      </c>
      <c r="H381" s="1" t="s">
        <v>13</v>
      </c>
      <c r="I381" s="8"/>
      <c r="J381" s="2"/>
      <c r="K381" s="3"/>
    </row>
    <row r="382" spans="1:11" customFormat="1">
      <c r="A382">
        <v>378</v>
      </c>
      <c r="B382" t="s">
        <v>849</v>
      </c>
      <c r="C382" s="1">
        <v>378</v>
      </c>
      <c r="D382" s="1" t="str">
        <f t="shared" si="51"/>
        <v>strcpy(PresetName8,("&lt;EMPTY&gt;"));</v>
      </c>
      <c r="E382" s="1" t="s">
        <v>18</v>
      </c>
      <c r="F382" t="s">
        <v>27</v>
      </c>
      <c r="G382" t="s">
        <v>13</v>
      </c>
      <c r="H382" s="1" t="s">
        <v>13</v>
      </c>
      <c r="I382" s="8"/>
      <c r="J382" s="2" t="str">
        <f xml:space="preserve"> "case "&amp; K382&amp;": "</f>
        <v xml:space="preserve">case 270: </v>
      </c>
      <c r="K382" s="3">
        <f>K368+10</f>
        <v>270</v>
      </c>
    </row>
    <row r="383" spans="1:11" customFormat="1">
      <c r="A383">
        <v>379</v>
      </c>
      <c r="B383" t="s">
        <v>849</v>
      </c>
      <c r="C383" s="1">
        <v>379</v>
      </c>
      <c r="D383" s="1" t="str">
        <f t="shared" si="51"/>
        <v>strcpy(PresetName9,("&lt;EMPTY&gt;"));</v>
      </c>
      <c r="E383" s="1" t="s">
        <v>18</v>
      </c>
      <c r="F383" t="s">
        <v>28</v>
      </c>
      <c r="G383" t="s">
        <v>13</v>
      </c>
      <c r="H383" s="1" t="s">
        <v>13</v>
      </c>
      <c r="I383" s="8"/>
      <c r="J383" s="2" t="str">
        <f t="shared" ref="J383:J392" si="60">VLOOKUP(K383,C:D,2,FALSE)</f>
        <v>strcpy(PresetName0,("&lt;EMPTY&gt;"));</v>
      </c>
      <c r="K383" s="3">
        <f>K382</f>
        <v>270</v>
      </c>
    </row>
    <row r="384" spans="1:11" customFormat="1">
      <c r="A384">
        <v>380</v>
      </c>
      <c r="B384" t="s">
        <v>849</v>
      </c>
      <c r="C384" s="1">
        <v>380</v>
      </c>
      <c r="D384" s="1" t="str">
        <f t="shared" si="51"/>
        <v>strcpy(PresetName0,("&lt;EMPTY&gt;"));</v>
      </c>
      <c r="E384" s="1" t="s">
        <v>18</v>
      </c>
      <c r="F384" t="s">
        <v>19</v>
      </c>
      <c r="G384" t="s">
        <v>13</v>
      </c>
      <c r="H384" s="1" t="s">
        <v>13</v>
      </c>
      <c r="I384" s="8"/>
      <c r="J384" s="2" t="str">
        <f t="shared" si="60"/>
        <v>strcpy(PresetName1,("&lt;EMPTY&gt;"));</v>
      </c>
      <c r="K384" s="3">
        <f>K383+1</f>
        <v>271</v>
      </c>
    </row>
    <row r="385" spans="1:11" customFormat="1">
      <c r="A385">
        <v>381</v>
      </c>
      <c r="B385" t="s">
        <v>849</v>
      </c>
      <c r="C385" s="1">
        <v>381</v>
      </c>
      <c r="D385" s="1" t="str">
        <f t="shared" si="51"/>
        <v>strcpy(PresetName1,("&lt;EMPTY&gt;"));</v>
      </c>
      <c r="E385" s="1" t="s">
        <v>18</v>
      </c>
      <c r="F385" t="s">
        <v>20</v>
      </c>
      <c r="G385" t="s">
        <v>13</v>
      </c>
      <c r="H385" s="1" t="s">
        <v>13</v>
      </c>
      <c r="I385" s="8"/>
      <c r="J385" s="2" t="str">
        <f t="shared" si="60"/>
        <v>strcpy(PresetName2,("&lt;EMPTY&gt;"));</v>
      </c>
      <c r="K385" s="3">
        <f t="shared" ref="K385:K392" si="61">K384+1</f>
        <v>272</v>
      </c>
    </row>
    <row r="386" spans="1:11" customFormat="1">
      <c r="A386">
        <v>382</v>
      </c>
      <c r="B386" t="s">
        <v>849</v>
      </c>
      <c r="C386" s="1">
        <v>382</v>
      </c>
      <c r="D386" s="1" t="str">
        <f t="shared" si="51"/>
        <v>strcpy(PresetName2,("&lt;EMPTY&gt;"));</v>
      </c>
      <c r="E386" s="1" t="s">
        <v>18</v>
      </c>
      <c r="F386" t="s">
        <v>21</v>
      </c>
      <c r="G386" t="s">
        <v>13</v>
      </c>
      <c r="H386" s="1" t="s">
        <v>13</v>
      </c>
      <c r="I386" s="8"/>
      <c r="J386" s="2" t="str">
        <f t="shared" si="60"/>
        <v>strcpy(PresetName3,("&lt;EMPTY&gt;"));</v>
      </c>
      <c r="K386" s="3">
        <f t="shared" si="61"/>
        <v>273</v>
      </c>
    </row>
    <row r="387" spans="1:11" customFormat="1">
      <c r="A387">
        <v>383</v>
      </c>
      <c r="B387" t="s">
        <v>849</v>
      </c>
      <c r="C387" s="1">
        <v>383</v>
      </c>
      <c r="D387" s="1" t="str">
        <f t="shared" si="51"/>
        <v>strcpy(PresetName3,("&lt;EMPTY&gt;"));</v>
      </c>
      <c r="E387" s="1" t="s">
        <v>18</v>
      </c>
      <c r="F387" t="s">
        <v>22</v>
      </c>
      <c r="G387" t="s">
        <v>13</v>
      </c>
      <c r="H387" s="1" t="s">
        <v>13</v>
      </c>
      <c r="I387" s="8"/>
      <c r="J387" s="2" t="str">
        <f t="shared" si="60"/>
        <v>strcpy(PresetName4,("&lt;EMPTY&gt;"));</v>
      </c>
      <c r="K387" s="3">
        <f t="shared" si="61"/>
        <v>274</v>
      </c>
    </row>
    <row r="388" spans="1:11" customFormat="1">
      <c r="A388">
        <v>384</v>
      </c>
      <c r="B388" t="s">
        <v>849</v>
      </c>
      <c r="C388" s="1">
        <v>384</v>
      </c>
      <c r="D388" s="1" t="str">
        <f t="shared" ref="D388:D451" si="62">E388&amp;F388&amp;","&amp;"("&amp;G388&amp;B388&amp;H388&amp;"))"&amp;";"</f>
        <v>strcpy(PresetName4,("&lt;EMPTY&gt;"));</v>
      </c>
      <c r="E388" s="1" t="s">
        <v>18</v>
      </c>
      <c r="F388" t="s">
        <v>23</v>
      </c>
      <c r="G388" t="s">
        <v>13</v>
      </c>
      <c r="H388" s="1" t="s">
        <v>13</v>
      </c>
      <c r="I388" s="8"/>
      <c r="J388" s="2" t="str">
        <f t="shared" si="60"/>
        <v>strcpy(PresetName5,("&lt;EMPTY&gt;"));</v>
      </c>
      <c r="K388" s="3">
        <f t="shared" si="61"/>
        <v>275</v>
      </c>
    </row>
    <row r="389" spans="1:11" customFormat="1">
      <c r="A389">
        <v>385</v>
      </c>
      <c r="B389" t="s">
        <v>849</v>
      </c>
      <c r="C389" s="1">
        <v>385</v>
      </c>
      <c r="D389" s="1" t="str">
        <f t="shared" si="62"/>
        <v>strcpy(PresetName5,("&lt;EMPTY&gt;"));</v>
      </c>
      <c r="E389" s="1" t="s">
        <v>18</v>
      </c>
      <c r="F389" t="s">
        <v>24</v>
      </c>
      <c r="G389" t="s">
        <v>13</v>
      </c>
      <c r="H389" s="1" t="s">
        <v>13</v>
      </c>
      <c r="I389" s="8"/>
      <c r="J389" s="2" t="str">
        <f t="shared" si="60"/>
        <v>strcpy(PresetName6,("&lt;EMPTY&gt;"));</v>
      </c>
      <c r="K389" s="3">
        <f t="shared" si="61"/>
        <v>276</v>
      </c>
    </row>
    <row r="390" spans="1:11" customFormat="1">
      <c r="A390">
        <v>386</v>
      </c>
      <c r="B390" t="s">
        <v>849</v>
      </c>
      <c r="C390" s="1">
        <v>386</v>
      </c>
      <c r="D390" s="1" t="str">
        <f t="shared" si="62"/>
        <v>strcpy(PresetName6,("&lt;EMPTY&gt;"));</v>
      </c>
      <c r="E390" s="1" t="s">
        <v>18</v>
      </c>
      <c r="F390" t="s">
        <v>25</v>
      </c>
      <c r="G390" t="s">
        <v>13</v>
      </c>
      <c r="H390" s="1" t="s">
        <v>13</v>
      </c>
      <c r="I390" s="8"/>
      <c r="J390" s="2" t="str">
        <f t="shared" si="60"/>
        <v>strcpy(PresetName7,("&lt;EMPTY&gt;"));</v>
      </c>
      <c r="K390" s="3">
        <f t="shared" si="61"/>
        <v>277</v>
      </c>
    </row>
    <row r="391" spans="1:11" customFormat="1">
      <c r="A391">
        <v>387</v>
      </c>
      <c r="B391" t="s">
        <v>849</v>
      </c>
      <c r="C391" s="1">
        <v>387</v>
      </c>
      <c r="D391" s="1" t="str">
        <f t="shared" si="62"/>
        <v>strcpy(PresetName7,("&lt;EMPTY&gt;"));</v>
      </c>
      <c r="E391" s="1" t="s">
        <v>18</v>
      </c>
      <c r="F391" t="s">
        <v>26</v>
      </c>
      <c r="G391" t="s">
        <v>13</v>
      </c>
      <c r="H391" s="1" t="s">
        <v>13</v>
      </c>
      <c r="I391" s="8"/>
      <c r="J391" s="2" t="str">
        <f t="shared" si="60"/>
        <v>strcpy(PresetName8,("&lt;EMPTY&gt;"));</v>
      </c>
      <c r="K391" s="3">
        <f t="shared" si="61"/>
        <v>278</v>
      </c>
    </row>
    <row r="392" spans="1:11" customFormat="1">
      <c r="A392">
        <v>388</v>
      </c>
      <c r="B392" t="s">
        <v>849</v>
      </c>
      <c r="C392" s="1">
        <v>388</v>
      </c>
      <c r="D392" s="1" t="str">
        <f t="shared" si="62"/>
        <v>strcpy(PresetName8,("&lt;EMPTY&gt;"));</v>
      </c>
      <c r="E392" s="1" t="s">
        <v>18</v>
      </c>
      <c r="F392" t="s">
        <v>27</v>
      </c>
      <c r="G392" t="s">
        <v>13</v>
      </c>
      <c r="H392" s="1" t="s">
        <v>13</v>
      </c>
      <c r="I392" s="8"/>
      <c r="J392" s="2" t="str">
        <f t="shared" si="60"/>
        <v>strcpy(PresetName9,("&lt;EMPTY&gt;"));</v>
      </c>
      <c r="K392" s="3">
        <f t="shared" si="61"/>
        <v>279</v>
      </c>
    </row>
    <row r="393" spans="1:11" customFormat="1">
      <c r="A393">
        <v>389</v>
      </c>
      <c r="B393" t="s">
        <v>849</v>
      </c>
      <c r="C393" s="1">
        <v>389</v>
      </c>
      <c r="D393" s="1" t="str">
        <f t="shared" si="62"/>
        <v>strcpy(PresetName9,("&lt;EMPTY&gt;"));</v>
      </c>
      <c r="E393" s="1" t="s">
        <v>18</v>
      </c>
      <c r="F393" t="s">
        <v>28</v>
      </c>
      <c r="G393" t="s">
        <v>13</v>
      </c>
      <c r="H393" s="1" t="s">
        <v>13</v>
      </c>
      <c r="I393" s="8"/>
      <c r="J393" s="2"/>
      <c r="K393" s="3"/>
    </row>
    <row r="394" spans="1:11" customFormat="1">
      <c r="A394">
        <v>390</v>
      </c>
      <c r="B394" t="s">
        <v>849</v>
      </c>
      <c r="C394" s="1">
        <v>390</v>
      </c>
      <c r="D394" s="1" t="str">
        <f t="shared" si="62"/>
        <v>strcpy(PresetName0,("&lt;EMPTY&gt;"));</v>
      </c>
      <c r="E394" s="1" t="s">
        <v>18</v>
      </c>
      <c r="F394" t="s">
        <v>19</v>
      </c>
      <c r="G394" t="s">
        <v>13</v>
      </c>
      <c r="H394" s="1" t="s">
        <v>13</v>
      </c>
      <c r="I394" s="8"/>
      <c r="J394" s="2" t="s">
        <v>29</v>
      </c>
      <c r="K394" s="3"/>
    </row>
    <row r="395" spans="1:11" customFormat="1">
      <c r="A395">
        <v>391</v>
      </c>
      <c r="B395" t="s">
        <v>849</v>
      </c>
      <c r="C395" s="1">
        <v>391</v>
      </c>
      <c r="D395" s="1" t="str">
        <f t="shared" si="62"/>
        <v>strcpy(PresetName1,("&lt;EMPTY&gt;"));</v>
      </c>
      <c r="E395" s="1" t="s">
        <v>18</v>
      </c>
      <c r="F395" t="s">
        <v>20</v>
      </c>
      <c r="G395" t="s">
        <v>13</v>
      </c>
      <c r="H395" s="1" t="s">
        <v>13</v>
      </c>
      <c r="I395" s="8"/>
      <c r="J395" s="2"/>
      <c r="K395" s="3"/>
    </row>
    <row r="396" spans="1:11" customFormat="1">
      <c r="A396">
        <v>392</v>
      </c>
      <c r="B396" t="s">
        <v>849</v>
      </c>
      <c r="C396" s="1">
        <v>392</v>
      </c>
      <c r="D396" s="1" t="str">
        <f t="shared" si="62"/>
        <v>strcpy(PresetName2,("&lt;EMPTY&gt;"));</v>
      </c>
      <c r="E396" s="1" t="s">
        <v>18</v>
      </c>
      <c r="F396" t="s">
        <v>21</v>
      </c>
      <c r="G396" t="s">
        <v>13</v>
      </c>
      <c r="H396" s="1" t="s">
        <v>13</v>
      </c>
      <c r="I396" s="8"/>
      <c r="J396" s="2" t="str">
        <f xml:space="preserve"> "case "&amp; K396&amp;": "</f>
        <v xml:space="preserve">case 280: </v>
      </c>
      <c r="K396" s="3">
        <f>K382+10</f>
        <v>280</v>
      </c>
    </row>
    <row r="397" spans="1:11" customFormat="1">
      <c r="A397">
        <v>393</v>
      </c>
      <c r="B397" t="s">
        <v>849</v>
      </c>
      <c r="C397" s="1">
        <v>393</v>
      </c>
      <c r="D397" s="1" t="str">
        <f t="shared" si="62"/>
        <v>strcpy(PresetName3,("&lt;EMPTY&gt;"));</v>
      </c>
      <c r="E397" s="1" t="s">
        <v>18</v>
      </c>
      <c r="F397" t="s">
        <v>22</v>
      </c>
      <c r="G397" t="s">
        <v>13</v>
      </c>
      <c r="H397" s="1" t="s">
        <v>13</v>
      </c>
      <c r="I397" s="8"/>
      <c r="J397" s="2" t="str">
        <f t="shared" ref="J397:J406" si="63">VLOOKUP(K397,C:D,2,FALSE)</f>
        <v>strcpy(PresetName0,("&lt;EMPTY&gt;"));</v>
      </c>
      <c r="K397" s="3">
        <f>K396</f>
        <v>280</v>
      </c>
    </row>
    <row r="398" spans="1:11" customFormat="1">
      <c r="A398">
        <v>394</v>
      </c>
      <c r="B398" t="s">
        <v>849</v>
      </c>
      <c r="C398" s="1">
        <v>394</v>
      </c>
      <c r="D398" s="1" t="str">
        <f t="shared" si="62"/>
        <v>strcpy(PresetName4,("&lt;EMPTY&gt;"));</v>
      </c>
      <c r="E398" s="1" t="s">
        <v>18</v>
      </c>
      <c r="F398" t="s">
        <v>23</v>
      </c>
      <c r="G398" t="s">
        <v>13</v>
      </c>
      <c r="H398" s="1" t="s">
        <v>13</v>
      </c>
      <c r="I398" s="8"/>
      <c r="J398" s="2" t="str">
        <f t="shared" si="63"/>
        <v>strcpy(PresetName1,("&lt;EMPTY&gt;"));</v>
      </c>
      <c r="K398" s="3">
        <f>K397+1</f>
        <v>281</v>
      </c>
    </row>
    <row r="399" spans="1:11" customFormat="1">
      <c r="A399">
        <v>395</v>
      </c>
      <c r="B399" t="s">
        <v>849</v>
      </c>
      <c r="C399" s="1">
        <v>395</v>
      </c>
      <c r="D399" s="1" t="str">
        <f t="shared" si="62"/>
        <v>strcpy(PresetName5,("&lt;EMPTY&gt;"));</v>
      </c>
      <c r="E399" s="1" t="s">
        <v>18</v>
      </c>
      <c r="F399" t="s">
        <v>24</v>
      </c>
      <c r="G399" t="s">
        <v>13</v>
      </c>
      <c r="H399" s="1" t="s">
        <v>13</v>
      </c>
      <c r="I399" s="8"/>
      <c r="J399" s="2" t="str">
        <f t="shared" si="63"/>
        <v>strcpy(PresetName2,("&lt;EMPTY&gt;"));</v>
      </c>
      <c r="K399" s="3">
        <f t="shared" ref="K399:K406" si="64">K398+1</f>
        <v>282</v>
      </c>
    </row>
    <row r="400" spans="1:11" customFormat="1">
      <c r="A400">
        <v>396</v>
      </c>
      <c r="B400" t="s">
        <v>849</v>
      </c>
      <c r="C400" s="1">
        <v>396</v>
      </c>
      <c r="D400" s="1" t="str">
        <f t="shared" si="62"/>
        <v>strcpy(PresetName6,("&lt;EMPTY&gt;"));</v>
      </c>
      <c r="E400" s="1" t="s">
        <v>18</v>
      </c>
      <c r="F400" t="s">
        <v>25</v>
      </c>
      <c r="G400" t="s">
        <v>13</v>
      </c>
      <c r="H400" s="1" t="s">
        <v>13</v>
      </c>
      <c r="I400" s="8"/>
      <c r="J400" s="2" t="str">
        <f t="shared" si="63"/>
        <v>strcpy(PresetName3,("&lt;EMPTY&gt;"));</v>
      </c>
      <c r="K400" s="3">
        <f t="shared" si="64"/>
        <v>283</v>
      </c>
    </row>
    <row r="401" spans="1:11" customFormat="1">
      <c r="A401">
        <v>397</v>
      </c>
      <c r="B401" t="s">
        <v>849</v>
      </c>
      <c r="C401" s="1">
        <v>397</v>
      </c>
      <c r="D401" s="1" t="str">
        <f t="shared" si="62"/>
        <v>strcpy(PresetName7,("&lt;EMPTY&gt;"));</v>
      </c>
      <c r="E401" s="1" t="s">
        <v>18</v>
      </c>
      <c r="F401" t="s">
        <v>26</v>
      </c>
      <c r="G401" t="s">
        <v>13</v>
      </c>
      <c r="H401" s="1" t="s">
        <v>13</v>
      </c>
      <c r="I401" s="8"/>
      <c r="J401" s="2" t="str">
        <f t="shared" si="63"/>
        <v>strcpy(PresetName4,("&lt;EMPTY&gt;"));</v>
      </c>
      <c r="K401" s="3">
        <f t="shared" si="64"/>
        <v>284</v>
      </c>
    </row>
    <row r="402" spans="1:11" customFormat="1">
      <c r="A402">
        <v>398</v>
      </c>
      <c r="B402" t="s">
        <v>849</v>
      </c>
      <c r="C402" s="1">
        <v>398</v>
      </c>
      <c r="D402" s="1" t="str">
        <f t="shared" si="62"/>
        <v>strcpy(PresetName8,("&lt;EMPTY&gt;"));</v>
      </c>
      <c r="E402" s="1" t="s">
        <v>18</v>
      </c>
      <c r="F402" t="s">
        <v>27</v>
      </c>
      <c r="G402" t="s">
        <v>13</v>
      </c>
      <c r="H402" s="1" t="s">
        <v>13</v>
      </c>
      <c r="I402" s="8"/>
      <c r="J402" s="2" t="str">
        <f t="shared" si="63"/>
        <v>strcpy(PresetName5,("&lt;EMPTY&gt;"));</v>
      </c>
      <c r="K402" s="3">
        <f t="shared" si="64"/>
        <v>285</v>
      </c>
    </row>
    <row r="403" spans="1:11" customFormat="1">
      <c r="A403">
        <v>399</v>
      </c>
      <c r="B403" t="s">
        <v>849</v>
      </c>
      <c r="C403" s="1">
        <v>399</v>
      </c>
      <c r="D403" s="1" t="str">
        <f t="shared" si="62"/>
        <v>strcpy(PresetName9,("&lt;EMPTY&gt;"));</v>
      </c>
      <c r="E403" s="1" t="s">
        <v>18</v>
      </c>
      <c r="F403" t="s">
        <v>28</v>
      </c>
      <c r="G403" t="s">
        <v>13</v>
      </c>
      <c r="H403" s="1" t="s">
        <v>13</v>
      </c>
      <c r="I403" s="8"/>
      <c r="J403" s="2" t="str">
        <f t="shared" si="63"/>
        <v>strcpy(PresetName6,("&lt;EMPTY&gt;"));</v>
      </c>
      <c r="K403" s="3">
        <f t="shared" si="64"/>
        <v>286</v>
      </c>
    </row>
    <row r="404" spans="1:11" customFormat="1">
      <c r="A404">
        <v>400</v>
      </c>
      <c r="B404" t="s">
        <v>849</v>
      </c>
      <c r="C404" s="1">
        <v>400</v>
      </c>
      <c r="D404" s="1" t="str">
        <f t="shared" si="62"/>
        <v>strcpy(PresetName0,("&lt;EMPTY&gt;"));</v>
      </c>
      <c r="E404" s="1" t="s">
        <v>18</v>
      </c>
      <c r="F404" t="s">
        <v>19</v>
      </c>
      <c r="G404" t="s">
        <v>13</v>
      </c>
      <c r="H404" s="1" t="s">
        <v>13</v>
      </c>
      <c r="I404" s="8"/>
      <c r="J404" s="2" t="str">
        <f t="shared" si="63"/>
        <v>strcpy(PresetName7,("&lt;EMPTY&gt;"));</v>
      </c>
      <c r="K404" s="3">
        <f t="shared" si="64"/>
        <v>287</v>
      </c>
    </row>
    <row r="405" spans="1:11" customFormat="1">
      <c r="A405">
        <v>401</v>
      </c>
      <c r="B405" t="s">
        <v>849</v>
      </c>
      <c r="C405" s="1">
        <v>401</v>
      </c>
      <c r="D405" s="1" t="str">
        <f t="shared" si="62"/>
        <v>strcpy(PresetName1,("&lt;EMPTY&gt;"));</v>
      </c>
      <c r="E405" s="1" t="s">
        <v>18</v>
      </c>
      <c r="F405" t="s">
        <v>20</v>
      </c>
      <c r="G405" t="s">
        <v>13</v>
      </c>
      <c r="H405" s="1" t="s">
        <v>13</v>
      </c>
      <c r="I405" s="8"/>
      <c r="J405" s="2" t="str">
        <f t="shared" si="63"/>
        <v>strcpy(PresetName8,("&lt;EMPTY&gt;"));</v>
      </c>
      <c r="K405" s="3">
        <f t="shared" si="64"/>
        <v>288</v>
      </c>
    </row>
    <row r="406" spans="1:11" customFormat="1">
      <c r="A406">
        <v>402</v>
      </c>
      <c r="B406" t="s">
        <v>849</v>
      </c>
      <c r="C406" s="1">
        <v>402</v>
      </c>
      <c r="D406" s="1" t="str">
        <f t="shared" si="62"/>
        <v>strcpy(PresetName2,("&lt;EMPTY&gt;"));</v>
      </c>
      <c r="E406" s="1" t="s">
        <v>18</v>
      </c>
      <c r="F406" t="s">
        <v>21</v>
      </c>
      <c r="G406" t="s">
        <v>13</v>
      </c>
      <c r="H406" s="1" t="s">
        <v>13</v>
      </c>
      <c r="I406" s="8"/>
      <c r="J406" s="2" t="str">
        <f t="shared" si="63"/>
        <v>strcpy(PresetName9,("&lt;EMPTY&gt;"));</v>
      </c>
      <c r="K406" s="3">
        <f t="shared" si="64"/>
        <v>289</v>
      </c>
    </row>
    <row r="407" spans="1:11" customFormat="1">
      <c r="A407">
        <v>403</v>
      </c>
      <c r="B407" t="s">
        <v>849</v>
      </c>
      <c r="C407" s="1">
        <v>403</v>
      </c>
      <c r="D407" s="1" t="str">
        <f t="shared" si="62"/>
        <v>strcpy(PresetName3,("&lt;EMPTY&gt;"));</v>
      </c>
      <c r="E407" s="1" t="s">
        <v>18</v>
      </c>
      <c r="F407" t="s">
        <v>22</v>
      </c>
      <c r="G407" t="s">
        <v>13</v>
      </c>
      <c r="H407" s="1" t="s">
        <v>13</v>
      </c>
      <c r="I407" s="8"/>
      <c r="J407" s="2"/>
      <c r="K407" s="3"/>
    </row>
    <row r="408" spans="1:11" customFormat="1">
      <c r="A408">
        <v>404</v>
      </c>
      <c r="B408" t="s">
        <v>849</v>
      </c>
      <c r="C408" s="1">
        <v>404</v>
      </c>
      <c r="D408" s="1" t="str">
        <f t="shared" si="62"/>
        <v>strcpy(PresetName4,("&lt;EMPTY&gt;"));</v>
      </c>
      <c r="E408" s="1" t="s">
        <v>18</v>
      </c>
      <c r="F408" t="s">
        <v>23</v>
      </c>
      <c r="G408" t="s">
        <v>13</v>
      </c>
      <c r="H408" s="1" t="s">
        <v>13</v>
      </c>
      <c r="I408" s="8"/>
      <c r="J408" s="2" t="s">
        <v>29</v>
      </c>
      <c r="K408" s="3"/>
    </row>
    <row r="409" spans="1:11" customFormat="1">
      <c r="A409">
        <v>405</v>
      </c>
      <c r="B409" t="s">
        <v>849</v>
      </c>
      <c r="C409" s="1">
        <v>405</v>
      </c>
      <c r="D409" s="1" t="str">
        <f t="shared" si="62"/>
        <v>strcpy(PresetName5,("&lt;EMPTY&gt;"));</v>
      </c>
      <c r="E409" s="1" t="s">
        <v>18</v>
      </c>
      <c r="F409" t="s">
        <v>24</v>
      </c>
      <c r="G409" t="s">
        <v>13</v>
      </c>
      <c r="H409" s="1" t="s">
        <v>13</v>
      </c>
      <c r="I409" s="8"/>
      <c r="J409" s="2"/>
      <c r="K409" s="3"/>
    </row>
    <row r="410" spans="1:11" customFormat="1">
      <c r="A410">
        <v>406</v>
      </c>
      <c r="B410" t="s">
        <v>849</v>
      </c>
      <c r="C410" s="1">
        <v>406</v>
      </c>
      <c r="D410" s="1" t="str">
        <f t="shared" si="62"/>
        <v>strcpy(PresetName6,("&lt;EMPTY&gt;"));</v>
      </c>
      <c r="E410" s="1" t="s">
        <v>18</v>
      </c>
      <c r="F410" t="s">
        <v>25</v>
      </c>
      <c r="G410" t="s">
        <v>13</v>
      </c>
      <c r="H410" s="1" t="s">
        <v>13</v>
      </c>
      <c r="I410" s="8"/>
      <c r="J410" s="2" t="str">
        <f xml:space="preserve"> "case "&amp; K410&amp;": "</f>
        <v xml:space="preserve">case 290: </v>
      </c>
      <c r="K410" s="3">
        <f>K396+10</f>
        <v>290</v>
      </c>
    </row>
    <row r="411" spans="1:11" customFormat="1">
      <c r="A411">
        <v>407</v>
      </c>
      <c r="B411" t="s">
        <v>849</v>
      </c>
      <c r="C411" s="1">
        <v>407</v>
      </c>
      <c r="D411" s="1" t="str">
        <f t="shared" si="62"/>
        <v>strcpy(PresetName7,("&lt;EMPTY&gt;"));</v>
      </c>
      <c r="E411" s="1" t="s">
        <v>18</v>
      </c>
      <c r="F411" t="s">
        <v>26</v>
      </c>
      <c r="G411" t="s">
        <v>13</v>
      </c>
      <c r="H411" s="1" t="s">
        <v>13</v>
      </c>
      <c r="I411" s="8"/>
      <c r="J411" s="2" t="str">
        <f t="shared" ref="J411:J420" si="65">VLOOKUP(K411,C:D,2,FALSE)</f>
        <v>strcpy(PresetName0,("&lt;EMPTY&gt;"));</v>
      </c>
      <c r="K411" s="3">
        <f>K410</f>
        <v>290</v>
      </c>
    </row>
    <row r="412" spans="1:11" customFormat="1">
      <c r="A412">
        <v>408</v>
      </c>
      <c r="B412" t="s">
        <v>849</v>
      </c>
      <c r="C412" s="1">
        <v>408</v>
      </c>
      <c r="D412" s="1" t="str">
        <f t="shared" si="62"/>
        <v>strcpy(PresetName8,("&lt;EMPTY&gt;"));</v>
      </c>
      <c r="E412" s="1" t="s">
        <v>18</v>
      </c>
      <c r="F412" t="s">
        <v>27</v>
      </c>
      <c r="G412" t="s">
        <v>13</v>
      </c>
      <c r="H412" s="1" t="s">
        <v>13</v>
      </c>
      <c r="I412" s="8"/>
      <c r="J412" s="2" t="str">
        <f t="shared" si="65"/>
        <v>strcpy(PresetName1,("&lt;EMPTY&gt;"));</v>
      </c>
      <c r="K412" s="3">
        <f>K411+1</f>
        <v>291</v>
      </c>
    </row>
    <row r="413" spans="1:11" customFormat="1">
      <c r="A413">
        <v>409</v>
      </c>
      <c r="B413" t="s">
        <v>849</v>
      </c>
      <c r="C413" s="1">
        <v>409</v>
      </c>
      <c r="D413" s="1" t="str">
        <f t="shared" si="62"/>
        <v>strcpy(PresetName9,("&lt;EMPTY&gt;"));</v>
      </c>
      <c r="E413" s="1" t="s">
        <v>18</v>
      </c>
      <c r="F413" t="s">
        <v>28</v>
      </c>
      <c r="G413" t="s">
        <v>13</v>
      </c>
      <c r="H413" s="1" t="s">
        <v>13</v>
      </c>
      <c r="I413" s="8"/>
      <c r="J413" s="2" t="str">
        <f t="shared" si="65"/>
        <v>strcpy(PresetName2,("&lt;EMPTY&gt;"));</v>
      </c>
      <c r="K413" s="3">
        <f t="shared" ref="K413:K420" si="66">K412+1</f>
        <v>292</v>
      </c>
    </row>
    <row r="414" spans="1:11" customFormat="1">
      <c r="A414">
        <v>410</v>
      </c>
      <c r="B414" t="s">
        <v>849</v>
      </c>
      <c r="C414" s="1">
        <v>410</v>
      </c>
      <c r="D414" s="1" t="str">
        <f t="shared" si="62"/>
        <v>strcpy(PresetName0,("&lt;EMPTY&gt;"));</v>
      </c>
      <c r="E414" s="1" t="s">
        <v>18</v>
      </c>
      <c r="F414" t="s">
        <v>19</v>
      </c>
      <c r="G414" t="s">
        <v>13</v>
      </c>
      <c r="H414" s="1" t="s">
        <v>13</v>
      </c>
      <c r="I414" s="8"/>
      <c r="J414" s="2" t="str">
        <f t="shared" si="65"/>
        <v>strcpy(PresetName3,("&lt;EMPTY&gt;"));</v>
      </c>
      <c r="K414" s="3">
        <f t="shared" si="66"/>
        <v>293</v>
      </c>
    </row>
    <row r="415" spans="1:11" customFormat="1">
      <c r="A415">
        <v>411</v>
      </c>
      <c r="B415" t="s">
        <v>849</v>
      </c>
      <c r="C415" s="1">
        <v>411</v>
      </c>
      <c r="D415" s="1" t="str">
        <f t="shared" si="62"/>
        <v>strcpy(PresetName1,("&lt;EMPTY&gt;"));</v>
      </c>
      <c r="E415" s="1" t="s">
        <v>18</v>
      </c>
      <c r="F415" t="s">
        <v>20</v>
      </c>
      <c r="G415" t="s">
        <v>13</v>
      </c>
      <c r="H415" s="1" t="s">
        <v>13</v>
      </c>
      <c r="I415" s="8"/>
      <c r="J415" s="2" t="str">
        <f t="shared" si="65"/>
        <v>strcpy(PresetName4,("&lt;EMPTY&gt;"));</v>
      </c>
      <c r="K415" s="3">
        <f t="shared" si="66"/>
        <v>294</v>
      </c>
    </row>
    <row r="416" spans="1:11" customFormat="1">
      <c r="A416">
        <v>412</v>
      </c>
      <c r="B416" t="s">
        <v>849</v>
      </c>
      <c r="C416" s="1">
        <v>412</v>
      </c>
      <c r="D416" s="1" t="str">
        <f t="shared" si="62"/>
        <v>strcpy(PresetName2,("&lt;EMPTY&gt;"));</v>
      </c>
      <c r="E416" s="1" t="s">
        <v>18</v>
      </c>
      <c r="F416" t="s">
        <v>21</v>
      </c>
      <c r="G416" t="s">
        <v>13</v>
      </c>
      <c r="H416" s="1" t="s">
        <v>13</v>
      </c>
      <c r="I416" s="8"/>
      <c r="J416" s="2" t="str">
        <f t="shared" si="65"/>
        <v>strcpy(PresetName5,("&lt;EMPTY&gt;"));</v>
      </c>
      <c r="K416" s="3">
        <f t="shared" si="66"/>
        <v>295</v>
      </c>
    </row>
    <row r="417" spans="1:11" customFormat="1">
      <c r="A417">
        <v>413</v>
      </c>
      <c r="B417" t="s">
        <v>849</v>
      </c>
      <c r="C417" s="1">
        <v>413</v>
      </c>
      <c r="D417" s="1" t="str">
        <f t="shared" si="62"/>
        <v>strcpy(PresetName3,("&lt;EMPTY&gt;"));</v>
      </c>
      <c r="E417" s="1" t="s">
        <v>18</v>
      </c>
      <c r="F417" t="s">
        <v>22</v>
      </c>
      <c r="G417" t="s">
        <v>13</v>
      </c>
      <c r="H417" s="1" t="s">
        <v>13</v>
      </c>
      <c r="I417" s="8"/>
      <c r="J417" s="2" t="str">
        <f t="shared" si="65"/>
        <v>strcpy(PresetName6,("&lt;EMPTY&gt;"));</v>
      </c>
      <c r="K417" s="3">
        <f t="shared" si="66"/>
        <v>296</v>
      </c>
    </row>
    <row r="418" spans="1:11" customFormat="1">
      <c r="A418">
        <v>414</v>
      </c>
      <c r="B418" t="s">
        <v>849</v>
      </c>
      <c r="C418" s="1">
        <v>414</v>
      </c>
      <c r="D418" s="1" t="str">
        <f t="shared" si="62"/>
        <v>strcpy(PresetName4,("&lt;EMPTY&gt;"));</v>
      </c>
      <c r="E418" s="1" t="s">
        <v>18</v>
      </c>
      <c r="F418" t="s">
        <v>23</v>
      </c>
      <c r="G418" t="s">
        <v>13</v>
      </c>
      <c r="H418" s="1" t="s">
        <v>13</v>
      </c>
      <c r="I418" s="8"/>
      <c r="J418" s="2" t="str">
        <f t="shared" si="65"/>
        <v>strcpy(PresetName7,("&lt;EMPTY&gt;"));</v>
      </c>
      <c r="K418" s="3">
        <f t="shared" si="66"/>
        <v>297</v>
      </c>
    </row>
    <row r="419" spans="1:11" customFormat="1">
      <c r="A419">
        <v>415</v>
      </c>
      <c r="B419" t="s">
        <v>849</v>
      </c>
      <c r="C419" s="1">
        <v>415</v>
      </c>
      <c r="D419" s="1" t="str">
        <f t="shared" si="62"/>
        <v>strcpy(PresetName5,("&lt;EMPTY&gt;"));</v>
      </c>
      <c r="E419" s="1" t="s">
        <v>18</v>
      </c>
      <c r="F419" t="s">
        <v>24</v>
      </c>
      <c r="G419" t="s">
        <v>13</v>
      </c>
      <c r="H419" s="1" t="s">
        <v>13</v>
      </c>
      <c r="I419" s="8"/>
      <c r="J419" s="2" t="str">
        <f t="shared" si="65"/>
        <v>strcpy(PresetName8,("&lt;EMPTY&gt;"));</v>
      </c>
      <c r="K419" s="3">
        <f t="shared" si="66"/>
        <v>298</v>
      </c>
    </row>
    <row r="420" spans="1:11" customFormat="1">
      <c r="A420">
        <v>416</v>
      </c>
      <c r="B420" t="s">
        <v>849</v>
      </c>
      <c r="C420" s="1">
        <v>416</v>
      </c>
      <c r="D420" s="1" t="str">
        <f t="shared" si="62"/>
        <v>strcpy(PresetName6,("&lt;EMPTY&gt;"));</v>
      </c>
      <c r="E420" s="1" t="s">
        <v>18</v>
      </c>
      <c r="F420" t="s">
        <v>25</v>
      </c>
      <c r="G420" t="s">
        <v>13</v>
      </c>
      <c r="H420" s="1" t="s">
        <v>13</v>
      </c>
      <c r="I420" s="8"/>
      <c r="J420" s="2" t="str">
        <f t="shared" si="65"/>
        <v>strcpy(PresetName9,("&lt;EMPTY&gt;"));</v>
      </c>
      <c r="K420" s="3">
        <f t="shared" si="66"/>
        <v>299</v>
      </c>
    </row>
    <row r="421" spans="1:11" customFormat="1">
      <c r="A421">
        <v>417</v>
      </c>
      <c r="B421" t="s">
        <v>849</v>
      </c>
      <c r="C421" s="1">
        <v>417</v>
      </c>
      <c r="D421" s="1" t="str">
        <f t="shared" si="62"/>
        <v>strcpy(PresetName7,("&lt;EMPTY&gt;"));</v>
      </c>
      <c r="E421" s="1" t="s">
        <v>18</v>
      </c>
      <c r="F421" t="s">
        <v>26</v>
      </c>
      <c r="G421" t="s">
        <v>13</v>
      </c>
      <c r="H421" s="1" t="s">
        <v>13</v>
      </c>
      <c r="I421" s="8"/>
      <c r="J421" s="2"/>
      <c r="K421" s="3"/>
    </row>
    <row r="422" spans="1:11" customFormat="1">
      <c r="A422">
        <v>418</v>
      </c>
      <c r="B422" t="s">
        <v>849</v>
      </c>
      <c r="C422" s="1">
        <v>418</v>
      </c>
      <c r="D422" s="1" t="str">
        <f t="shared" si="62"/>
        <v>strcpy(PresetName8,("&lt;EMPTY&gt;"));</v>
      </c>
      <c r="E422" s="1" t="s">
        <v>18</v>
      </c>
      <c r="F422" t="s">
        <v>27</v>
      </c>
      <c r="G422" t="s">
        <v>13</v>
      </c>
      <c r="H422" s="1" t="s">
        <v>13</v>
      </c>
      <c r="I422" s="8"/>
      <c r="J422" s="2" t="s">
        <v>29</v>
      </c>
      <c r="K422" s="3"/>
    </row>
    <row r="423" spans="1:11" customFormat="1">
      <c r="A423">
        <v>419</v>
      </c>
      <c r="B423" t="s">
        <v>849</v>
      </c>
      <c r="C423" s="1">
        <v>419</v>
      </c>
      <c r="D423" s="1" t="str">
        <f t="shared" si="62"/>
        <v>strcpy(PresetName9,("&lt;EMPTY&gt;"));</v>
      </c>
      <c r="E423" s="1" t="s">
        <v>18</v>
      </c>
      <c r="F423" t="s">
        <v>28</v>
      </c>
      <c r="G423" t="s">
        <v>13</v>
      </c>
      <c r="H423" s="1" t="s">
        <v>13</v>
      </c>
      <c r="I423" s="8"/>
      <c r="J423" s="2"/>
      <c r="K423" s="3"/>
    </row>
    <row r="424" spans="1:11" customFormat="1">
      <c r="A424">
        <v>420</v>
      </c>
      <c r="B424" t="s">
        <v>849</v>
      </c>
      <c r="C424" s="1">
        <v>420</v>
      </c>
      <c r="D424" s="1" t="str">
        <f t="shared" si="62"/>
        <v>strcpy(PresetName0,("&lt;EMPTY&gt;"));</v>
      </c>
      <c r="E424" s="1" t="s">
        <v>18</v>
      </c>
      <c r="F424" t="s">
        <v>19</v>
      </c>
      <c r="G424" t="s">
        <v>13</v>
      </c>
      <c r="H424" s="1" t="s">
        <v>13</v>
      </c>
      <c r="I424" s="8"/>
      <c r="J424" s="2" t="str">
        <f xml:space="preserve"> "case "&amp; K424&amp;": "</f>
        <v xml:space="preserve">case 300: </v>
      </c>
      <c r="K424" s="3">
        <f>K410+10</f>
        <v>300</v>
      </c>
    </row>
    <row r="425" spans="1:11" customFormat="1">
      <c r="A425">
        <v>421</v>
      </c>
      <c r="B425" t="s">
        <v>849</v>
      </c>
      <c r="C425" s="1">
        <v>421</v>
      </c>
      <c r="D425" s="1" t="str">
        <f t="shared" si="62"/>
        <v>strcpy(PresetName1,("&lt;EMPTY&gt;"));</v>
      </c>
      <c r="E425" s="1" t="s">
        <v>18</v>
      </c>
      <c r="F425" t="s">
        <v>20</v>
      </c>
      <c r="G425" t="s">
        <v>13</v>
      </c>
      <c r="H425" s="1" t="s">
        <v>13</v>
      </c>
      <c r="I425" s="8"/>
      <c r="J425" s="2" t="str">
        <f t="shared" ref="J425:J434" si="67">VLOOKUP(K425,C:D,2,FALSE)</f>
        <v>strcpy(PresetName0,("&lt;EMPTY&gt;"));</v>
      </c>
      <c r="K425" s="3">
        <f>K424</f>
        <v>300</v>
      </c>
    </row>
    <row r="426" spans="1:11" customFormat="1">
      <c r="A426">
        <v>422</v>
      </c>
      <c r="B426" t="s">
        <v>849</v>
      </c>
      <c r="C426" s="1">
        <v>422</v>
      </c>
      <c r="D426" s="1" t="str">
        <f t="shared" si="62"/>
        <v>strcpy(PresetName2,("&lt;EMPTY&gt;"));</v>
      </c>
      <c r="E426" s="1" t="s">
        <v>18</v>
      </c>
      <c r="F426" t="s">
        <v>21</v>
      </c>
      <c r="G426" t="s">
        <v>13</v>
      </c>
      <c r="H426" s="1" t="s">
        <v>13</v>
      </c>
      <c r="I426" s="8"/>
      <c r="J426" s="2" t="str">
        <f t="shared" si="67"/>
        <v>strcpy(PresetName1,("&lt;EMPTY&gt;"));</v>
      </c>
      <c r="K426" s="3">
        <f>K425+1</f>
        <v>301</v>
      </c>
    </row>
    <row r="427" spans="1:11" customFormat="1">
      <c r="A427">
        <v>423</v>
      </c>
      <c r="B427" t="s">
        <v>849</v>
      </c>
      <c r="C427" s="1">
        <v>423</v>
      </c>
      <c r="D427" s="1" t="str">
        <f t="shared" si="62"/>
        <v>strcpy(PresetName3,("&lt;EMPTY&gt;"));</v>
      </c>
      <c r="E427" s="1" t="s">
        <v>18</v>
      </c>
      <c r="F427" t="s">
        <v>22</v>
      </c>
      <c r="G427" t="s">
        <v>13</v>
      </c>
      <c r="H427" s="1" t="s">
        <v>13</v>
      </c>
      <c r="I427" s="8"/>
      <c r="J427" s="2" t="str">
        <f t="shared" si="67"/>
        <v>strcpy(PresetName2,("&lt;EMPTY&gt;"));</v>
      </c>
      <c r="K427" s="3">
        <f t="shared" ref="K427:K434" si="68">K426+1</f>
        <v>302</v>
      </c>
    </row>
    <row r="428" spans="1:11" customFormat="1">
      <c r="A428">
        <v>424</v>
      </c>
      <c r="B428" t="s">
        <v>849</v>
      </c>
      <c r="C428" s="1">
        <v>424</v>
      </c>
      <c r="D428" s="1" t="str">
        <f t="shared" si="62"/>
        <v>strcpy(PresetName4,("&lt;EMPTY&gt;"));</v>
      </c>
      <c r="E428" s="1" t="s">
        <v>18</v>
      </c>
      <c r="F428" t="s">
        <v>23</v>
      </c>
      <c r="G428" t="s">
        <v>13</v>
      </c>
      <c r="H428" s="1" t="s">
        <v>13</v>
      </c>
      <c r="I428" s="8"/>
      <c r="J428" s="2" t="str">
        <f t="shared" si="67"/>
        <v>strcpy(PresetName3,("&lt;EMPTY&gt;"));</v>
      </c>
      <c r="K428" s="3">
        <f t="shared" si="68"/>
        <v>303</v>
      </c>
    </row>
    <row r="429" spans="1:11" customFormat="1">
      <c r="A429">
        <v>425</v>
      </c>
      <c r="B429" t="s">
        <v>849</v>
      </c>
      <c r="C429" s="1">
        <v>425</v>
      </c>
      <c r="D429" s="1" t="str">
        <f t="shared" si="62"/>
        <v>strcpy(PresetName5,("&lt;EMPTY&gt;"));</v>
      </c>
      <c r="E429" s="1" t="s">
        <v>18</v>
      </c>
      <c r="F429" t="s">
        <v>24</v>
      </c>
      <c r="G429" t="s">
        <v>13</v>
      </c>
      <c r="H429" s="1" t="s">
        <v>13</v>
      </c>
      <c r="I429" s="8"/>
      <c r="J429" s="2" t="str">
        <f t="shared" si="67"/>
        <v>strcpy(PresetName4,("&lt;EMPTY&gt;"));</v>
      </c>
      <c r="K429" s="3">
        <f t="shared" si="68"/>
        <v>304</v>
      </c>
    </row>
    <row r="430" spans="1:11" customFormat="1">
      <c r="A430">
        <v>426</v>
      </c>
      <c r="B430" t="s">
        <v>849</v>
      </c>
      <c r="C430" s="1">
        <v>426</v>
      </c>
      <c r="D430" s="1" t="str">
        <f t="shared" si="62"/>
        <v>strcpy(PresetName6,("&lt;EMPTY&gt;"));</v>
      </c>
      <c r="E430" s="1" t="s">
        <v>18</v>
      </c>
      <c r="F430" t="s">
        <v>25</v>
      </c>
      <c r="G430" t="s">
        <v>13</v>
      </c>
      <c r="H430" s="1" t="s">
        <v>13</v>
      </c>
      <c r="I430" s="8"/>
      <c r="J430" s="2" t="str">
        <f t="shared" si="67"/>
        <v>strcpy(PresetName5,("&lt;EMPTY&gt;"));</v>
      </c>
      <c r="K430" s="3">
        <f t="shared" si="68"/>
        <v>305</v>
      </c>
    </row>
    <row r="431" spans="1:11" customFormat="1">
      <c r="A431">
        <v>427</v>
      </c>
      <c r="B431" t="s">
        <v>849</v>
      </c>
      <c r="C431" s="1">
        <v>427</v>
      </c>
      <c r="D431" s="1" t="str">
        <f t="shared" si="62"/>
        <v>strcpy(PresetName7,("&lt;EMPTY&gt;"));</v>
      </c>
      <c r="E431" s="1" t="s">
        <v>18</v>
      </c>
      <c r="F431" t="s">
        <v>26</v>
      </c>
      <c r="G431" t="s">
        <v>13</v>
      </c>
      <c r="H431" s="1" t="s">
        <v>13</v>
      </c>
      <c r="I431" s="8"/>
      <c r="J431" s="2" t="str">
        <f t="shared" si="67"/>
        <v>strcpy(PresetName6,("&lt;EMPTY&gt;"));</v>
      </c>
      <c r="K431" s="3">
        <f t="shared" si="68"/>
        <v>306</v>
      </c>
    </row>
    <row r="432" spans="1:11" customFormat="1">
      <c r="A432">
        <v>428</v>
      </c>
      <c r="B432" t="s">
        <v>849</v>
      </c>
      <c r="C432" s="1">
        <v>428</v>
      </c>
      <c r="D432" s="1" t="str">
        <f t="shared" si="62"/>
        <v>strcpy(PresetName8,("&lt;EMPTY&gt;"));</v>
      </c>
      <c r="E432" s="1" t="s">
        <v>18</v>
      </c>
      <c r="F432" t="s">
        <v>27</v>
      </c>
      <c r="G432" t="s">
        <v>13</v>
      </c>
      <c r="H432" s="1" t="s">
        <v>13</v>
      </c>
      <c r="I432" s="8"/>
      <c r="J432" s="2" t="str">
        <f t="shared" si="67"/>
        <v>strcpy(PresetName7,("&lt;EMPTY&gt;"));</v>
      </c>
      <c r="K432" s="3">
        <f t="shared" si="68"/>
        <v>307</v>
      </c>
    </row>
    <row r="433" spans="1:11" customFormat="1">
      <c r="A433">
        <v>429</v>
      </c>
      <c r="B433" t="s">
        <v>849</v>
      </c>
      <c r="C433" s="1">
        <v>429</v>
      </c>
      <c r="D433" s="1" t="str">
        <f t="shared" si="62"/>
        <v>strcpy(PresetName9,("&lt;EMPTY&gt;"));</v>
      </c>
      <c r="E433" s="1" t="s">
        <v>18</v>
      </c>
      <c r="F433" t="s">
        <v>28</v>
      </c>
      <c r="G433" t="s">
        <v>13</v>
      </c>
      <c r="H433" s="1" t="s">
        <v>13</v>
      </c>
      <c r="I433" s="8"/>
      <c r="J433" s="2" t="str">
        <f t="shared" si="67"/>
        <v>strcpy(PresetName8,("&lt;EMPTY&gt;"));</v>
      </c>
      <c r="K433" s="3">
        <f t="shared" si="68"/>
        <v>308</v>
      </c>
    </row>
    <row r="434" spans="1:11" customFormat="1">
      <c r="A434">
        <v>430</v>
      </c>
      <c r="B434" t="s">
        <v>849</v>
      </c>
      <c r="C434" s="1">
        <v>430</v>
      </c>
      <c r="D434" s="1" t="str">
        <f t="shared" si="62"/>
        <v>strcpy(PresetName0,("&lt;EMPTY&gt;"));</v>
      </c>
      <c r="E434" s="1" t="s">
        <v>18</v>
      </c>
      <c r="F434" t="s">
        <v>19</v>
      </c>
      <c r="G434" t="s">
        <v>13</v>
      </c>
      <c r="H434" s="1" t="s">
        <v>13</v>
      </c>
      <c r="I434" s="8"/>
      <c r="J434" s="2" t="str">
        <f t="shared" si="67"/>
        <v>strcpy(PresetName9,("&lt;EMPTY&gt;"));</v>
      </c>
      <c r="K434" s="3">
        <f t="shared" si="68"/>
        <v>309</v>
      </c>
    </row>
    <row r="435" spans="1:11" customFormat="1">
      <c r="A435">
        <v>431</v>
      </c>
      <c r="B435" t="s">
        <v>849</v>
      </c>
      <c r="C435" s="1">
        <v>431</v>
      </c>
      <c r="D435" s="1" t="str">
        <f t="shared" si="62"/>
        <v>strcpy(PresetName1,("&lt;EMPTY&gt;"));</v>
      </c>
      <c r="E435" s="1" t="s">
        <v>18</v>
      </c>
      <c r="F435" t="s">
        <v>20</v>
      </c>
      <c r="G435" t="s">
        <v>13</v>
      </c>
      <c r="H435" s="1" t="s">
        <v>13</v>
      </c>
      <c r="I435" s="8"/>
      <c r="J435" s="2"/>
      <c r="K435" s="3"/>
    </row>
    <row r="436" spans="1:11" customFormat="1">
      <c r="A436">
        <v>432</v>
      </c>
      <c r="B436" t="s">
        <v>849</v>
      </c>
      <c r="C436" s="1">
        <v>432</v>
      </c>
      <c r="D436" s="1" t="str">
        <f t="shared" si="62"/>
        <v>strcpy(PresetName2,("&lt;EMPTY&gt;"));</v>
      </c>
      <c r="E436" s="1" t="s">
        <v>18</v>
      </c>
      <c r="F436" t="s">
        <v>21</v>
      </c>
      <c r="G436" t="s">
        <v>13</v>
      </c>
      <c r="H436" s="1" t="s">
        <v>13</v>
      </c>
      <c r="I436" s="8"/>
      <c r="J436" s="2" t="s">
        <v>29</v>
      </c>
      <c r="K436" s="3"/>
    </row>
    <row r="437" spans="1:11" customFormat="1">
      <c r="A437">
        <v>433</v>
      </c>
      <c r="B437" t="s">
        <v>849</v>
      </c>
      <c r="C437" s="1">
        <v>433</v>
      </c>
      <c r="D437" s="1" t="str">
        <f t="shared" si="62"/>
        <v>strcpy(PresetName3,("&lt;EMPTY&gt;"));</v>
      </c>
      <c r="E437" s="1" t="s">
        <v>18</v>
      </c>
      <c r="F437" t="s">
        <v>22</v>
      </c>
      <c r="G437" t="s">
        <v>13</v>
      </c>
      <c r="H437" s="1" t="s">
        <v>13</v>
      </c>
      <c r="I437" s="8"/>
      <c r="J437" s="2"/>
      <c r="K437" s="3"/>
    </row>
    <row r="438" spans="1:11" customFormat="1">
      <c r="A438">
        <v>434</v>
      </c>
      <c r="B438" t="s">
        <v>849</v>
      </c>
      <c r="C438" s="1">
        <v>434</v>
      </c>
      <c r="D438" s="1" t="str">
        <f t="shared" si="62"/>
        <v>strcpy(PresetName4,("&lt;EMPTY&gt;"));</v>
      </c>
      <c r="E438" s="1" t="s">
        <v>18</v>
      </c>
      <c r="F438" t="s">
        <v>23</v>
      </c>
      <c r="G438" t="s">
        <v>13</v>
      </c>
      <c r="H438" s="1" t="s">
        <v>13</v>
      </c>
      <c r="I438" s="8"/>
      <c r="J438" s="2" t="str">
        <f xml:space="preserve"> "case "&amp; K438&amp;": "</f>
        <v xml:space="preserve">case 310: </v>
      </c>
      <c r="K438" s="3">
        <f>K424+10</f>
        <v>310</v>
      </c>
    </row>
    <row r="439" spans="1:11" customFormat="1">
      <c r="A439">
        <v>435</v>
      </c>
      <c r="B439" t="s">
        <v>849</v>
      </c>
      <c r="C439" s="1">
        <v>435</v>
      </c>
      <c r="D439" s="1" t="str">
        <f t="shared" si="62"/>
        <v>strcpy(PresetName5,("&lt;EMPTY&gt;"));</v>
      </c>
      <c r="E439" s="1" t="s">
        <v>18</v>
      </c>
      <c r="F439" t="s">
        <v>24</v>
      </c>
      <c r="G439" t="s">
        <v>13</v>
      </c>
      <c r="H439" s="1" t="s">
        <v>13</v>
      </c>
      <c r="I439" s="8"/>
      <c r="J439" s="2" t="str">
        <f t="shared" ref="J439:J448" si="69">VLOOKUP(K439,C:D,2,FALSE)</f>
        <v>strcpy(PresetName0,("&lt;EMPTY&gt;"));</v>
      </c>
      <c r="K439" s="3">
        <f>K438</f>
        <v>310</v>
      </c>
    </row>
    <row r="440" spans="1:11" customFormat="1">
      <c r="A440">
        <v>436</v>
      </c>
      <c r="B440" t="s">
        <v>849</v>
      </c>
      <c r="C440" s="1">
        <v>436</v>
      </c>
      <c r="D440" s="1" t="str">
        <f t="shared" si="62"/>
        <v>strcpy(PresetName6,("&lt;EMPTY&gt;"));</v>
      </c>
      <c r="E440" s="1" t="s">
        <v>18</v>
      </c>
      <c r="F440" t="s">
        <v>25</v>
      </c>
      <c r="G440" t="s">
        <v>13</v>
      </c>
      <c r="H440" s="1" t="s">
        <v>13</v>
      </c>
      <c r="I440" s="8"/>
      <c r="J440" s="2" t="str">
        <f t="shared" si="69"/>
        <v>strcpy(PresetName1,("&lt;EMPTY&gt;"));</v>
      </c>
      <c r="K440" s="3">
        <f>K439+1</f>
        <v>311</v>
      </c>
    </row>
    <row r="441" spans="1:11" customFormat="1">
      <c r="A441">
        <v>437</v>
      </c>
      <c r="B441" t="s">
        <v>849</v>
      </c>
      <c r="C441" s="1">
        <v>437</v>
      </c>
      <c r="D441" s="1" t="str">
        <f t="shared" si="62"/>
        <v>strcpy(PresetName7,("&lt;EMPTY&gt;"));</v>
      </c>
      <c r="E441" s="1" t="s">
        <v>18</v>
      </c>
      <c r="F441" t="s">
        <v>26</v>
      </c>
      <c r="G441" t="s">
        <v>13</v>
      </c>
      <c r="H441" s="1" t="s">
        <v>13</v>
      </c>
      <c r="I441" s="8"/>
      <c r="J441" s="2" t="str">
        <f t="shared" si="69"/>
        <v>strcpy(PresetName2,("&lt;EMPTY&gt;"));</v>
      </c>
      <c r="K441" s="3">
        <f t="shared" ref="K441:K448" si="70">K440+1</f>
        <v>312</v>
      </c>
    </row>
    <row r="442" spans="1:11" customFormat="1">
      <c r="A442">
        <v>438</v>
      </c>
      <c r="B442" t="s">
        <v>849</v>
      </c>
      <c r="C442" s="1">
        <v>438</v>
      </c>
      <c r="D442" s="1" t="str">
        <f t="shared" si="62"/>
        <v>strcpy(PresetName8,("&lt;EMPTY&gt;"));</v>
      </c>
      <c r="E442" s="1" t="s">
        <v>18</v>
      </c>
      <c r="F442" t="s">
        <v>27</v>
      </c>
      <c r="G442" t="s">
        <v>13</v>
      </c>
      <c r="H442" s="1" t="s">
        <v>13</v>
      </c>
      <c r="I442" s="8"/>
      <c r="J442" s="2" t="str">
        <f t="shared" si="69"/>
        <v>strcpy(PresetName3,("&lt;EMPTY&gt;"));</v>
      </c>
      <c r="K442" s="3">
        <f t="shared" si="70"/>
        <v>313</v>
      </c>
    </row>
    <row r="443" spans="1:11" customFormat="1">
      <c r="A443">
        <v>439</v>
      </c>
      <c r="B443" t="s">
        <v>849</v>
      </c>
      <c r="C443" s="1">
        <v>439</v>
      </c>
      <c r="D443" s="1" t="str">
        <f t="shared" si="62"/>
        <v>strcpy(PresetName9,("&lt;EMPTY&gt;"));</v>
      </c>
      <c r="E443" s="1" t="s">
        <v>18</v>
      </c>
      <c r="F443" t="s">
        <v>28</v>
      </c>
      <c r="G443" t="s">
        <v>13</v>
      </c>
      <c r="H443" s="1" t="s">
        <v>13</v>
      </c>
      <c r="I443" s="8"/>
      <c r="J443" s="2" t="str">
        <f t="shared" si="69"/>
        <v>strcpy(PresetName4,("&lt;EMPTY&gt;"));</v>
      </c>
      <c r="K443" s="3">
        <f t="shared" si="70"/>
        <v>314</v>
      </c>
    </row>
    <row r="444" spans="1:11" customFormat="1">
      <c r="A444">
        <v>440</v>
      </c>
      <c r="B444" t="s">
        <v>849</v>
      </c>
      <c r="C444" s="1">
        <v>440</v>
      </c>
      <c r="D444" s="1" t="str">
        <f t="shared" si="62"/>
        <v>strcpy(PresetName0,("&lt;EMPTY&gt;"));</v>
      </c>
      <c r="E444" s="1" t="s">
        <v>18</v>
      </c>
      <c r="F444" t="s">
        <v>19</v>
      </c>
      <c r="G444" t="s">
        <v>13</v>
      </c>
      <c r="H444" s="1" t="s">
        <v>13</v>
      </c>
      <c r="I444" s="8"/>
      <c r="J444" s="2" t="str">
        <f t="shared" si="69"/>
        <v>strcpy(PresetName5,("&lt;EMPTY&gt;"));</v>
      </c>
      <c r="K444" s="3">
        <f t="shared" si="70"/>
        <v>315</v>
      </c>
    </row>
    <row r="445" spans="1:11" customFormat="1">
      <c r="A445">
        <v>441</v>
      </c>
      <c r="B445" t="s">
        <v>849</v>
      </c>
      <c r="C445" s="1">
        <v>441</v>
      </c>
      <c r="D445" s="1" t="str">
        <f t="shared" si="62"/>
        <v>strcpy(PresetName1,("&lt;EMPTY&gt;"));</v>
      </c>
      <c r="E445" s="1" t="s">
        <v>18</v>
      </c>
      <c r="F445" t="s">
        <v>20</v>
      </c>
      <c r="G445" t="s">
        <v>13</v>
      </c>
      <c r="H445" s="1" t="s">
        <v>13</v>
      </c>
      <c r="I445" s="8"/>
      <c r="J445" s="2" t="str">
        <f t="shared" si="69"/>
        <v>strcpy(PresetName6,("&lt;EMPTY&gt;"));</v>
      </c>
      <c r="K445" s="3">
        <f t="shared" si="70"/>
        <v>316</v>
      </c>
    </row>
    <row r="446" spans="1:11" customFormat="1">
      <c r="A446">
        <v>442</v>
      </c>
      <c r="B446" t="s">
        <v>849</v>
      </c>
      <c r="C446" s="1">
        <v>442</v>
      </c>
      <c r="D446" s="1" t="str">
        <f t="shared" si="62"/>
        <v>strcpy(PresetName2,("&lt;EMPTY&gt;"));</v>
      </c>
      <c r="E446" s="1" t="s">
        <v>18</v>
      </c>
      <c r="F446" t="s">
        <v>21</v>
      </c>
      <c r="G446" t="s">
        <v>13</v>
      </c>
      <c r="H446" s="1" t="s">
        <v>13</v>
      </c>
      <c r="I446" s="8"/>
      <c r="J446" s="2" t="str">
        <f t="shared" si="69"/>
        <v>strcpy(PresetName7,("&lt;EMPTY&gt;"));</v>
      </c>
      <c r="K446" s="3">
        <f t="shared" si="70"/>
        <v>317</v>
      </c>
    </row>
    <row r="447" spans="1:11" customFormat="1">
      <c r="A447">
        <v>443</v>
      </c>
      <c r="B447" t="s">
        <v>849</v>
      </c>
      <c r="C447" s="1">
        <v>443</v>
      </c>
      <c r="D447" s="1" t="str">
        <f t="shared" si="62"/>
        <v>strcpy(PresetName3,("&lt;EMPTY&gt;"));</v>
      </c>
      <c r="E447" s="1" t="s">
        <v>18</v>
      </c>
      <c r="F447" t="s">
        <v>22</v>
      </c>
      <c r="G447" t="s">
        <v>13</v>
      </c>
      <c r="H447" s="1" t="s">
        <v>13</v>
      </c>
      <c r="I447" s="8"/>
      <c r="J447" s="2" t="str">
        <f t="shared" si="69"/>
        <v>strcpy(PresetName8,("&lt;EMPTY&gt;"));</v>
      </c>
      <c r="K447" s="3">
        <f t="shared" si="70"/>
        <v>318</v>
      </c>
    </row>
    <row r="448" spans="1:11" customFormat="1">
      <c r="A448">
        <v>444</v>
      </c>
      <c r="B448" t="s">
        <v>849</v>
      </c>
      <c r="C448" s="1">
        <v>444</v>
      </c>
      <c r="D448" s="1" t="str">
        <f t="shared" si="62"/>
        <v>strcpy(PresetName4,("&lt;EMPTY&gt;"));</v>
      </c>
      <c r="E448" s="1" t="s">
        <v>18</v>
      </c>
      <c r="F448" t="s">
        <v>23</v>
      </c>
      <c r="G448" t="s">
        <v>13</v>
      </c>
      <c r="H448" s="1" t="s">
        <v>13</v>
      </c>
      <c r="I448" s="8"/>
      <c r="J448" s="2" t="str">
        <f t="shared" si="69"/>
        <v>strcpy(PresetName9,("&lt;EMPTY&gt;"));</v>
      </c>
      <c r="K448" s="3">
        <f t="shared" si="70"/>
        <v>319</v>
      </c>
    </row>
    <row r="449" spans="1:11" customFormat="1">
      <c r="A449">
        <v>445</v>
      </c>
      <c r="B449" t="s">
        <v>849</v>
      </c>
      <c r="C449" s="1">
        <v>445</v>
      </c>
      <c r="D449" s="1" t="str">
        <f t="shared" si="62"/>
        <v>strcpy(PresetName5,("&lt;EMPTY&gt;"));</v>
      </c>
      <c r="E449" s="1" t="s">
        <v>18</v>
      </c>
      <c r="F449" t="s">
        <v>24</v>
      </c>
      <c r="G449" t="s">
        <v>13</v>
      </c>
      <c r="H449" s="1" t="s">
        <v>13</v>
      </c>
      <c r="I449" s="8"/>
      <c r="J449" s="2"/>
      <c r="K449" s="3"/>
    </row>
    <row r="450" spans="1:11" customFormat="1">
      <c r="A450">
        <v>446</v>
      </c>
      <c r="B450" t="s">
        <v>849</v>
      </c>
      <c r="C450" s="1">
        <v>446</v>
      </c>
      <c r="D450" s="1" t="str">
        <f t="shared" si="62"/>
        <v>strcpy(PresetName6,("&lt;EMPTY&gt;"));</v>
      </c>
      <c r="E450" s="1" t="s">
        <v>18</v>
      </c>
      <c r="F450" t="s">
        <v>25</v>
      </c>
      <c r="G450" t="s">
        <v>13</v>
      </c>
      <c r="H450" s="1" t="s">
        <v>13</v>
      </c>
      <c r="I450" s="8"/>
      <c r="J450" s="2" t="s">
        <v>29</v>
      </c>
      <c r="K450" s="3"/>
    </row>
    <row r="451" spans="1:11" customFormat="1">
      <c r="A451">
        <v>447</v>
      </c>
      <c r="B451" t="s">
        <v>849</v>
      </c>
      <c r="C451" s="1">
        <v>447</v>
      </c>
      <c r="D451" s="1" t="str">
        <f t="shared" si="62"/>
        <v>strcpy(PresetName7,("&lt;EMPTY&gt;"));</v>
      </c>
      <c r="E451" s="1" t="s">
        <v>18</v>
      </c>
      <c r="F451" t="s">
        <v>26</v>
      </c>
      <c r="G451" t="s">
        <v>13</v>
      </c>
      <c r="H451" s="1" t="s">
        <v>13</v>
      </c>
      <c r="I451" s="8"/>
      <c r="J451" s="2"/>
      <c r="K451" s="3"/>
    </row>
    <row r="452" spans="1:11" customFormat="1">
      <c r="A452">
        <v>448</v>
      </c>
      <c r="B452" t="s">
        <v>849</v>
      </c>
      <c r="C452" s="1">
        <v>448</v>
      </c>
      <c r="D452" s="1" t="str">
        <f t="shared" ref="D452:D515" si="71">E452&amp;F452&amp;","&amp;"("&amp;G452&amp;B452&amp;H452&amp;"))"&amp;";"</f>
        <v>strcpy(PresetName8,("&lt;EMPTY&gt;"));</v>
      </c>
      <c r="E452" s="1" t="s">
        <v>18</v>
      </c>
      <c r="F452" t="s">
        <v>27</v>
      </c>
      <c r="G452" t="s">
        <v>13</v>
      </c>
      <c r="H452" s="1" t="s">
        <v>13</v>
      </c>
      <c r="I452" s="8"/>
      <c r="J452" s="2" t="str">
        <f xml:space="preserve"> "case "&amp; K452&amp;": "</f>
        <v xml:space="preserve">case 320: </v>
      </c>
      <c r="K452" s="3">
        <f>K438+10</f>
        <v>320</v>
      </c>
    </row>
    <row r="453" spans="1:11" customFormat="1">
      <c r="A453">
        <v>449</v>
      </c>
      <c r="B453" t="s">
        <v>849</v>
      </c>
      <c r="C453" s="1">
        <v>449</v>
      </c>
      <c r="D453" s="1" t="str">
        <f t="shared" si="71"/>
        <v>strcpy(PresetName9,("&lt;EMPTY&gt;"));</v>
      </c>
      <c r="E453" s="1" t="s">
        <v>18</v>
      </c>
      <c r="F453" t="s">
        <v>28</v>
      </c>
      <c r="G453" t="s">
        <v>13</v>
      </c>
      <c r="H453" s="1" t="s">
        <v>13</v>
      </c>
      <c r="I453" s="8"/>
      <c r="J453" s="2" t="str">
        <f t="shared" ref="J453:J462" si="72">VLOOKUP(K453,C:D,2,FALSE)</f>
        <v>strcpy(PresetName0,("&lt;EMPTY&gt;"));</v>
      </c>
      <c r="K453" s="3">
        <f>K452</f>
        <v>320</v>
      </c>
    </row>
    <row r="454" spans="1:11" customFormat="1">
      <c r="A454">
        <v>450</v>
      </c>
      <c r="B454" t="s">
        <v>849</v>
      </c>
      <c r="C454" s="1">
        <v>450</v>
      </c>
      <c r="D454" s="1" t="str">
        <f t="shared" si="71"/>
        <v>strcpy(PresetName0,("&lt;EMPTY&gt;"));</v>
      </c>
      <c r="E454" s="1" t="s">
        <v>18</v>
      </c>
      <c r="F454" t="s">
        <v>19</v>
      </c>
      <c r="G454" t="s">
        <v>13</v>
      </c>
      <c r="H454" s="1" t="s">
        <v>13</v>
      </c>
      <c r="I454" s="8"/>
      <c r="J454" s="2" t="str">
        <f t="shared" si="72"/>
        <v>strcpy(PresetName1,("&lt;EMPTY&gt;"));</v>
      </c>
      <c r="K454" s="3">
        <f>K453+1</f>
        <v>321</v>
      </c>
    </row>
    <row r="455" spans="1:11" customFormat="1">
      <c r="A455">
        <v>451</v>
      </c>
      <c r="B455" t="s">
        <v>849</v>
      </c>
      <c r="C455" s="1">
        <v>451</v>
      </c>
      <c r="D455" s="1" t="str">
        <f t="shared" si="71"/>
        <v>strcpy(PresetName1,("&lt;EMPTY&gt;"));</v>
      </c>
      <c r="E455" s="1" t="s">
        <v>18</v>
      </c>
      <c r="F455" t="s">
        <v>20</v>
      </c>
      <c r="G455" t="s">
        <v>13</v>
      </c>
      <c r="H455" s="1" t="s">
        <v>13</v>
      </c>
      <c r="I455" s="8"/>
      <c r="J455" s="2" t="str">
        <f t="shared" si="72"/>
        <v>strcpy(PresetName2,("&lt;EMPTY&gt;"));</v>
      </c>
      <c r="K455" s="3">
        <f t="shared" ref="K455:K462" si="73">K454+1</f>
        <v>322</v>
      </c>
    </row>
    <row r="456" spans="1:11" customFormat="1">
      <c r="A456">
        <v>452</v>
      </c>
      <c r="B456" t="s">
        <v>849</v>
      </c>
      <c r="C456" s="1">
        <v>452</v>
      </c>
      <c r="D456" s="1" t="str">
        <f t="shared" si="71"/>
        <v>strcpy(PresetName2,("&lt;EMPTY&gt;"));</v>
      </c>
      <c r="E456" s="1" t="s">
        <v>18</v>
      </c>
      <c r="F456" t="s">
        <v>21</v>
      </c>
      <c r="G456" t="s">
        <v>13</v>
      </c>
      <c r="H456" s="1" t="s">
        <v>13</v>
      </c>
      <c r="I456" s="8"/>
      <c r="J456" s="2" t="str">
        <f t="shared" si="72"/>
        <v>strcpy(PresetName3,("&lt;EMPTY&gt;"));</v>
      </c>
      <c r="K456" s="3">
        <f t="shared" si="73"/>
        <v>323</v>
      </c>
    </row>
    <row r="457" spans="1:11" customFormat="1">
      <c r="A457">
        <v>453</v>
      </c>
      <c r="B457" t="s">
        <v>849</v>
      </c>
      <c r="C457" s="1">
        <v>453</v>
      </c>
      <c r="D457" s="1" t="str">
        <f t="shared" si="71"/>
        <v>strcpy(PresetName3,("&lt;EMPTY&gt;"));</v>
      </c>
      <c r="E457" s="1" t="s">
        <v>18</v>
      </c>
      <c r="F457" t="s">
        <v>22</v>
      </c>
      <c r="G457" t="s">
        <v>13</v>
      </c>
      <c r="H457" s="1" t="s">
        <v>13</v>
      </c>
      <c r="I457" s="8"/>
      <c r="J457" s="2" t="str">
        <f t="shared" si="72"/>
        <v>strcpy(PresetName4,("&lt;EMPTY&gt;"));</v>
      </c>
      <c r="K457" s="3">
        <f t="shared" si="73"/>
        <v>324</v>
      </c>
    </row>
    <row r="458" spans="1:11" customFormat="1">
      <c r="A458">
        <v>454</v>
      </c>
      <c r="B458" t="s">
        <v>849</v>
      </c>
      <c r="C458" s="1">
        <v>454</v>
      </c>
      <c r="D458" s="1" t="str">
        <f t="shared" si="71"/>
        <v>strcpy(PresetName4,("&lt;EMPTY&gt;"));</v>
      </c>
      <c r="E458" s="1" t="s">
        <v>18</v>
      </c>
      <c r="F458" t="s">
        <v>23</v>
      </c>
      <c r="G458" t="s">
        <v>13</v>
      </c>
      <c r="H458" s="1" t="s">
        <v>13</v>
      </c>
      <c r="I458" s="8"/>
      <c r="J458" s="2" t="str">
        <f t="shared" si="72"/>
        <v>strcpy(PresetName5,("&lt;EMPTY&gt;"));</v>
      </c>
      <c r="K458" s="3">
        <f t="shared" si="73"/>
        <v>325</v>
      </c>
    </row>
    <row r="459" spans="1:11" customFormat="1">
      <c r="A459">
        <v>455</v>
      </c>
      <c r="B459" t="s">
        <v>849</v>
      </c>
      <c r="C459" s="1">
        <v>455</v>
      </c>
      <c r="D459" s="1" t="str">
        <f t="shared" si="71"/>
        <v>strcpy(PresetName5,("&lt;EMPTY&gt;"));</v>
      </c>
      <c r="E459" s="1" t="s">
        <v>18</v>
      </c>
      <c r="F459" t="s">
        <v>24</v>
      </c>
      <c r="G459" t="s">
        <v>13</v>
      </c>
      <c r="H459" s="1" t="s">
        <v>13</v>
      </c>
      <c r="I459" s="8"/>
      <c r="J459" s="2" t="str">
        <f t="shared" si="72"/>
        <v>strcpy(PresetName6,("&lt;EMPTY&gt;"));</v>
      </c>
      <c r="K459" s="3">
        <f t="shared" si="73"/>
        <v>326</v>
      </c>
    </row>
    <row r="460" spans="1:11" customFormat="1">
      <c r="A460">
        <v>456</v>
      </c>
      <c r="B460" t="s">
        <v>849</v>
      </c>
      <c r="C460" s="1">
        <v>456</v>
      </c>
      <c r="D460" s="1" t="str">
        <f t="shared" si="71"/>
        <v>strcpy(PresetName6,("&lt;EMPTY&gt;"));</v>
      </c>
      <c r="E460" s="1" t="s">
        <v>18</v>
      </c>
      <c r="F460" t="s">
        <v>25</v>
      </c>
      <c r="G460" t="s">
        <v>13</v>
      </c>
      <c r="H460" s="1" t="s">
        <v>13</v>
      </c>
      <c r="I460" s="8"/>
      <c r="J460" s="2" t="str">
        <f t="shared" si="72"/>
        <v>strcpy(PresetName7,("&lt;EMPTY&gt;"));</v>
      </c>
      <c r="K460" s="3">
        <f t="shared" si="73"/>
        <v>327</v>
      </c>
    </row>
    <row r="461" spans="1:11" customFormat="1">
      <c r="A461">
        <v>457</v>
      </c>
      <c r="B461" t="s">
        <v>849</v>
      </c>
      <c r="C461" s="1">
        <v>457</v>
      </c>
      <c r="D461" s="1" t="str">
        <f t="shared" si="71"/>
        <v>strcpy(PresetName7,("&lt;EMPTY&gt;"));</v>
      </c>
      <c r="E461" s="1" t="s">
        <v>18</v>
      </c>
      <c r="F461" t="s">
        <v>26</v>
      </c>
      <c r="G461" t="s">
        <v>13</v>
      </c>
      <c r="H461" s="1" t="s">
        <v>13</v>
      </c>
      <c r="I461" s="8"/>
      <c r="J461" s="2" t="str">
        <f t="shared" si="72"/>
        <v>strcpy(PresetName8,("&lt;EMPTY&gt;"));</v>
      </c>
      <c r="K461" s="3">
        <f t="shared" si="73"/>
        <v>328</v>
      </c>
    </row>
    <row r="462" spans="1:11" customFormat="1">
      <c r="A462">
        <v>458</v>
      </c>
      <c r="B462" t="s">
        <v>849</v>
      </c>
      <c r="C462" s="1">
        <v>458</v>
      </c>
      <c r="D462" s="1" t="str">
        <f t="shared" si="71"/>
        <v>strcpy(PresetName8,("&lt;EMPTY&gt;"));</v>
      </c>
      <c r="E462" s="1" t="s">
        <v>18</v>
      </c>
      <c r="F462" t="s">
        <v>27</v>
      </c>
      <c r="G462" t="s">
        <v>13</v>
      </c>
      <c r="H462" s="1" t="s">
        <v>13</v>
      </c>
      <c r="I462" s="8"/>
      <c r="J462" s="2" t="str">
        <f t="shared" si="72"/>
        <v>strcpy(PresetName9,("&lt;EMPTY&gt;"));</v>
      </c>
      <c r="K462" s="3">
        <f t="shared" si="73"/>
        <v>329</v>
      </c>
    </row>
    <row r="463" spans="1:11" customFormat="1">
      <c r="A463">
        <v>459</v>
      </c>
      <c r="B463" t="s">
        <v>849</v>
      </c>
      <c r="C463" s="1">
        <v>459</v>
      </c>
      <c r="D463" s="1" t="str">
        <f t="shared" si="71"/>
        <v>strcpy(PresetName9,("&lt;EMPTY&gt;"));</v>
      </c>
      <c r="E463" s="1" t="s">
        <v>18</v>
      </c>
      <c r="F463" t="s">
        <v>28</v>
      </c>
      <c r="G463" t="s">
        <v>13</v>
      </c>
      <c r="H463" s="1" t="s">
        <v>13</v>
      </c>
      <c r="I463" s="8"/>
      <c r="J463" s="2"/>
      <c r="K463" s="3"/>
    </row>
    <row r="464" spans="1:11" customFormat="1">
      <c r="A464">
        <v>460</v>
      </c>
      <c r="B464" t="s">
        <v>849</v>
      </c>
      <c r="C464" s="1">
        <v>460</v>
      </c>
      <c r="D464" s="1" t="str">
        <f t="shared" si="71"/>
        <v>strcpy(PresetName0,("&lt;EMPTY&gt;"));</v>
      </c>
      <c r="E464" s="1" t="s">
        <v>18</v>
      </c>
      <c r="F464" t="s">
        <v>19</v>
      </c>
      <c r="G464" t="s">
        <v>13</v>
      </c>
      <c r="H464" s="1" t="s">
        <v>13</v>
      </c>
      <c r="I464" s="8"/>
      <c r="J464" s="2" t="s">
        <v>29</v>
      </c>
      <c r="K464" s="3"/>
    </row>
    <row r="465" spans="1:11" customFormat="1">
      <c r="A465">
        <v>461</v>
      </c>
      <c r="B465" t="s">
        <v>849</v>
      </c>
      <c r="C465" s="1">
        <v>461</v>
      </c>
      <c r="D465" s="1" t="str">
        <f t="shared" si="71"/>
        <v>strcpy(PresetName1,("&lt;EMPTY&gt;"));</v>
      </c>
      <c r="E465" s="1" t="s">
        <v>18</v>
      </c>
      <c r="F465" t="s">
        <v>20</v>
      </c>
      <c r="G465" t="s">
        <v>13</v>
      </c>
      <c r="H465" s="1" t="s">
        <v>13</v>
      </c>
      <c r="I465" s="8"/>
      <c r="J465" s="2"/>
      <c r="K465" s="3"/>
    </row>
    <row r="466" spans="1:11" customFormat="1">
      <c r="A466">
        <v>462</v>
      </c>
      <c r="B466" t="s">
        <v>849</v>
      </c>
      <c r="C466" s="1">
        <v>462</v>
      </c>
      <c r="D466" s="1" t="str">
        <f t="shared" si="71"/>
        <v>strcpy(PresetName2,("&lt;EMPTY&gt;"));</v>
      </c>
      <c r="E466" s="1" t="s">
        <v>18</v>
      </c>
      <c r="F466" t="s">
        <v>21</v>
      </c>
      <c r="G466" t="s">
        <v>13</v>
      </c>
      <c r="H466" s="1" t="s">
        <v>13</v>
      </c>
      <c r="I466" s="8"/>
      <c r="J466" s="2" t="str">
        <f xml:space="preserve"> "case "&amp; K466&amp;": "</f>
        <v xml:space="preserve">case 330: </v>
      </c>
      <c r="K466" s="3">
        <f>K452+10</f>
        <v>330</v>
      </c>
    </row>
    <row r="467" spans="1:11" customFormat="1">
      <c r="A467">
        <v>463</v>
      </c>
      <c r="B467" t="s">
        <v>849</v>
      </c>
      <c r="C467" s="1">
        <v>463</v>
      </c>
      <c r="D467" s="1" t="str">
        <f t="shared" si="71"/>
        <v>strcpy(PresetName3,("&lt;EMPTY&gt;"));</v>
      </c>
      <c r="E467" s="1" t="s">
        <v>18</v>
      </c>
      <c r="F467" t="s">
        <v>22</v>
      </c>
      <c r="G467" t="s">
        <v>13</v>
      </c>
      <c r="H467" s="1" t="s">
        <v>13</v>
      </c>
      <c r="I467" s="8"/>
      <c r="J467" s="2" t="str">
        <f t="shared" ref="J467:J476" si="74">VLOOKUP(K467,C:D,2,FALSE)</f>
        <v>strcpy(PresetName0,("&lt;EMPTY&gt;"));</v>
      </c>
      <c r="K467" s="3">
        <f>K466</f>
        <v>330</v>
      </c>
    </row>
    <row r="468" spans="1:11" customFormat="1">
      <c r="A468">
        <v>464</v>
      </c>
      <c r="B468" t="s">
        <v>849</v>
      </c>
      <c r="C468" s="1">
        <v>464</v>
      </c>
      <c r="D468" s="1" t="str">
        <f t="shared" si="71"/>
        <v>strcpy(PresetName4,("&lt;EMPTY&gt;"));</v>
      </c>
      <c r="E468" s="1" t="s">
        <v>18</v>
      </c>
      <c r="F468" t="s">
        <v>23</v>
      </c>
      <c r="G468" t="s">
        <v>13</v>
      </c>
      <c r="H468" s="1" t="s">
        <v>13</v>
      </c>
      <c r="I468" s="8"/>
      <c r="J468" s="2" t="str">
        <f t="shared" si="74"/>
        <v>strcpy(PresetName1,("&lt;EMPTY&gt;"));</v>
      </c>
      <c r="K468" s="3">
        <f>K467+1</f>
        <v>331</v>
      </c>
    </row>
    <row r="469" spans="1:11" customFormat="1">
      <c r="A469">
        <v>465</v>
      </c>
      <c r="B469" t="s">
        <v>849</v>
      </c>
      <c r="C469" s="1">
        <v>465</v>
      </c>
      <c r="D469" s="1" t="str">
        <f t="shared" si="71"/>
        <v>strcpy(PresetName5,("&lt;EMPTY&gt;"));</v>
      </c>
      <c r="E469" s="1" t="s">
        <v>18</v>
      </c>
      <c r="F469" t="s">
        <v>24</v>
      </c>
      <c r="G469" t="s">
        <v>13</v>
      </c>
      <c r="H469" s="1" t="s">
        <v>13</v>
      </c>
      <c r="I469" s="8"/>
      <c r="J469" s="2" t="str">
        <f t="shared" si="74"/>
        <v>strcpy(PresetName2,("&lt;EMPTY&gt;"));</v>
      </c>
      <c r="K469" s="3">
        <f t="shared" ref="K469:K476" si="75">K468+1</f>
        <v>332</v>
      </c>
    </row>
    <row r="470" spans="1:11" customFormat="1">
      <c r="A470">
        <v>466</v>
      </c>
      <c r="B470" t="s">
        <v>849</v>
      </c>
      <c r="C470" s="1">
        <v>466</v>
      </c>
      <c r="D470" s="1" t="str">
        <f t="shared" si="71"/>
        <v>strcpy(PresetName6,("&lt;EMPTY&gt;"));</v>
      </c>
      <c r="E470" s="1" t="s">
        <v>18</v>
      </c>
      <c r="F470" t="s">
        <v>25</v>
      </c>
      <c r="G470" t="s">
        <v>13</v>
      </c>
      <c r="H470" s="1" t="s">
        <v>13</v>
      </c>
      <c r="I470" s="8"/>
      <c r="J470" s="2" t="str">
        <f t="shared" si="74"/>
        <v>strcpy(PresetName3,("&lt;EMPTY&gt;"));</v>
      </c>
      <c r="K470" s="3">
        <f t="shared" si="75"/>
        <v>333</v>
      </c>
    </row>
    <row r="471" spans="1:11" customFormat="1">
      <c r="A471">
        <v>467</v>
      </c>
      <c r="B471" t="s">
        <v>849</v>
      </c>
      <c r="C471" s="1">
        <v>467</v>
      </c>
      <c r="D471" s="1" t="str">
        <f t="shared" si="71"/>
        <v>strcpy(PresetName7,("&lt;EMPTY&gt;"));</v>
      </c>
      <c r="E471" s="1" t="s">
        <v>18</v>
      </c>
      <c r="F471" t="s">
        <v>26</v>
      </c>
      <c r="G471" t="s">
        <v>13</v>
      </c>
      <c r="H471" s="1" t="s">
        <v>13</v>
      </c>
      <c r="I471" s="8"/>
      <c r="J471" s="2" t="str">
        <f t="shared" si="74"/>
        <v>strcpy(PresetName4,("&lt;EMPTY&gt;"));</v>
      </c>
      <c r="K471" s="3">
        <f t="shared" si="75"/>
        <v>334</v>
      </c>
    </row>
    <row r="472" spans="1:11" customFormat="1">
      <c r="A472">
        <v>468</v>
      </c>
      <c r="B472" t="s">
        <v>849</v>
      </c>
      <c r="C472" s="1">
        <v>468</v>
      </c>
      <c r="D472" s="1" t="str">
        <f t="shared" si="71"/>
        <v>strcpy(PresetName8,("&lt;EMPTY&gt;"));</v>
      </c>
      <c r="E472" s="1" t="s">
        <v>18</v>
      </c>
      <c r="F472" t="s">
        <v>27</v>
      </c>
      <c r="G472" t="s">
        <v>13</v>
      </c>
      <c r="H472" s="1" t="s">
        <v>13</v>
      </c>
      <c r="I472" s="8"/>
      <c r="J472" s="2" t="str">
        <f t="shared" si="74"/>
        <v>strcpy(PresetName5,("&lt;EMPTY&gt;"));</v>
      </c>
      <c r="K472" s="3">
        <f t="shared" si="75"/>
        <v>335</v>
      </c>
    </row>
    <row r="473" spans="1:11" customFormat="1">
      <c r="A473">
        <v>469</v>
      </c>
      <c r="B473" t="s">
        <v>572</v>
      </c>
      <c r="C473" s="1">
        <v>469</v>
      </c>
      <c r="D473" s="1" t="str">
        <f t="shared" si="71"/>
        <v>strcpy(PresetName9,("Ping-Pong Pong-Ping"));</v>
      </c>
      <c r="E473" s="1" t="s">
        <v>18</v>
      </c>
      <c r="F473" t="s">
        <v>28</v>
      </c>
      <c r="G473" t="s">
        <v>13</v>
      </c>
      <c r="H473" s="1" t="s">
        <v>13</v>
      </c>
      <c r="I473" s="8"/>
      <c r="J473" s="2" t="str">
        <f t="shared" si="74"/>
        <v>strcpy(PresetName6,("&lt;EMPTY&gt;"));</v>
      </c>
      <c r="K473" s="3">
        <f t="shared" si="75"/>
        <v>336</v>
      </c>
    </row>
    <row r="474" spans="1:11" customFormat="1">
      <c r="A474">
        <v>470</v>
      </c>
      <c r="B474" t="s">
        <v>573</v>
      </c>
      <c r="C474" s="1">
        <v>470</v>
      </c>
      <c r="D474" s="1" t="str">
        <f t="shared" si="71"/>
        <v>strcpy(PresetName0,("8-Voice Chorus"));</v>
      </c>
      <c r="E474" s="1" t="s">
        <v>18</v>
      </c>
      <c r="F474" t="s">
        <v>19</v>
      </c>
      <c r="G474" t="s">
        <v>13</v>
      </c>
      <c r="H474" s="1" t="s">
        <v>13</v>
      </c>
      <c r="I474" s="8"/>
      <c r="J474" s="2" t="str">
        <f t="shared" si="74"/>
        <v>strcpy(PresetName7,("&lt;EMPTY&gt;"));</v>
      </c>
      <c r="K474" s="3">
        <f t="shared" si="75"/>
        <v>337</v>
      </c>
    </row>
    <row r="475" spans="1:11" customFormat="1">
      <c r="A475">
        <v>471</v>
      </c>
      <c r="B475" t="s">
        <v>574</v>
      </c>
      <c r="C475" s="1">
        <v>471</v>
      </c>
      <c r="D475" s="1" t="str">
        <f t="shared" si="71"/>
        <v>strcpy(PresetName1,("Dual Clean"));</v>
      </c>
      <c r="E475" s="1" t="s">
        <v>18</v>
      </c>
      <c r="F475" t="s">
        <v>20</v>
      </c>
      <c r="G475" t="s">
        <v>13</v>
      </c>
      <c r="H475" s="1" t="s">
        <v>13</v>
      </c>
      <c r="I475" s="8"/>
      <c r="J475" s="2" t="str">
        <f t="shared" si="74"/>
        <v>strcpy(PresetName8,("&lt;EMPTY&gt;"));</v>
      </c>
      <c r="K475" s="3">
        <f t="shared" si="75"/>
        <v>338</v>
      </c>
    </row>
    <row r="476" spans="1:11" customFormat="1">
      <c r="A476">
        <v>472</v>
      </c>
      <c r="B476" t="s">
        <v>575</v>
      </c>
      <c r="C476" s="1">
        <v>472</v>
      </c>
      <c r="D476" s="1" t="str">
        <f t="shared" si="71"/>
        <v>strcpy(PresetName2,("New Country"));</v>
      </c>
      <c r="E476" s="1" t="s">
        <v>18</v>
      </c>
      <c r="F476" t="s">
        <v>21</v>
      </c>
      <c r="G476" t="s">
        <v>13</v>
      </c>
      <c r="H476" s="1" t="s">
        <v>13</v>
      </c>
      <c r="I476" s="8"/>
      <c r="J476" s="2" t="str">
        <f t="shared" si="74"/>
        <v>strcpy(PresetName9,("&lt;EMPTY&gt;"));</v>
      </c>
      <c r="K476" s="3">
        <f t="shared" si="75"/>
        <v>339</v>
      </c>
    </row>
    <row r="477" spans="1:11" customFormat="1">
      <c r="A477">
        <v>473</v>
      </c>
      <c r="B477" t="s">
        <v>576</v>
      </c>
      <c r="C477" s="1">
        <v>473</v>
      </c>
      <c r="D477" s="1" t="str">
        <f t="shared" si="71"/>
        <v>strcpy(PresetName3,("In a Fixx"));</v>
      </c>
      <c r="E477" s="1" t="s">
        <v>18</v>
      </c>
      <c r="F477" t="s">
        <v>22</v>
      </c>
      <c r="G477" t="s">
        <v>13</v>
      </c>
      <c r="H477" s="1" t="s">
        <v>13</v>
      </c>
      <c r="I477" s="8"/>
      <c r="J477" s="2"/>
      <c r="K477" s="3"/>
    </row>
    <row r="478" spans="1:11" customFormat="1">
      <c r="A478">
        <v>474</v>
      </c>
      <c r="B478" t="s">
        <v>577</v>
      </c>
      <c r="C478" s="1">
        <v>474</v>
      </c>
      <c r="D478" s="1" t="str">
        <f t="shared" si="71"/>
        <v>strcpy(PresetName4,("L.A. Session Clean"));</v>
      </c>
      <c r="E478" s="1" t="s">
        <v>18</v>
      </c>
      <c r="F478" t="s">
        <v>23</v>
      </c>
      <c r="G478" t="s">
        <v>13</v>
      </c>
      <c r="H478" s="1" t="s">
        <v>13</v>
      </c>
      <c r="I478" s="8"/>
      <c r="J478" s="2" t="s">
        <v>29</v>
      </c>
      <c r="K478" s="3"/>
    </row>
    <row r="479" spans="1:11" customFormat="1">
      <c r="A479">
        <v>475</v>
      </c>
      <c r="B479" t="s">
        <v>578</v>
      </c>
      <c r="C479" s="1">
        <v>475</v>
      </c>
      <c r="D479" s="1" t="str">
        <f t="shared" si="71"/>
        <v>strcpy(PresetName5,("Yngwie!"));</v>
      </c>
      <c r="E479" s="1" t="s">
        <v>18</v>
      </c>
      <c r="F479" t="s">
        <v>24</v>
      </c>
      <c r="G479" t="s">
        <v>13</v>
      </c>
      <c r="H479" s="1" t="s">
        <v>13</v>
      </c>
      <c r="I479" s="8"/>
      <c r="J479" s="2"/>
      <c r="K479" s="3"/>
    </row>
    <row r="480" spans="1:11" customFormat="1">
      <c r="A480">
        <v>476</v>
      </c>
      <c r="B480" t="s">
        <v>579</v>
      </c>
      <c r="C480" s="1">
        <v>476</v>
      </c>
      <c r="D480" s="1" t="str">
        <f t="shared" si="71"/>
        <v>strcpy(PresetName6,("Mr.Gilmour Lead"));</v>
      </c>
      <c r="E480" s="1" t="s">
        <v>18</v>
      </c>
      <c r="F480" t="s">
        <v>25</v>
      </c>
      <c r="G480" t="s">
        <v>13</v>
      </c>
      <c r="H480" s="1" t="s">
        <v>13</v>
      </c>
      <c r="I480" s="8"/>
      <c r="J480" s="2" t="str">
        <f xml:space="preserve"> "case "&amp; K480&amp;": "</f>
        <v xml:space="preserve">case 340: </v>
      </c>
      <c r="K480" s="3">
        <f>K466+10</f>
        <v>340</v>
      </c>
    </row>
    <row r="481" spans="1:11" customFormat="1">
      <c r="A481">
        <v>477</v>
      </c>
      <c r="B481" t="s">
        <v>580</v>
      </c>
      <c r="C481" s="1">
        <v>477</v>
      </c>
      <c r="D481" s="1" t="str">
        <f t="shared" si="71"/>
        <v>strcpy(PresetName7,("Plate Collection"));</v>
      </c>
      <c r="E481" s="1" t="s">
        <v>18</v>
      </c>
      <c r="F481" t="s">
        <v>26</v>
      </c>
      <c r="G481" t="s">
        <v>13</v>
      </c>
      <c r="H481" s="1" t="s">
        <v>13</v>
      </c>
      <c r="I481" s="8"/>
      <c r="J481" s="2" t="str">
        <f t="shared" ref="J481:J490" si="76">VLOOKUP(K481,C:D,2,FALSE)</f>
        <v>strcpy(PresetName0,("&lt;EMPTY&gt;"));</v>
      </c>
      <c r="K481" s="3">
        <f>K480</f>
        <v>340</v>
      </c>
    </row>
    <row r="482" spans="1:11" customFormat="1">
      <c r="A482">
        <v>478</v>
      </c>
      <c r="B482" t="s">
        <v>581</v>
      </c>
      <c r="C482" s="1">
        <v>478</v>
      </c>
      <c r="D482" s="1" t="str">
        <f t="shared" si="71"/>
        <v>strcpy(PresetName8,("Chugnuts"));</v>
      </c>
      <c r="E482" s="1" t="s">
        <v>18</v>
      </c>
      <c r="F482" t="s">
        <v>27</v>
      </c>
      <c r="G482" t="s">
        <v>13</v>
      </c>
      <c r="H482" s="1" t="s">
        <v>13</v>
      </c>
      <c r="I482" s="8"/>
      <c r="J482" s="2" t="str">
        <f t="shared" si="76"/>
        <v>strcpy(PresetName1,("&lt;EMPTY&gt;"));</v>
      </c>
      <c r="K482" s="3">
        <f>K481+1</f>
        <v>341</v>
      </c>
    </row>
    <row r="483" spans="1:11" customFormat="1">
      <c r="A483">
        <v>479</v>
      </c>
      <c r="B483" t="s">
        <v>582</v>
      </c>
      <c r="C483" s="1">
        <v>479</v>
      </c>
      <c r="D483" s="1" t="str">
        <f t="shared" si="71"/>
        <v>strcpy(PresetName9,("Ned Beatty"));</v>
      </c>
      <c r="E483" s="1" t="s">
        <v>18</v>
      </c>
      <c r="F483" t="s">
        <v>28</v>
      </c>
      <c r="G483" t="s">
        <v>13</v>
      </c>
      <c r="H483" s="1" t="s">
        <v>13</v>
      </c>
      <c r="I483" s="8"/>
      <c r="J483" s="2" t="str">
        <f t="shared" si="76"/>
        <v>strcpy(PresetName2,("&lt;EMPTY&gt;"));</v>
      </c>
      <c r="K483" s="3">
        <f t="shared" ref="K483:K490" si="77">K482+1</f>
        <v>342</v>
      </c>
    </row>
    <row r="484" spans="1:11" customFormat="1">
      <c r="A484">
        <v>480</v>
      </c>
      <c r="B484" t="s">
        <v>6</v>
      </c>
      <c r="C484" s="1">
        <v>480</v>
      </c>
      <c r="D484" s="1" t="str">
        <f t="shared" si="71"/>
        <v>strcpy(PresetName0,("A Kind of Dream"));</v>
      </c>
      <c r="E484" s="1" t="s">
        <v>18</v>
      </c>
      <c r="F484" t="s">
        <v>19</v>
      </c>
      <c r="G484" t="s">
        <v>13</v>
      </c>
      <c r="H484" s="1" t="s">
        <v>13</v>
      </c>
      <c r="I484" s="8"/>
      <c r="J484" s="2" t="str">
        <f t="shared" si="76"/>
        <v>strcpy(PresetName3,("&lt;EMPTY&gt;"));</v>
      </c>
      <c r="K484" s="3">
        <f t="shared" si="77"/>
        <v>343</v>
      </c>
    </row>
    <row r="485" spans="1:11" customFormat="1">
      <c r="A485">
        <v>481</v>
      </c>
      <c r="B485" t="s">
        <v>583</v>
      </c>
      <c r="C485" s="1">
        <v>481</v>
      </c>
      <c r="D485" s="1" t="str">
        <f t="shared" si="71"/>
        <v>strcpy(PresetName1,("Spandex &amp; Hairspray"));</v>
      </c>
      <c r="E485" s="1" t="s">
        <v>18</v>
      </c>
      <c r="F485" t="s">
        <v>20</v>
      </c>
      <c r="G485" t="s">
        <v>13</v>
      </c>
      <c r="H485" s="1" t="s">
        <v>13</v>
      </c>
      <c r="I485" s="8"/>
      <c r="J485" s="2" t="str">
        <f t="shared" si="76"/>
        <v>strcpy(PresetName4,("&lt;EMPTY&gt;"));</v>
      </c>
      <c r="K485" s="3">
        <f t="shared" si="77"/>
        <v>344</v>
      </c>
    </row>
    <row r="486" spans="1:11" customFormat="1">
      <c r="A486">
        <v>482</v>
      </c>
      <c r="B486" t="s">
        <v>584</v>
      </c>
      <c r="C486" s="1">
        <v>482</v>
      </c>
      <c r="D486" s="1" t="str">
        <f t="shared" si="71"/>
        <v>strcpy(PresetName2,("Avant Jazz"));</v>
      </c>
      <c r="E486" s="1" t="s">
        <v>18</v>
      </c>
      <c r="F486" t="s">
        <v>21</v>
      </c>
      <c r="G486" t="s">
        <v>13</v>
      </c>
      <c r="H486" s="1" t="s">
        <v>13</v>
      </c>
      <c r="I486" s="8"/>
      <c r="J486" s="2" t="str">
        <f t="shared" si="76"/>
        <v>strcpy(PresetName5,("&lt;EMPTY&gt;"));</v>
      </c>
      <c r="K486" s="3">
        <f t="shared" si="77"/>
        <v>345</v>
      </c>
    </row>
    <row r="487" spans="1:11" customFormat="1">
      <c r="A487">
        <v>483</v>
      </c>
      <c r="B487" t="s">
        <v>585</v>
      </c>
      <c r="C487" s="1">
        <v>483</v>
      </c>
      <c r="D487" s="1" t="str">
        <f t="shared" si="71"/>
        <v>strcpy(PresetName3,("Stone in Love"));</v>
      </c>
      <c r="E487" s="1" t="s">
        <v>18</v>
      </c>
      <c r="F487" t="s">
        <v>22</v>
      </c>
      <c r="G487" t="s">
        <v>13</v>
      </c>
      <c r="H487" s="1" t="s">
        <v>13</v>
      </c>
      <c r="I487" s="8"/>
      <c r="J487" s="2" t="str">
        <f t="shared" si="76"/>
        <v>strcpy(PresetName6,("&lt;EMPTY&gt;"));</v>
      </c>
      <c r="K487" s="3">
        <f t="shared" si="77"/>
        <v>346</v>
      </c>
    </row>
    <row r="488" spans="1:11" customFormat="1">
      <c r="A488">
        <v>484</v>
      </c>
      <c r="B488" t="s">
        <v>586</v>
      </c>
      <c r="C488" s="1">
        <v>484</v>
      </c>
      <c r="D488" s="1" t="str">
        <f t="shared" si="71"/>
        <v>strcpy(PresetName4,("Fifth Tribe"));</v>
      </c>
      <c r="E488" s="1" t="s">
        <v>18</v>
      </c>
      <c r="F488" t="s">
        <v>23</v>
      </c>
      <c r="G488" t="s">
        <v>13</v>
      </c>
      <c r="H488" s="1" t="s">
        <v>13</v>
      </c>
      <c r="I488" s="8"/>
      <c r="J488" s="2" t="str">
        <f t="shared" si="76"/>
        <v>strcpy(PresetName7,("&lt;EMPTY&gt;"));</v>
      </c>
      <c r="K488" s="3">
        <f t="shared" si="77"/>
        <v>347</v>
      </c>
    </row>
    <row r="489" spans="1:11" customFormat="1">
      <c r="A489">
        <v>485</v>
      </c>
      <c r="B489" t="s">
        <v>587</v>
      </c>
      <c r="C489" s="1">
        <v>485</v>
      </c>
      <c r="D489" s="1" t="str">
        <f t="shared" si="71"/>
        <v>strcpy(PresetName5,("Ambient Guitar"));</v>
      </c>
      <c r="E489" s="1" t="s">
        <v>18</v>
      </c>
      <c r="F489" t="s">
        <v>24</v>
      </c>
      <c r="G489" t="s">
        <v>13</v>
      </c>
      <c r="H489" s="1" t="s">
        <v>13</v>
      </c>
      <c r="I489" s="8"/>
      <c r="J489" s="2" t="str">
        <f t="shared" si="76"/>
        <v>strcpy(PresetName8,("&lt;EMPTY&gt;"));</v>
      </c>
      <c r="K489" s="3">
        <f t="shared" si="77"/>
        <v>348</v>
      </c>
    </row>
    <row r="490" spans="1:11" customFormat="1">
      <c r="A490">
        <v>486</v>
      </c>
      <c r="B490" t="s">
        <v>588</v>
      </c>
      <c r="C490" s="1">
        <v>486</v>
      </c>
      <c r="D490" s="1" t="str">
        <f t="shared" si="71"/>
        <v>strcpy(PresetName6,("Eruption"));</v>
      </c>
      <c r="E490" s="1" t="s">
        <v>18</v>
      </c>
      <c r="F490" t="s">
        <v>25</v>
      </c>
      <c r="G490" t="s">
        <v>13</v>
      </c>
      <c r="H490" s="1" t="s">
        <v>13</v>
      </c>
      <c r="I490" s="8"/>
      <c r="J490" s="2" t="str">
        <f t="shared" si="76"/>
        <v>strcpy(PresetName9,("&lt;EMPTY&gt;"));</v>
      </c>
      <c r="K490" s="3">
        <f t="shared" si="77"/>
        <v>349</v>
      </c>
    </row>
    <row r="491" spans="1:11" customFormat="1">
      <c r="A491">
        <v>487</v>
      </c>
      <c r="B491" t="s">
        <v>589</v>
      </c>
      <c r="C491" s="1">
        <v>487</v>
      </c>
      <c r="D491" s="1" t="str">
        <f t="shared" si="71"/>
        <v>strcpy(PresetName7,("Thrilling Chilling"));</v>
      </c>
      <c r="E491" s="1" t="s">
        <v>18</v>
      </c>
      <c r="F491" t="s">
        <v>26</v>
      </c>
      <c r="G491" t="s">
        <v>13</v>
      </c>
      <c r="H491" s="1" t="s">
        <v>13</v>
      </c>
      <c r="I491" s="8"/>
      <c r="J491" s="2"/>
      <c r="K491" s="3"/>
    </row>
    <row r="492" spans="1:11" customFormat="1">
      <c r="A492">
        <v>488</v>
      </c>
      <c r="B492" t="s">
        <v>590</v>
      </c>
      <c r="C492" s="1">
        <v>488</v>
      </c>
      <c r="D492" s="1" t="str">
        <f t="shared" si="71"/>
        <v>strcpy(PresetName8,("Mr.Floyd"));</v>
      </c>
      <c r="E492" s="1" t="s">
        <v>18</v>
      </c>
      <c r="F492" t="s">
        <v>27</v>
      </c>
      <c r="G492" t="s">
        <v>13</v>
      </c>
      <c r="H492" s="1" t="s">
        <v>13</v>
      </c>
      <c r="I492" s="8"/>
      <c r="J492" s="2" t="s">
        <v>29</v>
      </c>
      <c r="K492" s="3"/>
    </row>
    <row r="493" spans="1:11" customFormat="1">
      <c r="A493">
        <v>489</v>
      </c>
      <c r="B493" t="s">
        <v>591</v>
      </c>
      <c r="C493" s="1">
        <v>489</v>
      </c>
      <c r="D493" s="1" t="str">
        <f t="shared" si="71"/>
        <v>strcpy(PresetName9,("Barracuda"));</v>
      </c>
      <c r="E493" s="1" t="s">
        <v>18</v>
      </c>
      <c r="F493" t="s">
        <v>28</v>
      </c>
      <c r="G493" t="s">
        <v>13</v>
      </c>
      <c r="H493" s="1" t="s">
        <v>13</v>
      </c>
      <c r="I493" s="8"/>
      <c r="J493" s="2"/>
      <c r="K493" s="3"/>
    </row>
    <row r="494" spans="1:11" customFormat="1">
      <c r="A494">
        <v>490</v>
      </c>
      <c r="B494" t="s">
        <v>592</v>
      </c>
      <c r="C494" s="1">
        <v>490</v>
      </c>
      <c r="D494" s="1" t="str">
        <f t="shared" si="71"/>
        <v>strcpy(PresetName0,("Solar Eclipses"));</v>
      </c>
      <c r="E494" s="1" t="s">
        <v>18</v>
      </c>
      <c r="F494" t="s">
        <v>19</v>
      </c>
      <c r="G494" t="s">
        <v>13</v>
      </c>
      <c r="H494" s="1" t="s">
        <v>13</v>
      </c>
      <c r="I494" s="8"/>
      <c r="J494" s="2" t="str">
        <f xml:space="preserve"> "case "&amp; K494&amp;": "</f>
        <v xml:space="preserve">case 350: </v>
      </c>
      <c r="K494" s="3">
        <f>K480+10</f>
        <v>350</v>
      </c>
    </row>
    <row r="495" spans="1:11" customFormat="1">
      <c r="A495">
        <v>491</v>
      </c>
      <c r="B495" t="s">
        <v>593</v>
      </c>
      <c r="C495" s="1">
        <v>491</v>
      </c>
      <c r="D495" s="1" t="str">
        <f t="shared" si="71"/>
        <v>strcpy(PresetName1,("Comb Delays"));</v>
      </c>
      <c r="E495" s="1" t="s">
        <v>18</v>
      </c>
      <c r="F495" t="s">
        <v>20</v>
      </c>
      <c r="G495" t="s">
        <v>13</v>
      </c>
      <c r="H495" s="1" t="s">
        <v>13</v>
      </c>
      <c r="I495" s="8"/>
      <c r="J495" s="2" t="str">
        <f t="shared" ref="J495:J504" si="78">VLOOKUP(K495,C:D,2,FALSE)</f>
        <v>strcpy(PresetName0,("&lt;EMPTY&gt;"));</v>
      </c>
      <c r="K495" s="3">
        <f>K494</f>
        <v>350</v>
      </c>
    </row>
    <row r="496" spans="1:11" customFormat="1">
      <c r="A496">
        <v>492</v>
      </c>
      <c r="B496" t="s">
        <v>7</v>
      </c>
      <c r="C496" s="1">
        <v>492</v>
      </c>
      <c r="D496" s="1" t="str">
        <f t="shared" si="71"/>
        <v>strcpy(PresetName2,("Blitz III"));</v>
      </c>
      <c r="E496" s="1" t="s">
        <v>18</v>
      </c>
      <c r="F496" t="s">
        <v>21</v>
      </c>
      <c r="G496" t="s">
        <v>13</v>
      </c>
      <c r="H496" s="1" t="s">
        <v>13</v>
      </c>
      <c r="I496" s="8"/>
      <c r="J496" s="2" t="str">
        <f t="shared" si="78"/>
        <v>strcpy(PresetName1,("&lt;EMPTY&gt;"));</v>
      </c>
      <c r="K496" s="3">
        <f>K495+1</f>
        <v>351</v>
      </c>
    </row>
    <row r="497" spans="1:11" customFormat="1">
      <c r="A497">
        <v>493</v>
      </c>
      <c r="B497" t="s">
        <v>594</v>
      </c>
      <c r="C497" s="1">
        <v>493</v>
      </c>
      <c r="D497" s="1" t="str">
        <f t="shared" si="71"/>
        <v>strcpy(PresetName3,("Pitch Follower"));</v>
      </c>
      <c r="E497" s="1" t="s">
        <v>18</v>
      </c>
      <c r="F497" t="s">
        <v>22</v>
      </c>
      <c r="G497" t="s">
        <v>13</v>
      </c>
      <c r="H497" s="1" t="s">
        <v>13</v>
      </c>
      <c r="I497" s="8"/>
      <c r="J497" s="2" t="str">
        <f t="shared" si="78"/>
        <v>strcpy(PresetName2,("&lt;EMPTY&gt;"));</v>
      </c>
      <c r="K497" s="3">
        <f t="shared" ref="K497:K504" si="79">K496+1</f>
        <v>352</v>
      </c>
    </row>
    <row r="498" spans="1:11" customFormat="1">
      <c r="A498">
        <v>494</v>
      </c>
      <c r="B498" t="s">
        <v>595</v>
      </c>
      <c r="C498" s="1">
        <v>494</v>
      </c>
      <c r="D498" s="1" t="str">
        <f t="shared" si="71"/>
        <v>strcpy(PresetName4,("The Infield"));</v>
      </c>
      <c r="E498" s="1" t="s">
        <v>18</v>
      </c>
      <c r="F498" t="s">
        <v>23</v>
      </c>
      <c r="G498" t="s">
        <v>13</v>
      </c>
      <c r="H498" s="1" t="s">
        <v>13</v>
      </c>
      <c r="I498" s="8"/>
      <c r="J498" s="2" t="str">
        <f t="shared" si="78"/>
        <v>strcpy(PresetName3,("&lt;EMPTY&gt;"));</v>
      </c>
      <c r="K498" s="3">
        <f t="shared" si="79"/>
        <v>353</v>
      </c>
    </row>
    <row r="499" spans="1:11" customFormat="1">
      <c r="A499">
        <v>495</v>
      </c>
      <c r="B499" t="s">
        <v>596</v>
      </c>
      <c r="C499" s="1">
        <v>495</v>
      </c>
      <c r="D499" s="1" t="str">
        <f t="shared" si="71"/>
        <v>strcpy(PresetName5,("Polychromatic Shifter"));</v>
      </c>
      <c r="E499" s="1" t="s">
        <v>18</v>
      </c>
      <c r="F499" t="s">
        <v>24</v>
      </c>
      <c r="G499" t="s">
        <v>13</v>
      </c>
      <c r="H499" s="1" t="s">
        <v>13</v>
      </c>
      <c r="I499" s="8"/>
      <c r="J499" s="2" t="str">
        <f t="shared" si="78"/>
        <v>strcpy(PresetName4,("&lt;EMPTY&gt;"));</v>
      </c>
      <c r="K499" s="3">
        <f t="shared" si="79"/>
        <v>354</v>
      </c>
    </row>
    <row r="500" spans="1:11" customFormat="1">
      <c r="A500">
        <v>496</v>
      </c>
      <c r="B500" t="s">
        <v>597</v>
      </c>
      <c r="C500" s="1">
        <v>496</v>
      </c>
      <c r="D500" s="1" t="str">
        <f t="shared" si="71"/>
        <v>strcpy(PresetName6,("1987 Clean"));</v>
      </c>
      <c r="E500" s="1" t="s">
        <v>18</v>
      </c>
      <c r="F500" t="s">
        <v>25</v>
      </c>
      <c r="G500" t="s">
        <v>13</v>
      </c>
      <c r="H500" s="1" t="s">
        <v>13</v>
      </c>
      <c r="I500" s="8"/>
      <c r="J500" s="2" t="str">
        <f t="shared" si="78"/>
        <v>strcpy(PresetName5,("&lt;EMPTY&gt;"));</v>
      </c>
      <c r="K500" s="3">
        <f t="shared" si="79"/>
        <v>355</v>
      </c>
    </row>
    <row r="501" spans="1:11" customFormat="1">
      <c r="A501">
        <v>497</v>
      </c>
      <c r="B501" t="s">
        <v>598</v>
      </c>
      <c r="C501" s="1">
        <v>497</v>
      </c>
      <c r="D501" s="1" t="str">
        <f t="shared" si="71"/>
        <v>strcpy(PresetName7,("Sultans"));</v>
      </c>
      <c r="E501" s="1" t="s">
        <v>18</v>
      </c>
      <c r="F501" t="s">
        <v>26</v>
      </c>
      <c r="G501" t="s">
        <v>13</v>
      </c>
      <c r="H501" s="1" t="s">
        <v>13</v>
      </c>
      <c r="I501" s="8"/>
      <c r="J501" s="2" t="str">
        <f t="shared" si="78"/>
        <v>strcpy(PresetName6,("&lt;EMPTY&gt;"));</v>
      </c>
      <c r="K501" s="3">
        <f t="shared" si="79"/>
        <v>356</v>
      </c>
    </row>
    <row r="502" spans="1:11" customFormat="1">
      <c r="A502">
        <v>498</v>
      </c>
      <c r="B502" t="s">
        <v>888</v>
      </c>
      <c r="C502" s="1">
        <v>498</v>
      </c>
      <c r="D502" s="1" t="str">
        <f t="shared" si="71"/>
        <v>strcpy(PresetName8,("RockMeOn CLN2"));</v>
      </c>
      <c r="E502" s="1" t="s">
        <v>18</v>
      </c>
      <c r="F502" t="s">
        <v>27</v>
      </c>
      <c r="G502" t="s">
        <v>13</v>
      </c>
      <c r="H502" s="1" t="s">
        <v>13</v>
      </c>
      <c r="I502" s="8"/>
      <c r="J502" s="2" t="str">
        <f t="shared" si="78"/>
        <v>strcpy(PresetName7,("&lt;EMPTY&gt;"));</v>
      </c>
      <c r="K502" s="3">
        <f t="shared" si="79"/>
        <v>357</v>
      </c>
    </row>
    <row r="503" spans="1:11" customFormat="1">
      <c r="A503">
        <v>499</v>
      </c>
      <c r="B503" t="s">
        <v>599</v>
      </c>
      <c r="C503" s="1">
        <v>499</v>
      </c>
      <c r="D503" s="1" t="str">
        <f t="shared" si="71"/>
        <v>strcpy(PresetName9,("Jeff Gets Ready"));</v>
      </c>
      <c r="E503" s="1" t="s">
        <v>18</v>
      </c>
      <c r="F503" t="s">
        <v>28</v>
      </c>
      <c r="G503" t="s">
        <v>13</v>
      </c>
      <c r="H503" s="1" t="s">
        <v>13</v>
      </c>
      <c r="I503" s="8"/>
      <c r="J503" s="2" t="str">
        <f t="shared" si="78"/>
        <v>strcpy(PresetName8,("&lt;EMPTY&gt;"));</v>
      </c>
      <c r="K503" s="3">
        <f t="shared" si="79"/>
        <v>358</v>
      </c>
    </row>
    <row r="504" spans="1:11" customFormat="1">
      <c r="A504">
        <v>500</v>
      </c>
      <c r="B504" t="s">
        <v>8</v>
      </c>
      <c r="C504" s="1">
        <v>500</v>
      </c>
      <c r="D504" s="1" t="str">
        <f t="shared" si="71"/>
        <v>strcpy(PresetName0,("Diamonique Rain"));</v>
      </c>
      <c r="E504" s="1" t="s">
        <v>18</v>
      </c>
      <c r="F504" t="s">
        <v>19</v>
      </c>
      <c r="G504" t="s">
        <v>13</v>
      </c>
      <c r="H504" s="1" t="s">
        <v>13</v>
      </c>
      <c r="I504" s="8"/>
      <c r="J504" s="2" t="str">
        <f t="shared" si="78"/>
        <v>strcpy(PresetName9,("&lt;EMPTY&gt;"));</v>
      </c>
      <c r="K504" s="3">
        <f t="shared" si="79"/>
        <v>359</v>
      </c>
    </row>
    <row r="505" spans="1:11" customFormat="1">
      <c r="A505">
        <v>501</v>
      </c>
      <c r="B505" t="s">
        <v>600</v>
      </c>
      <c r="C505" s="1">
        <v>501</v>
      </c>
      <c r="D505" s="1" t="str">
        <f t="shared" si="71"/>
        <v>strcpy(PresetName1,("Pete-a-Palooza"));</v>
      </c>
      <c r="E505" s="1" t="s">
        <v>18</v>
      </c>
      <c r="F505" t="s">
        <v>20</v>
      </c>
      <c r="G505" t="s">
        <v>13</v>
      </c>
      <c r="H505" s="1" t="s">
        <v>13</v>
      </c>
      <c r="I505" s="8"/>
      <c r="J505" s="2"/>
      <c r="K505" s="3"/>
    </row>
    <row r="506" spans="1:11" customFormat="1">
      <c r="A506">
        <v>502</v>
      </c>
      <c r="B506" t="s">
        <v>601</v>
      </c>
      <c r="C506" s="1">
        <v>502</v>
      </c>
      <c r="D506" s="1" t="str">
        <f t="shared" si="71"/>
        <v>strcpy(PresetName2,("Larry Mitchell NY Steak"));</v>
      </c>
      <c r="E506" s="1" t="s">
        <v>18</v>
      </c>
      <c r="F506" t="s">
        <v>21</v>
      </c>
      <c r="G506" t="s">
        <v>13</v>
      </c>
      <c r="H506" s="1" t="s">
        <v>13</v>
      </c>
      <c r="I506" s="8"/>
      <c r="J506" s="2" t="s">
        <v>29</v>
      </c>
      <c r="K506" s="3"/>
    </row>
    <row r="507" spans="1:11" customFormat="1">
      <c r="A507">
        <v>503</v>
      </c>
      <c r="B507" t="s">
        <v>602</v>
      </c>
      <c r="C507" s="1">
        <v>503</v>
      </c>
      <c r="D507" s="1" t="str">
        <f t="shared" si="71"/>
        <v>strcpy(PresetName3,("Mark's Day's Recto Cygnus"));</v>
      </c>
      <c r="E507" s="1" t="s">
        <v>18</v>
      </c>
      <c r="F507" t="s">
        <v>22</v>
      </c>
      <c r="G507" t="s">
        <v>13</v>
      </c>
      <c r="H507" s="1" t="s">
        <v>13</v>
      </c>
      <c r="I507" s="8"/>
      <c r="J507" s="2"/>
      <c r="K507" s="3"/>
    </row>
    <row r="508" spans="1:11" customFormat="1">
      <c r="A508">
        <v>504</v>
      </c>
      <c r="B508" t="s">
        <v>793</v>
      </c>
      <c r="C508" s="1">
        <v>504</v>
      </c>
      <c r="D508" s="1" t="str">
        <f t="shared" si="71"/>
        <v>strcpy(PresetName4,("Fremen's Drones of Arrakis"));</v>
      </c>
      <c r="E508" s="1" t="s">
        <v>18</v>
      </c>
      <c r="F508" t="s">
        <v>23</v>
      </c>
      <c r="G508" t="s">
        <v>13</v>
      </c>
      <c r="H508" s="1" t="s">
        <v>13</v>
      </c>
      <c r="I508" s="8"/>
      <c r="J508" s="2" t="str">
        <f xml:space="preserve"> "case "&amp; K508&amp;": "</f>
        <v xml:space="preserve">case 360: </v>
      </c>
      <c r="K508" s="3">
        <f>K494+10</f>
        <v>360</v>
      </c>
    </row>
    <row r="509" spans="1:11" customFormat="1">
      <c r="A509">
        <v>505</v>
      </c>
      <c r="B509" t="s">
        <v>603</v>
      </c>
      <c r="C509" s="1">
        <v>505</v>
      </c>
      <c r="D509" s="1" t="str">
        <f t="shared" si="71"/>
        <v>strcpy(PresetName5,("Brett's Party Pack"));</v>
      </c>
      <c r="E509" s="1" t="s">
        <v>18</v>
      </c>
      <c r="F509" t="s">
        <v>24</v>
      </c>
      <c r="G509" t="s">
        <v>13</v>
      </c>
      <c r="H509" s="1" t="s">
        <v>13</v>
      </c>
      <c r="I509" s="8"/>
      <c r="J509" s="2" t="str">
        <f t="shared" ref="J509:J518" si="80">VLOOKUP(K509,C:D,2,FALSE)</f>
        <v>strcpy(PresetName0,("&lt;EMPTY&gt;"));</v>
      </c>
      <c r="K509" s="3">
        <f>K508</f>
        <v>360</v>
      </c>
    </row>
    <row r="510" spans="1:11" customFormat="1">
      <c r="A510">
        <v>506</v>
      </c>
      <c r="B510" t="s">
        <v>607</v>
      </c>
      <c r="C510" s="1">
        <v>506</v>
      </c>
      <c r="D510" s="1" t="str">
        <f t="shared" si="71"/>
        <v>strcpy(PresetName6,("Brett's Party Pack 2"));</v>
      </c>
      <c r="E510" s="1" t="s">
        <v>18</v>
      </c>
      <c r="F510" t="s">
        <v>25</v>
      </c>
      <c r="G510" t="s">
        <v>13</v>
      </c>
      <c r="H510" s="1" t="s">
        <v>13</v>
      </c>
      <c r="I510" s="8"/>
      <c r="J510" s="2" t="str">
        <f t="shared" si="80"/>
        <v>strcpy(PresetName1,("&lt;EMPTY&gt;"));</v>
      </c>
      <c r="K510" s="3">
        <f>K509+1</f>
        <v>361</v>
      </c>
    </row>
    <row r="511" spans="1:11" customFormat="1">
      <c r="A511">
        <v>507</v>
      </c>
      <c r="B511" t="s">
        <v>889</v>
      </c>
      <c r="C511" s="1">
        <v>507</v>
      </c>
      <c r="D511" s="1" t="str">
        <f t="shared" si="71"/>
        <v>strcpy(PresetName7,("AustinBuddy's XTCs"));</v>
      </c>
      <c r="E511" s="1" t="s">
        <v>18</v>
      </c>
      <c r="F511" t="s">
        <v>26</v>
      </c>
      <c r="G511" t="s">
        <v>13</v>
      </c>
      <c r="H511" s="1" t="s">
        <v>13</v>
      </c>
      <c r="I511" s="8"/>
      <c r="J511" s="2" t="str">
        <f t="shared" si="80"/>
        <v>strcpy(PresetName2,("&lt;EMPTY&gt;"));</v>
      </c>
      <c r="K511" s="3">
        <f t="shared" ref="K511:K518" si="81">K510+1</f>
        <v>362</v>
      </c>
    </row>
    <row r="512" spans="1:11" customFormat="1">
      <c r="A512">
        <v>508</v>
      </c>
      <c r="B512" t="s">
        <v>604</v>
      </c>
      <c r="C512" s="1">
        <v>508</v>
      </c>
      <c r="D512" s="1" t="str">
        <f t="shared" si="71"/>
        <v>strcpy(PresetName8,("Leon's Live"));</v>
      </c>
      <c r="E512" s="1" t="s">
        <v>18</v>
      </c>
      <c r="F512" t="s">
        <v>27</v>
      </c>
      <c r="G512" t="s">
        <v>13</v>
      </c>
      <c r="H512" s="1" t="s">
        <v>13</v>
      </c>
      <c r="I512" s="8"/>
      <c r="J512" s="2" t="str">
        <f t="shared" si="80"/>
        <v>strcpy(PresetName3,("&lt;EMPTY&gt;"));</v>
      </c>
      <c r="K512" s="3">
        <f t="shared" si="81"/>
        <v>363</v>
      </c>
    </row>
    <row r="513" spans="1:11" customFormat="1">
      <c r="A513">
        <v>509</v>
      </c>
      <c r="B513" t="s">
        <v>605</v>
      </c>
      <c r="C513" s="1">
        <v>509</v>
      </c>
      <c r="D513" s="1" t="str">
        <f t="shared" si="71"/>
        <v>strcpy(PresetName9,("Out1:FOH Out2:Cab"));</v>
      </c>
      <c r="E513" s="1" t="s">
        <v>18</v>
      </c>
      <c r="F513" t="s">
        <v>28</v>
      </c>
      <c r="G513" t="s">
        <v>13</v>
      </c>
      <c r="H513" s="1" t="s">
        <v>13</v>
      </c>
      <c r="I513" s="8"/>
      <c r="J513" s="2" t="str">
        <f t="shared" si="80"/>
        <v>strcpy(PresetName4,("&lt;EMPTY&gt;"));</v>
      </c>
      <c r="K513" s="3">
        <f t="shared" si="81"/>
        <v>364</v>
      </c>
    </row>
    <row r="514" spans="1:11" customFormat="1">
      <c r="A514">
        <v>510</v>
      </c>
      <c r="B514" t="s">
        <v>606</v>
      </c>
      <c r="C514" s="1">
        <v>510</v>
      </c>
      <c r="D514" s="1" t="str">
        <f t="shared" si="71"/>
        <v>strcpy(PresetName0,("Amp Match Template"));</v>
      </c>
      <c r="E514" s="1" t="s">
        <v>18</v>
      </c>
      <c r="F514" t="s">
        <v>19</v>
      </c>
      <c r="G514" t="s">
        <v>13</v>
      </c>
      <c r="H514" s="1" t="s">
        <v>13</v>
      </c>
      <c r="I514" s="8"/>
      <c r="J514" s="2" t="str">
        <f t="shared" si="80"/>
        <v>strcpy(PresetName5,("&lt;EMPTY&gt;"));</v>
      </c>
      <c r="K514" s="3">
        <f t="shared" si="81"/>
        <v>365</v>
      </c>
    </row>
    <row r="515" spans="1:11" customFormat="1">
      <c r="A515">
        <v>511</v>
      </c>
      <c r="B515" t="s">
        <v>794</v>
      </c>
      <c r="C515" s="1">
        <v>511</v>
      </c>
      <c r="D515" s="1" t="str">
        <f t="shared" si="71"/>
        <v>strcpy(PresetName1,("BYPASS"));</v>
      </c>
      <c r="E515" s="1" t="s">
        <v>18</v>
      </c>
      <c r="F515" t="s">
        <v>20</v>
      </c>
      <c r="G515" t="s">
        <v>13</v>
      </c>
      <c r="H515" s="1" t="s">
        <v>13</v>
      </c>
      <c r="I515" s="8"/>
      <c r="J515" s="2" t="str">
        <f t="shared" si="80"/>
        <v>strcpy(PresetName6,("&lt;EMPTY&gt;"));</v>
      </c>
      <c r="K515" s="3">
        <f t="shared" si="81"/>
        <v>366</v>
      </c>
    </row>
    <row r="516" spans="1:11" customFormat="1">
      <c r="C516" s="1"/>
      <c r="D516" s="1"/>
      <c r="E516" s="1"/>
      <c r="H516" s="1"/>
      <c r="I516" s="8"/>
      <c r="J516" s="2" t="str">
        <f t="shared" si="80"/>
        <v>strcpy(PresetName7,("&lt;EMPTY&gt;"));</v>
      </c>
      <c r="K516" s="3">
        <f t="shared" si="81"/>
        <v>367</v>
      </c>
    </row>
    <row r="517" spans="1:11" customFormat="1">
      <c r="C517" s="1"/>
      <c r="D517" s="1"/>
      <c r="E517" s="1"/>
      <c r="H517" s="1"/>
      <c r="I517" s="8"/>
      <c r="J517" s="2" t="str">
        <f t="shared" si="80"/>
        <v>strcpy(PresetName8,("&lt;EMPTY&gt;"));</v>
      </c>
      <c r="K517" s="3">
        <f t="shared" si="81"/>
        <v>368</v>
      </c>
    </row>
    <row r="518" spans="1:11" customFormat="1">
      <c r="C518" s="1"/>
      <c r="D518" s="1"/>
      <c r="E518" s="1"/>
      <c r="H518" s="1"/>
      <c r="I518" s="8"/>
      <c r="J518" s="2" t="str">
        <f t="shared" si="80"/>
        <v>strcpy(PresetName9,("&lt;EMPTY&gt;"));</v>
      </c>
      <c r="K518" s="3">
        <f t="shared" si="81"/>
        <v>369</v>
      </c>
    </row>
    <row r="519" spans="1:11" customFormat="1">
      <c r="C519" s="1"/>
      <c r="D519" s="1"/>
      <c r="E519" s="1"/>
      <c r="H519" s="1"/>
      <c r="I519" s="8"/>
      <c r="J519" s="2"/>
      <c r="K519" s="3"/>
    </row>
    <row r="520" spans="1:11" customFormat="1">
      <c r="C520" s="1"/>
      <c r="D520" s="1"/>
      <c r="E520" s="1"/>
      <c r="H520" s="1"/>
      <c r="I520" s="8"/>
      <c r="J520" s="2" t="s">
        <v>29</v>
      </c>
      <c r="K520" s="3"/>
    </row>
    <row r="521" spans="1:11" customFormat="1">
      <c r="C521" s="1"/>
      <c r="D521" s="1"/>
      <c r="E521" s="1"/>
      <c r="H521" s="1"/>
      <c r="I521" s="8"/>
      <c r="J521" s="2"/>
      <c r="K521" s="3"/>
    </row>
    <row r="522" spans="1:11" customFormat="1">
      <c r="C522" s="1"/>
      <c r="D522" s="1"/>
      <c r="E522" s="1"/>
      <c r="H522" s="1"/>
      <c r="I522" s="8"/>
      <c r="J522" s="2" t="str">
        <f xml:space="preserve"> "case "&amp; K522&amp;": "</f>
        <v xml:space="preserve">case 370: </v>
      </c>
      <c r="K522" s="3">
        <f>K508+10</f>
        <v>370</v>
      </c>
    </row>
    <row r="523" spans="1:11" customFormat="1">
      <c r="C523" s="1"/>
      <c r="D523" s="1"/>
      <c r="E523" s="1"/>
      <c r="H523" s="1"/>
      <c r="I523" s="8"/>
      <c r="J523" s="2" t="str">
        <f t="shared" ref="J523:J532" si="82">VLOOKUP(K523,C:D,2,FALSE)</f>
        <v>strcpy(PresetName0,("&lt;EMPTY&gt;"));</v>
      </c>
      <c r="K523" s="3">
        <f>K522</f>
        <v>370</v>
      </c>
    </row>
    <row r="524" spans="1:11" customFormat="1">
      <c r="C524" s="1"/>
      <c r="D524" s="1"/>
      <c r="E524" s="1"/>
      <c r="H524" s="1"/>
      <c r="I524" s="8"/>
      <c r="J524" s="2" t="str">
        <f t="shared" si="82"/>
        <v>strcpy(PresetName1,("&lt;EMPTY&gt;"));</v>
      </c>
      <c r="K524" s="3">
        <f>K523+1</f>
        <v>371</v>
      </c>
    </row>
    <row r="525" spans="1:11" customFormat="1">
      <c r="C525" s="1"/>
      <c r="D525" s="1"/>
      <c r="E525" s="1"/>
      <c r="H525" s="1"/>
      <c r="I525" s="8"/>
      <c r="J525" s="2" t="str">
        <f t="shared" si="82"/>
        <v>strcpy(PresetName2,("&lt;EMPTY&gt;"));</v>
      </c>
      <c r="K525" s="3">
        <f t="shared" ref="K525:K532" si="83">K524+1</f>
        <v>372</v>
      </c>
    </row>
    <row r="526" spans="1:11" customFormat="1">
      <c r="C526" s="1"/>
      <c r="D526" s="1"/>
      <c r="E526" s="1"/>
      <c r="H526" s="1"/>
      <c r="I526" s="8"/>
      <c r="J526" s="2" t="str">
        <f t="shared" si="82"/>
        <v>strcpy(PresetName3,("&lt;EMPTY&gt;"));</v>
      </c>
      <c r="K526" s="3">
        <f t="shared" si="83"/>
        <v>373</v>
      </c>
    </row>
    <row r="527" spans="1:11" customFormat="1">
      <c r="C527" s="1"/>
      <c r="D527" s="1"/>
      <c r="E527" s="1"/>
      <c r="H527" s="1"/>
      <c r="I527" s="8"/>
      <c r="J527" s="2" t="str">
        <f t="shared" si="82"/>
        <v>strcpy(PresetName4,("&lt;EMPTY&gt;"));</v>
      </c>
      <c r="K527" s="3">
        <f t="shared" si="83"/>
        <v>374</v>
      </c>
    </row>
    <row r="528" spans="1:11" customFormat="1">
      <c r="C528" s="1"/>
      <c r="D528" s="1"/>
      <c r="E528" s="1"/>
      <c r="H528" s="1"/>
      <c r="I528" s="8"/>
      <c r="J528" s="2" t="str">
        <f t="shared" si="82"/>
        <v>strcpy(PresetName5,("&lt;EMPTY&gt;"));</v>
      </c>
      <c r="K528" s="3">
        <f t="shared" si="83"/>
        <v>375</v>
      </c>
    </row>
    <row r="529" spans="3:11" customFormat="1">
      <c r="C529" s="1"/>
      <c r="D529" s="1"/>
      <c r="E529" s="1"/>
      <c r="H529" s="1"/>
      <c r="I529" s="7"/>
      <c r="J529" s="2" t="str">
        <f t="shared" si="82"/>
        <v>strcpy(PresetName6,("&lt;EMPTY&gt;"));</v>
      </c>
      <c r="K529" s="3">
        <f t="shared" si="83"/>
        <v>376</v>
      </c>
    </row>
    <row r="530" spans="3:11" customFormat="1">
      <c r="C530" s="1"/>
      <c r="D530" s="1"/>
      <c r="E530" s="1"/>
      <c r="H530" s="1"/>
      <c r="I530" s="7"/>
      <c r="J530" s="2" t="str">
        <f t="shared" si="82"/>
        <v>strcpy(PresetName7,("&lt;EMPTY&gt;"));</v>
      </c>
      <c r="K530" s="3">
        <f t="shared" si="83"/>
        <v>377</v>
      </c>
    </row>
    <row r="531" spans="3:11" customFormat="1">
      <c r="C531" s="1"/>
      <c r="D531" s="1"/>
      <c r="E531" s="1"/>
      <c r="H531" s="1"/>
      <c r="I531" s="7"/>
      <c r="J531" s="2" t="str">
        <f t="shared" si="82"/>
        <v>strcpy(PresetName8,("&lt;EMPTY&gt;"));</v>
      </c>
      <c r="K531" s="3">
        <f t="shared" si="83"/>
        <v>378</v>
      </c>
    </row>
    <row r="532" spans="3:11" customFormat="1">
      <c r="C532" s="1"/>
      <c r="D532" s="1"/>
      <c r="E532" s="1"/>
      <c r="H532" s="1"/>
      <c r="I532" s="7"/>
      <c r="J532" s="2" t="str">
        <f t="shared" si="82"/>
        <v>strcpy(PresetName9,("&lt;EMPTY&gt;"));</v>
      </c>
      <c r="K532" s="3">
        <f t="shared" si="83"/>
        <v>379</v>
      </c>
    </row>
    <row r="533" spans="3:11" customFormat="1">
      <c r="C533" s="1"/>
      <c r="D533" s="1"/>
      <c r="E533" s="1"/>
      <c r="H533" s="1"/>
      <c r="I533" s="7"/>
      <c r="J533" s="2"/>
      <c r="K533" s="3"/>
    </row>
    <row r="534" spans="3:11" customFormat="1">
      <c r="C534" s="1"/>
      <c r="D534" s="1"/>
      <c r="E534" s="1"/>
      <c r="H534" s="1"/>
      <c r="I534" s="7"/>
      <c r="J534" s="2" t="s">
        <v>29</v>
      </c>
      <c r="K534" s="3"/>
    </row>
    <row r="535" spans="3:11" customFormat="1">
      <c r="C535" s="1"/>
      <c r="D535" s="1"/>
      <c r="E535" s="1"/>
      <c r="H535" s="1"/>
      <c r="I535" s="7"/>
      <c r="J535" s="2"/>
      <c r="K535" s="3"/>
    </row>
    <row r="536" spans="3:11" customFormat="1">
      <c r="C536" s="1"/>
      <c r="D536" s="1"/>
      <c r="E536" s="1"/>
      <c r="H536" s="1"/>
      <c r="I536" s="7"/>
      <c r="J536" s="2" t="str">
        <f xml:space="preserve"> "case "&amp; K536&amp;": "</f>
        <v xml:space="preserve">case 380: </v>
      </c>
      <c r="K536" s="3">
        <f>K522+10</f>
        <v>380</v>
      </c>
    </row>
    <row r="537" spans="3:11" customFormat="1">
      <c r="C537" s="1"/>
      <c r="D537" s="1"/>
      <c r="E537" s="1"/>
      <c r="H537" s="1"/>
      <c r="I537" s="7"/>
      <c r="J537" s="2" t="str">
        <f t="shared" ref="J537:J546" si="84">VLOOKUP(K537,C:D,2,FALSE)</f>
        <v>strcpy(PresetName0,("&lt;EMPTY&gt;"));</v>
      </c>
      <c r="K537" s="3">
        <f>K536</f>
        <v>380</v>
      </c>
    </row>
    <row r="538" spans="3:11" customFormat="1">
      <c r="C538" s="1"/>
      <c r="D538" s="1"/>
      <c r="E538" s="1"/>
      <c r="H538" s="1"/>
      <c r="I538" s="7"/>
      <c r="J538" s="2" t="str">
        <f t="shared" si="84"/>
        <v>strcpy(PresetName1,("&lt;EMPTY&gt;"));</v>
      </c>
      <c r="K538" s="3">
        <f>K537+1</f>
        <v>381</v>
      </c>
    </row>
    <row r="539" spans="3:11" customFormat="1">
      <c r="C539" s="1"/>
      <c r="D539" s="1"/>
      <c r="E539" s="1"/>
      <c r="H539" s="1"/>
      <c r="I539" s="7"/>
      <c r="J539" s="2" t="str">
        <f t="shared" si="84"/>
        <v>strcpy(PresetName2,("&lt;EMPTY&gt;"));</v>
      </c>
      <c r="K539" s="3">
        <f t="shared" ref="K539:K546" si="85">K538+1</f>
        <v>382</v>
      </c>
    </row>
    <row r="540" spans="3:11" customFormat="1">
      <c r="C540" s="1"/>
      <c r="D540" s="1"/>
      <c r="E540" s="1"/>
      <c r="H540" s="1"/>
      <c r="I540" s="7"/>
      <c r="J540" s="2" t="str">
        <f t="shared" si="84"/>
        <v>strcpy(PresetName3,("&lt;EMPTY&gt;"));</v>
      </c>
      <c r="K540" s="3">
        <f t="shared" si="85"/>
        <v>383</v>
      </c>
    </row>
    <row r="541" spans="3:11" customFormat="1">
      <c r="C541" s="1"/>
      <c r="D541" s="1"/>
      <c r="E541" s="1"/>
      <c r="H541" s="1"/>
      <c r="I541" s="7"/>
      <c r="J541" s="2" t="str">
        <f t="shared" si="84"/>
        <v>strcpy(PresetName4,("&lt;EMPTY&gt;"));</v>
      </c>
      <c r="K541" s="3">
        <f t="shared" si="85"/>
        <v>384</v>
      </c>
    </row>
    <row r="542" spans="3:11" customFormat="1">
      <c r="C542" s="1"/>
      <c r="D542" s="1"/>
      <c r="E542" s="1"/>
      <c r="H542" s="1"/>
      <c r="I542" s="7"/>
      <c r="J542" s="2" t="str">
        <f t="shared" si="84"/>
        <v>strcpy(PresetName5,("&lt;EMPTY&gt;"));</v>
      </c>
      <c r="K542" s="3">
        <f t="shared" si="85"/>
        <v>385</v>
      </c>
    </row>
    <row r="543" spans="3:11" customFormat="1">
      <c r="C543" s="1"/>
      <c r="D543" s="1"/>
      <c r="E543" s="1"/>
      <c r="H543" s="1"/>
      <c r="I543" s="7"/>
      <c r="J543" s="2" t="str">
        <f t="shared" si="84"/>
        <v>strcpy(PresetName6,("&lt;EMPTY&gt;"));</v>
      </c>
      <c r="K543" s="3">
        <f t="shared" si="85"/>
        <v>386</v>
      </c>
    </row>
    <row r="544" spans="3:11" customFormat="1">
      <c r="C544" s="1"/>
      <c r="D544" s="1"/>
      <c r="E544" s="1"/>
      <c r="H544" s="1"/>
      <c r="I544" s="7"/>
      <c r="J544" s="2" t="str">
        <f t="shared" si="84"/>
        <v>strcpy(PresetName7,("&lt;EMPTY&gt;"));</v>
      </c>
      <c r="K544" s="3">
        <f t="shared" si="85"/>
        <v>387</v>
      </c>
    </row>
    <row r="545" spans="3:11" customFormat="1">
      <c r="C545" s="1"/>
      <c r="D545" s="1"/>
      <c r="E545" s="1"/>
      <c r="H545" s="1"/>
      <c r="I545" s="7"/>
      <c r="J545" s="2" t="str">
        <f t="shared" si="84"/>
        <v>strcpy(PresetName8,("&lt;EMPTY&gt;"));</v>
      </c>
      <c r="K545" s="3">
        <f t="shared" si="85"/>
        <v>388</v>
      </c>
    </row>
    <row r="546" spans="3:11" customFormat="1">
      <c r="C546" s="1"/>
      <c r="D546" s="1"/>
      <c r="E546" s="1"/>
      <c r="H546" s="1"/>
      <c r="I546" s="7"/>
      <c r="J546" s="2" t="str">
        <f t="shared" si="84"/>
        <v>strcpy(PresetName9,("&lt;EMPTY&gt;"));</v>
      </c>
      <c r="K546" s="3">
        <f t="shared" si="85"/>
        <v>389</v>
      </c>
    </row>
    <row r="547" spans="3:11" customFormat="1">
      <c r="C547" s="1"/>
      <c r="D547" s="1"/>
      <c r="E547" s="1"/>
      <c r="H547" s="1"/>
      <c r="I547" s="7"/>
      <c r="J547" s="2"/>
      <c r="K547" s="3"/>
    </row>
    <row r="548" spans="3:11" customFormat="1">
      <c r="C548" s="1"/>
      <c r="D548" s="1"/>
      <c r="E548" s="1"/>
      <c r="H548" s="1"/>
      <c r="I548" s="7"/>
      <c r="J548" s="2" t="s">
        <v>29</v>
      </c>
      <c r="K548" s="3"/>
    </row>
    <row r="549" spans="3:11" customFormat="1">
      <c r="C549" s="1"/>
      <c r="D549" s="1"/>
      <c r="E549" s="1"/>
      <c r="H549" s="1"/>
      <c r="I549" s="7"/>
      <c r="J549" s="2"/>
      <c r="K549" s="3"/>
    </row>
    <row r="550" spans="3:11" customFormat="1">
      <c r="C550" s="1"/>
      <c r="D550" s="1"/>
      <c r="E550" s="1"/>
      <c r="H550" s="1"/>
      <c r="I550" s="7"/>
      <c r="J550" s="2" t="str">
        <f xml:space="preserve"> "case "&amp; K550&amp;": "</f>
        <v xml:space="preserve">case 390: </v>
      </c>
      <c r="K550" s="3">
        <f>K536+10</f>
        <v>390</v>
      </c>
    </row>
    <row r="551" spans="3:11" customFormat="1">
      <c r="C551" s="1"/>
      <c r="D551" s="1"/>
      <c r="E551" s="1"/>
      <c r="H551" s="1"/>
      <c r="I551" s="7"/>
      <c r="J551" s="2" t="str">
        <f t="shared" ref="J551:J560" si="86">VLOOKUP(K551,C:D,2,FALSE)</f>
        <v>strcpy(PresetName0,("&lt;EMPTY&gt;"));</v>
      </c>
      <c r="K551" s="3">
        <f>K550</f>
        <v>390</v>
      </c>
    </row>
    <row r="552" spans="3:11" customFormat="1">
      <c r="C552" s="1"/>
      <c r="D552" s="1"/>
      <c r="E552" s="1"/>
      <c r="H552" s="1"/>
      <c r="I552" s="7"/>
      <c r="J552" s="2" t="str">
        <f t="shared" si="86"/>
        <v>strcpy(PresetName1,("&lt;EMPTY&gt;"));</v>
      </c>
      <c r="K552" s="3">
        <f>K551+1</f>
        <v>391</v>
      </c>
    </row>
    <row r="553" spans="3:11" customFormat="1">
      <c r="C553" s="1"/>
      <c r="D553" s="1"/>
      <c r="E553" s="1"/>
      <c r="H553" s="1"/>
      <c r="I553" s="7"/>
      <c r="J553" s="2" t="str">
        <f t="shared" si="86"/>
        <v>strcpy(PresetName2,("&lt;EMPTY&gt;"));</v>
      </c>
      <c r="K553" s="3">
        <f t="shared" ref="K553:K560" si="87">K552+1</f>
        <v>392</v>
      </c>
    </row>
    <row r="554" spans="3:11" customFormat="1">
      <c r="C554" s="1"/>
      <c r="D554" s="1"/>
      <c r="E554" s="1"/>
      <c r="H554" s="1"/>
      <c r="I554" s="7"/>
      <c r="J554" s="2" t="str">
        <f t="shared" si="86"/>
        <v>strcpy(PresetName3,("&lt;EMPTY&gt;"));</v>
      </c>
      <c r="K554" s="3">
        <f t="shared" si="87"/>
        <v>393</v>
      </c>
    </row>
    <row r="555" spans="3:11" customFormat="1">
      <c r="C555" s="1"/>
      <c r="D555" s="1"/>
      <c r="E555" s="1"/>
      <c r="H555" s="1"/>
      <c r="I555" s="7"/>
      <c r="J555" s="2" t="str">
        <f t="shared" si="86"/>
        <v>strcpy(PresetName4,("&lt;EMPTY&gt;"));</v>
      </c>
      <c r="K555" s="3">
        <f t="shared" si="87"/>
        <v>394</v>
      </c>
    </row>
    <row r="556" spans="3:11" customFormat="1">
      <c r="C556" s="1"/>
      <c r="D556" s="1"/>
      <c r="E556" s="1"/>
      <c r="H556" s="1"/>
      <c r="I556" s="7"/>
      <c r="J556" s="2" t="str">
        <f t="shared" si="86"/>
        <v>strcpy(PresetName5,("&lt;EMPTY&gt;"));</v>
      </c>
      <c r="K556" s="3">
        <f t="shared" si="87"/>
        <v>395</v>
      </c>
    </row>
    <row r="557" spans="3:11" customFormat="1">
      <c r="C557" s="1"/>
      <c r="D557" s="1"/>
      <c r="E557" s="1"/>
      <c r="H557" s="1"/>
      <c r="I557" s="7"/>
      <c r="J557" s="2" t="str">
        <f t="shared" si="86"/>
        <v>strcpy(PresetName6,("&lt;EMPTY&gt;"));</v>
      </c>
      <c r="K557" s="3">
        <f t="shared" si="87"/>
        <v>396</v>
      </c>
    </row>
    <row r="558" spans="3:11" customFormat="1">
      <c r="C558" s="1"/>
      <c r="D558" s="1"/>
      <c r="E558" s="1"/>
      <c r="H558" s="1"/>
      <c r="I558" s="7"/>
      <c r="J558" s="2" t="str">
        <f t="shared" si="86"/>
        <v>strcpy(PresetName7,("&lt;EMPTY&gt;"));</v>
      </c>
      <c r="K558" s="3">
        <f t="shared" si="87"/>
        <v>397</v>
      </c>
    </row>
    <row r="559" spans="3:11" customFormat="1">
      <c r="C559" s="1"/>
      <c r="D559" s="1"/>
      <c r="E559" s="1"/>
      <c r="H559" s="1"/>
      <c r="I559" s="7"/>
      <c r="J559" s="2" t="str">
        <f t="shared" si="86"/>
        <v>strcpy(PresetName8,("&lt;EMPTY&gt;"));</v>
      </c>
      <c r="K559" s="3">
        <f t="shared" si="87"/>
        <v>398</v>
      </c>
    </row>
    <row r="560" spans="3:11" customFormat="1">
      <c r="C560" s="1"/>
      <c r="D560" s="1"/>
      <c r="E560" s="1"/>
      <c r="H560" s="1"/>
      <c r="I560" s="7"/>
      <c r="J560" s="2" t="str">
        <f t="shared" si="86"/>
        <v>strcpy(PresetName9,("&lt;EMPTY&gt;"));</v>
      </c>
      <c r="K560" s="3">
        <f t="shared" si="87"/>
        <v>399</v>
      </c>
    </row>
    <row r="561" spans="3:11" customFormat="1">
      <c r="C561" s="1"/>
      <c r="D561" s="1"/>
      <c r="E561" s="1"/>
      <c r="H561" s="1"/>
      <c r="I561" s="7"/>
      <c r="J561" s="2"/>
      <c r="K561" s="3"/>
    </row>
    <row r="562" spans="3:11" customFormat="1">
      <c r="C562" s="1"/>
      <c r="D562" s="1"/>
      <c r="E562" s="1"/>
      <c r="H562" s="1"/>
      <c r="I562" s="7"/>
      <c r="J562" s="2" t="s">
        <v>29</v>
      </c>
      <c r="K562" s="3"/>
    </row>
    <row r="563" spans="3:11" customFormat="1">
      <c r="C563" s="1"/>
      <c r="D563" s="1"/>
      <c r="E563" s="1"/>
      <c r="H563" s="1"/>
      <c r="I563" s="7"/>
      <c r="J563" s="2"/>
      <c r="K563" s="3"/>
    </row>
    <row r="564" spans="3:11" customFormat="1">
      <c r="C564" s="1"/>
      <c r="D564" s="1"/>
      <c r="E564" s="1"/>
      <c r="H564" s="1"/>
      <c r="I564" s="7"/>
      <c r="J564" s="2" t="str">
        <f xml:space="preserve"> "case "&amp; K564&amp;": "</f>
        <v xml:space="preserve">case 400: </v>
      </c>
      <c r="K564" s="3">
        <f>K550+10</f>
        <v>400</v>
      </c>
    </row>
    <row r="565" spans="3:11" customFormat="1">
      <c r="C565" s="1"/>
      <c r="D565" s="1"/>
      <c r="E565" s="1"/>
      <c r="H565" s="1"/>
      <c r="I565" s="7"/>
      <c r="J565" s="2" t="str">
        <f t="shared" ref="J565:J574" si="88">VLOOKUP(K565,C:D,2,FALSE)</f>
        <v>strcpy(PresetName0,("&lt;EMPTY&gt;"));</v>
      </c>
      <c r="K565" s="3">
        <f>K564</f>
        <v>400</v>
      </c>
    </row>
    <row r="566" spans="3:11" customFormat="1">
      <c r="C566" s="1"/>
      <c r="D566" s="1"/>
      <c r="E566" s="1"/>
      <c r="H566" s="1"/>
      <c r="I566" s="7"/>
      <c r="J566" s="2" t="str">
        <f t="shared" si="88"/>
        <v>strcpy(PresetName1,("&lt;EMPTY&gt;"));</v>
      </c>
      <c r="K566" s="3">
        <f>K565+1</f>
        <v>401</v>
      </c>
    </row>
    <row r="567" spans="3:11" customFormat="1">
      <c r="C567" s="1"/>
      <c r="D567" s="1"/>
      <c r="E567" s="1"/>
      <c r="H567" s="1"/>
      <c r="I567" s="7"/>
      <c r="J567" s="2" t="str">
        <f t="shared" si="88"/>
        <v>strcpy(PresetName2,("&lt;EMPTY&gt;"));</v>
      </c>
      <c r="K567" s="3">
        <f t="shared" ref="K567:K574" si="89">K566+1</f>
        <v>402</v>
      </c>
    </row>
    <row r="568" spans="3:11" customFormat="1">
      <c r="C568" s="1"/>
      <c r="D568" s="1"/>
      <c r="E568" s="1"/>
      <c r="H568" s="1"/>
      <c r="I568" s="7"/>
      <c r="J568" s="2" t="str">
        <f t="shared" si="88"/>
        <v>strcpy(PresetName3,("&lt;EMPTY&gt;"));</v>
      </c>
      <c r="K568" s="3">
        <f t="shared" si="89"/>
        <v>403</v>
      </c>
    </row>
    <row r="569" spans="3:11" customFormat="1">
      <c r="C569" s="1"/>
      <c r="D569" s="1"/>
      <c r="E569" s="1"/>
      <c r="H569" s="1"/>
      <c r="I569" s="7"/>
      <c r="J569" s="2" t="str">
        <f t="shared" si="88"/>
        <v>strcpy(PresetName4,("&lt;EMPTY&gt;"));</v>
      </c>
      <c r="K569" s="3">
        <f t="shared" si="89"/>
        <v>404</v>
      </c>
    </row>
    <row r="570" spans="3:11" customFormat="1">
      <c r="C570" s="1"/>
      <c r="D570" s="1"/>
      <c r="E570" s="1"/>
      <c r="H570" s="1"/>
      <c r="I570" s="7"/>
      <c r="J570" s="2" t="str">
        <f t="shared" si="88"/>
        <v>strcpy(PresetName5,("&lt;EMPTY&gt;"));</v>
      </c>
      <c r="K570" s="3">
        <f t="shared" si="89"/>
        <v>405</v>
      </c>
    </row>
    <row r="571" spans="3:11" customFormat="1">
      <c r="C571" s="1"/>
      <c r="D571" s="1"/>
      <c r="E571" s="1"/>
      <c r="H571" s="1"/>
      <c r="I571" s="7"/>
      <c r="J571" s="2" t="str">
        <f t="shared" si="88"/>
        <v>strcpy(PresetName6,("&lt;EMPTY&gt;"));</v>
      </c>
      <c r="K571" s="3">
        <f t="shared" si="89"/>
        <v>406</v>
      </c>
    </row>
    <row r="572" spans="3:11" customFormat="1">
      <c r="C572" s="1"/>
      <c r="D572" s="1"/>
      <c r="E572" s="1"/>
      <c r="H572" s="1"/>
      <c r="I572" s="7"/>
      <c r="J572" s="2" t="str">
        <f t="shared" si="88"/>
        <v>strcpy(PresetName7,("&lt;EMPTY&gt;"));</v>
      </c>
      <c r="K572" s="3">
        <f t="shared" si="89"/>
        <v>407</v>
      </c>
    </row>
    <row r="573" spans="3:11" customFormat="1">
      <c r="C573" s="1"/>
      <c r="D573" s="1"/>
      <c r="E573" s="1"/>
      <c r="H573" s="1"/>
      <c r="I573" s="7"/>
      <c r="J573" s="2" t="str">
        <f t="shared" si="88"/>
        <v>strcpy(PresetName8,("&lt;EMPTY&gt;"));</v>
      </c>
      <c r="K573" s="3">
        <f t="shared" si="89"/>
        <v>408</v>
      </c>
    </row>
    <row r="574" spans="3:11" customFormat="1">
      <c r="C574" s="1"/>
      <c r="D574" s="1"/>
      <c r="E574" s="1"/>
      <c r="H574" s="1"/>
      <c r="I574" s="7"/>
      <c r="J574" s="2" t="str">
        <f t="shared" si="88"/>
        <v>strcpy(PresetName9,("&lt;EMPTY&gt;"));</v>
      </c>
      <c r="K574" s="3">
        <f t="shared" si="89"/>
        <v>409</v>
      </c>
    </row>
    <row r="575" spans="3:11" customFormat="1">
      <c r="C575" s="1"/>
      <c r="D575" s="1"/>
      <c r="E575" s="1"/>
      <c r="H575" s="1"/>
      <c r="I575" s="7"/>
      <c r="J575" s="2"/>
      <c r="K575" s="3"/>
    </row>
    <row r="576" spans="3:11" customFormat="1">
      <c r="C576" s="1"/>
      <c r="D576" s="1"/>
      <c r="E576" s="1"/>
      <c r="H576" s="1"/>
      <c r="I576" s="7"/>
      <c r="J576" s="2" t="s">
        <v>29</v>
      </c>
      <c r="K576" s="3"/>
    </row>
    <row r="577" spans="3:11" customFormat="1">
      <c r="C577" s="1"/>
      <c r="D577" s="1"/>
      <c r="E577" s="1"/>
      <c r="H577" s="1"/>
      <c r="I577" s="7"/>
      <c r="J577" s="2"/>
      <c r="K577" s="3"/>
    </row>
    <row r="578" spans="3:11" customFormat="1">
      <c r="C578" s="1"/>
      <c r="D578" s="1"/>
      <c r="E578" s="1"/>
      <c r="H578" s="1"/>
      <c r="I578" s="7"/>
      <c r="J578" s="2" t="str">
        <f xml:space="preserve"> "case "&amp; K578&amp;": "</f>
        <v xml:space="preserve">case 410: </v>
      </c>
      <c r="K578" s="3">
        <f>K564+10</f>
        <v>410</v>
      </c>
    </row>
    <row r="579" spans="3:11" customFormat="1">
      <c r="C579" s="1"/>
      <c r="D579" s="1"/>
      <c r="E579" s="1"/>
      <c r="H579" s="1"/>
      <c r="I579" s="7"/>
      <c r="J579" s="2" t="str">
        <f t="shared" ref="J579:J588" si="90">VLOOKUP(K579,C:D,2,FALSE)</f>
        <v>strcpy(PresetName0,("&lt;EMPTY&gt;"));</v>
      </c>
      <c r="K579" s="3">
        <f>K578</f>
        <v>410</v>
      </c>
    </row>
    <row r="580" spans="3:11" customFormat="1">
      <c r="C580" s="1"/>
      <c r="D580" s="1"/>
      <c r="E580" s="1"/>
      <c r="H580" s="1"/>
      <c r="I580" s="7"/>
      <c r="J580" s="2" t="str">
        <f t="shared" si="90"/>
        <v>strcpy(PresetName1,("&lt;EMPTY&gt;"));</v>
      </c>
      <c r="K580" s="3">
        <f>K579+1</f>
        <v>411</v>
      </c>
    </row>
    <row r="581" spans="3:11" customFormat="1">
      <c r="C581" s="1"/>
      <c r="D581" s="1"/>
      <c r="E581" s="1"/>
      <c r="H581" s="1"/>
      <c r="I581" s="7"/>
      <c r="J581" s="2" t="str">
        <f t="shared" si="90"/>
        <v>strcpy(PresetName2,("&lt;EMPTY&gt;"));</v>
      </c>
      <c r="K581" s="3">
        <f t="shared" ref="K581:K588" si="91">K580+1</f>
        <v>412</v>
      </c>
    </row>
    <row r="582" spans="3:11" customFormat="1">
      <c r="C582" s="1"/>
      <c r="D582" s="1"/>
      <c r="E582" s="1"/>
      <c r="H582" s="1"/>
      <c r="I582" s="7"/>
      <c r="J582" s="2" t="str">
        <f t="shared" si="90"/>
        <v>strcpy(PresetName3,("&lt;EMPTY&gt;"));</v>
      </c>
      <c r="K582" s="3">
        <f t="shared" si="91"/>
        <v>413</v>
      </c>
    </row>
    <row r="583" spans="3:11" customFormat="1">
      <c r="C583" s="1"/>
      <c r="D583" s="1"/>
      <c r="E583" s="1"/>
      <c r="H583" s="1"/>
      <c r="I583" s="7"/>
      <c r="J583" s="2" t="str">
        <f t="shared" si="90"/>
        <v>strcpy(PresetName4,("&lt;EMPTY&gt;"));</v>
      </c>
      <c r="K583" s="3">
        <f t="shared" si="91"/>
        <v>414</v>
      </c>
    </row>
    <row r="584" spans="3:11" customFormat="1">
      <c r="C584" s="1"/>
      <c r="D584" s="1"/>
      <c r="E584" s="1"/>
      <c r="H584" s="1"/>
      <c r="I584" s="7"/>
      <c r="J584" s="2" t="str">
        <f t="shared" si="90"/>
        <v>strcpy(PresetName5,("&lt;EMPTY&gt;"));</v>
      </c>
      <c r="K584" s="3">
        <f t="shared" si="91"/>
        <v>415</v>
      </c>
    </row>
    <row r="585" spans="3:11" customFormat="1">
      <c r="C585" s="1"/>
      <c r="D585" s="1"/>
      <c r="E585" s="1"/>
      <c r="H585" s="1"/>
      <c r="I585" s="7"/>
      <c r="J585" s="2" t="str">
        <f t="shared" si="90"/>
        <v>strcpy(PresetName6,("&lt;EMPTY&gt;"));</v>
      </c>
      <c r="K585" s="3">
        <f t="shared" si="91"/>
        <v>416</v>
      </c>
    </row>
    <row r="586" spans="3:11" customFormat="1">
      <c r="C586" s="1"/>
      <c r="D586" s="1"/>
      <c r="E586" s="1"/>
      <c r="H586" s="1"/>
      <c r="I586" s="7"/>
      <c r="J586" s="2" t="str">
        <f t="shared" si="90"/>
        <v>strcpy(PresetName7,("&lt;EMPTY&gt;"));</v>
      </c>
      <c r="K586" s="3">
        <f t="shared" si="91"/>
        <v>417</v>
      </c>
    </row>
    <row r="587" spans="3:11" customFormat="1">
      <c r="C587" s="1"/>
      <c r="D587" s="1"/>
      <c r="E587" s="1"/>
      <c r="H587" s="1"/>
      <c r="I587" s="7"/>
      <c r="J587" s="2" t="str">
        <f t="shared" si="90"/>
        <v>strcpy(PresetName8,("&lt;EMPTY&gt;"));</v>
      </c>
      <c r="K587" s="3">
        <f t="shared" si="91"/>
        <v>418</v>
      </c>
    </row>
    <row r="588" spans="3:11" customFormat="1">
      <c r="C588" s="1"/>
      <c r="D588" s="1"/>
      <c r="E588" s="1"/>
      <c r="H588" s="1"/>
      <c r="I588" s="7"/>
      <c r="J588" s="2" t="str">
        <f t="shared" si="90"/>
        <v>strcpy(PresetName9,("&lt;EMPTY&gt;"));</v>
      </c>
      <c r="K588" s="3">
        <f t="shared" si="91"/>
        <v>419</v>
      </c>
    </row>
    <row r="589" spans="3:11" customFormat="1">
      <c r="C589" s="1"/>
      <c r="D589" s="1"/>
      <c r="E589" s="1"/>
      <c r="H589" s="1"/>
      <c r="I589" s="7"/>
      <c r="J589" s="2"/>
      <c r="K589" s="3"/>
    </row>
    <row r="590" spans="3:11" customFormat="1">
      <c r="C590" s="1"/>
      <c r="D590" s="1"/>
      <c r="E590" s="1"/>
      <c r="H590" s="1"/>
      <c r="I590" s="7"/>
      <c r="J590" s="2" t="s">
        <v>29</v>
      </c>
      <c r="K590" s="3"/>
    </row>
    <row r="591" spans="3:11" customFormat="1">
      <c r="C591" s="1"/>
      <c r="D591" s="1"/>
      <c r="E591" s="1"/>
      <c r="H591" s="1"/>
      <c r="I591" s="7"/>
      <c r="J591" s="2"/>
      <c r="K591" s="3"/>
    </row>
    <row r="592" spans="3:11" customFormat="1">
      <c r="C592" s="1"/>
      <c r="D592" s="1"/>
      <c r="E592" s="1"/>
      <c r="H592" s="1"/>
      <c r="I592" s="7"/>
      <c r="J592" s="2" t="str">
        <f xml:space="preserve"> "case "&amp; K592&amp;": "</f>
        <v xml:space="preserve">case 420: </v>
      </c>
      <c r="K592" s="3">
        <f>K578+10</f>
        <v>420</v>
      </c>
    </row>
    <row r="593" spans="3:11" customFormat="1">
      <c r="C593" s="1"/>
      <c r="D593" s="1"/>
      <c r="E593" s="1"/>
      <c r="H593" s="1"/>
      <c r="I593" s="7"/>
      <c r="J593" s="2" t="str">
        <f t="shared" ref="J593:J602" si="92">VLOOKUP(K593,C:D,2,FALSE)</f>
        <v>strcpy(PresetName0,("&lt;EMPTY&gt;"));</v>
      </c>
      <c r="K593" s="3">
        <f>K592</f>
        <v>420</v>
      </c>
    </row>
    <row r="594" spans="3:11" customFormat="1">
      <c r="C594" s="1"/>
      <c r="D594" s="1"/>
      <c r="E594" s="1"/>
      <c r="H594" s="1"/>
      <c r="I594" s="7"/>
      <c r="J594" s="2" t="str">
        <f t="shared" si="92"/>
        <v>strcpy(PresetName1,("&lt;EMPTY&gt;"));</v>
      </c>
      <c r="K594" s="3">
        <f>K593+1</f>
        <v>421</v>
      </c>
    </row>
    <row r="595" spans="3:11" customFormat="1">
      <c r="C595" s="1"/>
      <c r="D595" s="1"/>
      <c r="E595" s="1"/>
      <c r="H595" s="1"/>
      <c r="I595" s="7"/>
      <c r="J595" s="2" t="str">
        <f t="shared" si="92"/>
        <v>strcpy(PresetName2,("&lt;EMPTY&gt;"));</v>
      </c>
      <c r="K595" s="3">
        <f t="shared" ref="K595:K602" si="93">K594+1</f>
        <v>422</v>
      </c>
    </row>
    <row r="596" spans="3:11" customFormat="1">
      <c r="C596" s="1"/>
      <c r="D596" s="1"/>
      <c r="E596" s="1"/>
      <c r="H596" s="1"/>
      <c r="I596" s="7"/>
      <c r="J596" s="2" t="str">
        <f t="shared" si="92"/>
        <v>strcpy(PresetName3,("&lt;EMPTY&gt;"));</v>
      </c>
      <c r="K596" s="3">
        <f t="shared" si="93"/>
        <v>423</v>
      </c>
    </row>
    <row r="597" spans="3:11" customFormat="1">
      <c r="C597" s="1"/>
      <c r="D597" s="1"/>
      <c r="E597" s="1"/>
      <c r="H597" s="1"/>
      <c r="I597" s="7"/>
      <c r="J597" s="2" t="str">
        <f t="shared" si="92"/>
        <v>strcpy(PresetName4,("&lt;EMPTY&gt;"));</v>
      </c>
      <c r="K597" s="3">
        <f t="shared" si="93"/>
        <v>424</v>
      </c>
    </row>
    <row r="598" spans="3:11" customFormat="1">
      <c r="C598" s="1"/>
      <c r="D598" s="1"/>
      <c r="E598" s="1"/>
      <c r="H598" s="1"/>
      <c r="I598" s="7"/>
      <c r="J598" s="2" t="str">
        <f t="shared" si="92"/>
        <v>strcpy(PresetName5,("&lt;EMPTY&gt;"));</v>
      </c>
      <c r="K598" s="3">
        <f t="shared" si="93"/>
        <v>425</v>
      </c>
    </row>
    <row r="599" spans="3:11" customFormat="1">
      <c r="C599" s="1"/>
      <c r="D599" s="1"/>
      <c r="E599" s="1"/>
      <c r="H599" s="1"/>
      <c r="I599" s="7"/>
      <c r="J599" s="2" t="str">
        <f t="shared" si="92"/>
        <v>strcpy(PresetName6,("&lt;EMPTY&gt;"));</v>
      </c>
      <c r="K599" s="3">
        <f t="shared" si="93"/>
        <v>426</v>
      </c>
    </row>
    <row r="600" spans="3:11" customFormat="1">
      <c r="C600" s="1"/>
      <c r="D600" s="1"/>
      <c r="E600" s="1"/>
      <c r="H600" s="1"/>
      <c r="I600" s="7"/>
      <c r="J600" s="2" t="str">
        <f t="shared" si="92"/>
        <v>strcpy(PresetName7,("&lt;EMPTY&gt;"));</v>
      </c>
      <c r="K600" s="3">
        <f t="shared" si="93"/>
        <v>427</v>
      </c>
    </row>
    <row r="601" spans="3:11" customFormat="1">
      <c r="C601" s="1"/>
      <c r="D601" s="1"/>
      <c r="E601" s="1"/>
      <c r="H601" s="1"/>
      <c r="I601" s="7"/>
      <c r="J601" s="2" t="str">
        <f t="shared" si="92"/>
        <v>strcpy(PresetName8,("&lt;EMPTY&gt;"));</v>
      </c>
      <c r="K601" s="3">
        <f t="shared" si="93"/>
        <v>428</v>
      </c>
    </row>
    <row r="602" spans="3:11" customFormat="1">
      <c r="C602" s="1"/>
      <c r="D602" s="1"/>
      <c r="E602" s="1"/>
      <c r="H602" s="1"/>
      <c r="I602" s="7"/>
      <c r="J602" s="2" t="str">
        <f t="shared" si="92"/>
        <v>strcpy(PresetName9,("&lt;EMPTY&gt;"));</v>
      </c>
      <c r="K602" s="3">
        <f t="shared" si="93"/>
        <v>429</v>
      </c>
    </row>
    <row r="603" spans="3:11" customFormat="1">
      <c r="C603" s="1"/>
      <c r="D603" s="1"/>
      <c r="E603" s="1"/>
      <c r="H603" s="1"/>
      <c r="I603" s="7"/>
      <c r="J603" s="2"/>
      <c r="K603" s="3"/>
    </row>
    <row r="604" spans="3:11" customFormat="1">
      <c r="C604" s="1"/>
      <c r="D604" s="1"/>
      <c r="E604" s="1"/>
      <c r="H604" s="1"/>
      <c r="I604" s="7"/>
      <c r="J604" s="2" t="s">
        <v>29</v>
      </c>
      <c r="K604" s="3"/>
    </row>
    <row r="605" spans="3:11" customFormat="1">
      <c r="C605" s="1"/>
      <c r="D605" s="1"/>
      <c r="E605" s="1"/>
      <c r="H605" s="1"/>
      <c r="I605" s="7"/>
      <c r="J605" s="2"/>
      <c r="K605" s="3"/>
    </row>
    <row r="606" spans="3:11" customFormat="1">
      <c r="C606" s="1"/>
      <c r="D606" s="1"/>
      <c r="E606" s="1"/>
      <c r="H606" s="1"/>
      <c r="I606" s="7"/>
      <c r="J606" s="2" t="str">
        <f xml:space="preserve"> "case "&amp; K606&amp;": "</f>
        <v xml:space="preserve">case 430: </v>
      </c>
      <c r="K606" s="3">
        <f>K592+10</f>
        <v>430</v>
      </c>
    </row>
    <row r="607" spans="3:11" customFormat="1">
      <c r="C607" s="1"/>
      <c r="D607" s="1"/>
      <c r="E607" s="1"/>
      <c r="H607" s="1"/>
      <c r="I607" s="7"/>
      <c r="J607" s="2" t="str">
        <f t="shared" ref="J607:J616" si="94">VLOOKUP(K607,C:D,2,FALSE)</f>
        <v>strcpy(PresetName0,("&lt;EMPTY&gt;"));</v>
      </c>
      <c r="K607" s="3">
        <f>K606</f>
        <v>430</v>
      </c>
    </row>
    <row r="608" spans="3:11" customFormat="1">
      <c r="C608" s="1"/>
      <c r="D608" s="1"/>
      <c r="E608" s="1"/>
      <c r="H608" s="1"/>
      <c r="I608" s="7"/>
      <c r="J608" s="2" t="str">
        <f t="shared" si="94"/>
        <v>strcpy(PresetName1,("&lt;EMPTY&gt;"));</v>
      </c>
      <c r="K608" s="3">
        <f>K607+1</f>
        <v>431</v>
      </c>
    </row>
    <row r="609" spans="3:11" customFormat="1">
      <c r="C609" s="1"/>
      <c r="D609" s="1"/>
      <c r="E609" s="1"/>
      <c r="H609" s="1"/>
      <c r="I609" s="7"/>
      <c r="J609" s="2" t="str">
        <f t="shared" si="94"/>
        <v>strcpy(PresetName2,("&lt;EMPTY&gt;"));</v>
      </c>
      <c r="K609" s="3">
        <f t="shared" ref="K609:K616" si="95">K608+1</f>
        <v>432</v>
      </c>
    </row>
    <row r="610" spans="3:11" customFormat="1">
      <c r="C610" s="1"/>
      <c r="D610" s="1"/>
      <c r="E610" s="1"/>
      <c r="H610" s="1"/>
      <c r="I610" s="7"/>
      <c r="J610" s="2" t="str">
        <f t="shared" si="94"/>
        <v>strcpy(PresetName3,("&lt;EMPTY&gt;"));</v>
      </c>
      <c r="K610" s="3">
        <f t="shared" si="95"/>
        <v>433</v>
      </c>
    </row>
    <row r="611" spans="3:11" customFormat="1">
      <c r="C611" s="1"/>
      <c r="D611" s="1"/>
      <c r="E611" s="1"/>
      <c r="H611" s="1"/>
      <c r="I611" s="7"/>
      <c r="J611" s="2" t="str">
        <f t="shared" si="94"/>
        <v>strcpy(PresetName4,("&lt;EMPTY&gt;"));</v>
      </c>
      <c r="K611" s="3">
        <f t="shared" si="95"/>
        <v>434</v>
      </c>
    </row>
    <row r="612" spans="3:11" customFormat="1">
      <c r="C612" s="1"/>
      <c r="D612" s="1"/>
      <c r="E612" s="1"/>
      <c r="H612" s="1"/>
      <c r="I612" s="7"/>
      <c r="J612" s="2" t="str">
        <f t="shared" si="94"/>
        <v>strcpy(PresetName5,("&lt;EMPTY&gt;"));</v>
      </c>
      <c r="K612" s="3">
        <f t="shared" si="95"/>
        <v>435</v>
      </c>
    </row>
    <row r="613" spans="3:11" customFormat="1">
      <c r="C613" s="1"/>
      <c r="D613" s="1"/>
      <c r="E613" s="1"/>
      <c r="H613" s="1"/>
      <c r="I613" s="7"/>
      <c r="J613" s="2" t="str">
        <f t="shared" si="94"/>
        <v>strcpy(PresetName6,("&lt;EMPTY&gt;"));</v>
      </c>
      <c r="K613" s="3">
        <f t="shared" si="95"/>
        <v>436</v>
      </c>
    </row>
    <row r="614" spans="3:11" customFormat="1">
      <c r="C614" s="1"/>
      <c r="D614" s="1"/>
      <c r="E614" s="1"/>
      <c r="H614" s="1"/>
      <c r="I614" s="7"/>
      <c r="J614" s="2" t="str">
        <f t="shared" si="94"/>
        <v>strcpy(PresetName7,("&lt;EMPTY&gt;"));</v>
      </c>
      <c r="K614" s="3">
        <f t="shared" si="95"/>
        <v>437</v>
      </c>
    </row>
    <row r="615" spans="3:11" customFormat="1">
      <c r="C615" s="1"/>
      <c r="D615" s="1"/>
      <c r="E615" s="1"/>
      <c r="H615" s="1"/>
      <c r="I615" s="7"/>
      <c r="J615" s="2" t="str">
        <f t="shared" si="94"/>
        <v>strcpy(PresetName8,("&lt;EMPTY&gt;"));</v>
      </c>
      <c r="K615" s="3">
        <f t="shared" si="95"/>
        <v>438</v>
      </c>
    </row>
    <row r="616" spans="3:11" customFormat="1">
      <c r="C616" s="1"/>
      <c r="D616" s="1"/>
      <c r="E616" s="1"/>
      <c r="H616" s="1"/>
      <c r="I616" s="7"/>
      <c r="J616" s="2" t="str">
        <f t="shared" si="94"/>
        <v>strcpy(PresetName9,("&lt;EMPTY&gt;"));</v>
      </c>
      <c r="K616" s="3">
        <f t="shared" si="95"/>
        <v>439</v>
      </c>
    </row>
    <row r="617" spans="3:11" customFormat="1">
      <c r="C617" s="1"/>
      <c r="D617" s="1"/>
      <c r="E617" s="1"/>
      <c r="H617" s="1"/>
      <c r="I617" s="7"/>
      <c r="J617" s="2"/>
      <c r="K617" s="3"/>
    </row>
    <row r="618" spans="3:11" customFormat="1">
      <c r="C618" s="1"/>
      <c r="D618" s="1"/>
      <c r="E618" s="1"/>
      <c r="H618" s="1"/>
      <c r="I618" s="7"/>
      <c r="J618" s="2" t="s">
        <v>29</v>
      </c>
      <c r="K618" s="3"/>
    </row>
    <row r="619" spans="3:11" customFormat="1">
      <c r="C619" s="1"/>
      <c r="D619" s="1"/>
      <c r="E619" s="1"/>
      <c r="H619" s="1"/>
      <c r="I619" s="7"/>
      <c r="J619" s="2"/>
      <c r="K619" s="3"/>
    </row>
    <row r="620" spans="3:11" customFormat="1">
      <c r="C620" s="1"/>
      <c r="D620" s="1"/>
      <c r="E620" s="1"/>
      <c r="H620" s="1"/>
      <c r="I620" s="7"/>
      <c r="J620" s="2" t="str">
        <f xml:space="preserve"> "case "&amp; K620&amp;": "</f>
        <v xml:space="preserve">case 440: </v>
      </c>
      <c r="K620" s="3">
        <f>K606+10</f>
        <v>440</v>
      </c>
    </row>
    <row r="621" spans="3:11" customFormat="1">
      <c r="C621" s="1"/>
      <c r="D621" s="1"/>
      <c r="E621" s="1"/>
      <c r="H621" s="1"/>
      <c r="I621" s="7"/>
      <c r="J621" s="2" t="str">
        <f t="shared" ref="J621:J630" si="96">VLOOKUP(K621,C:D,2,FALSE)</f>
        <v>strcpy(PresetName0,("&lt;EMPTY&gt;"));</v>
      </c>
      <c r="K621" s="3">
        <f>K620</f>
        <v>440</v>
      </c>
    </row>
    <row r="622" spans="3:11" customFormat="1">
      <c r="C622" s="1"/>
      <c r="D622" s="1"/>
      <c r="E622" s="1"/>
      <c r="H622" s="1"/>
      <c r="I622" s="7"/>
      <c r="J622" s="2" t="str">
        <f t="shared" si="96"/>
        <v>strcpy(PresetName1,("&lt;EMPTY&gt;"));</v>
      </c>
      <c r="K622" s="3">
        <f>K621+1</f>
        <v>441</v>
      </c>
    </row>
    <row r="623" spans="3:11" customFormat="1">
      <c r="C623" s="1"/>
      <c r="D623" s="1"/>
      <c r="E623" s="1"/>
      <c r="H623" s="1"/>
      <c r="I623" s="7"/>
      <c r="J623" s="2" t="str">
        <f t="shared" si="96"/>
        <v>strcpy(PresetName2,("&lt;EMPTY&gt;"));</v>
      </c>
      <c r="K623" s="3">
        <f t="shared" ref="K623:K630" si="97">K622+1</f>
        <v>442</v>
      </c>
    </row>
    <row r="624" spans="3:11" customFormat="1">
      <c r="C624" s="1"/>
      <c r="D624" s="1"/>
      <c r="E624" s="1"/>
      <c r="H624" s="1"/>
      <c r="I624" s="7"/>
      <c r="J624" s="2" t="str">
        <f t="shared" si="96"/>
        <v>strcpy(PresetName3,("&lt;EMPTY&gt;"));</v>
      </c>
      <c r="K624" s="3">
        <f t="shared" si="97"/>
        <v>443</v>
      </c>
    </row>
    <row r="625" spans="3:11" customFormat="1">
      <c r="C625" s="1"/>
      <c r="D625" s="1"/>
      <c r="E625" s="1"/>
      <c r="H625" s="1"/>
      <c r="I625" s="7"/>
      <c r="J625" s="2" t="str">
        <f t="shared" si="96"/>
        <v>strcpy(PresetName4,("&lt;EMPTY&gt;"));</v>
      </c>
      <c r="K625" s="3">
        <f t="shared" si="97"/>
        <v>444</v>
      </c>
    </row>
    <row r="626" spans="3:11" customFormat="1">
      <c r="C626" s="1"/>
      <c r="D626" s="1"/>
      <c r="E626" s="1"/>
      <c r="H626" s="1"/>
      <c r="I626" s="7"/>
      <c r="J626" s="2" t="str">
        <f t="shared" si="96"/>
        <v>strcpy(PresetName5,("&lt;EMPTY&gt;"));</v>
      </c>
      <c r="K626" s="3">
        <f t="shared" si="97"/>
        <v>445</v>
      </c>
    </row>
    <row r="627" spans="3:11" customFormat="1">
      <c r="C627" s="1"/>
      <c r="D627" s="1"/>
      <c r="E627" s="1"/>
      <c r="H627" s="1"/>
      <c r="I627" s="7"/>
      <c r="J627" s="2" t="str">
        <f t="shared" si="96"/>
        <v>strcpy(PresetName6,("&lt;EMPTY&gt;"));</v>
      </c>
      <c r="K627" s="3">
        <f t="shared" si="97"/>
        <v>446</v>
      </c>
    </row>
    <row r="628" spans="3:11" customFormat="1">
      <c r="C628" s="1"/>
      <c r="D628" s="1"/>
      <c r="E628" s="1"/>
      <c r="H628" s="1"/>
      <c r="I628" s="7"/>
      <c r="J628" s="2" t="str">
        <f t="shared" si="96"/>
        <v>strcpy(PresetName7,("&lt;EMPTY&gt;"));</v>
      </c>
      <c r="K628" s="3">
        <f t="shared" si="97"/>
        <v>447</v>
      </c>
    </row>
    <row r="629" spans="3:11" customFormat="1">
      <c r="C629" s="1"/>
      <c r="D629" s="1"/>
      <c r="E629" s="1"/>
      <c r="H629" s="1"/>
      <c r="I629" s="7"/>
      <c r="J629" s="2" t="str">
        <f t="shared" si="96"/>
        <v>strcpy(PresetName8,("&lt;EMPTY&gt;"));</v>
      </c>
      <c r="K629" s="3">
        <f t="shared" si="97"/>
        <v>448</v>
      </c>
    </row>
    <row r="630" spans="3:11" customFormat="1">
      <c r="C630" s="1"/>
      <c r="D630" s="1"/>
      <c r="E630" s="1"/>
      <c r="H630" s="1"/>
      <c r="I630" s="7"/>
      <c r="J630" s="2" t="str">
        <f t="shared" si="96"/>
        <v>strcpy(PresetName9,("&lt;EMPTY&gt;"));</v>
      </c>
      <c r="K630" s="3">
        <f t="shared" si="97"/>
        <v>449</v>
      </c>
    </row>
    <row r="631" spans="3:11" customFormat="1">
      <c r="C631" s="1"/>
      <c r="D631" s="1"/>
      <c r="E631" s="1"/>
      <c r="H631" s="1"/>
      <c r="I631" s="7"/>
      <c r="J631" s="2"/>
      <c r="K631" s="3"/>
    </row>
    <row r="632" spans="3:11" customFormat="1">
      <c r="C632" s="1"/>
      <c r="D632" s="1"/>
      <c r="E632" s="1"/>
      <c r="H632" s="1"/>
      <c r="I632" s="7"/>
      <c r="J632" s="2" t="s">
        <v>29</v>
      </c>
      <c r="K632" s="3"/>
    </row>
    <row r="633" spans="3:11" customFormat="1">
      <c r="C633" s="1"/>
      <c r="D633" s="1"/>
      <c r="E633" s="1"/>
      <c r="H633" s="1"/>
      <c r="I633" s="7"/>
      <c r="J633" s="2"/>
      <c r="K633" s="3"/>
    </row>
    <row r="634" spans="3:11" customFormat="1">
      <c r="C634" s="1"/>
      <c r="D634" s="1"/>
      <c r="E634" s="1"/>
      <c r="H634" s="1"/>
      <c r="I634" s="7"/>
      <c r="J634" s="2" t="str">
        <f xml:space="preserve"> "case "&amp; K634&amp;": "</f>
        <v xml:space="preserve">case 450: </v>
      </c>
      <c r="K634" s="3">
        <f>K620+10</f>
        <v>450</v>
      </c>
    </row>
    <row r="635" spans="3:11" customFormat="1">
      <c r="C635" s="1"/>
      <c r="D635" s="1"/>
      <c r="E635" s="1"/>
      <c r="H635" s="1"/>
      <c r="I635" s="7"/>
      <c r="J635" s="2" t="str">
        <f t="shared" ref="J635:J644" si="98">VLOOKUP(K635,C:D,2,FALSE)</f>
        <v>strcpy(PresetName0,("&lt;EMPTY&gt;"));</v>
      </c>
      <c r="K635" s="3">
        <f>K634</f>
        <v>450</v>
      </c>
    </row>
    <row r="636" spans="3:11" customFormat="1">
      <c r="C636" s="1"/>
      <c r="D636" s="1"/>
      <c r="E636" s="1"/>
      <c r="H636" s="1"/>
      <c r="I636" s="7"/>
      <c r="J636" s="2" t="str">
        <f t="shared" si="98"/>
        <v>strcpy(PresetName1,("&lt;EMPTY&gt;"));</v>
      </c>
      <c r="K636" s="3">
        <f>K635+1</f>
        <v>451</v>
      </c>
    </row>
    <row r="637" spans="3:11" customFormat="1">
      <c r="C637" s="1"/>
      <c r="D637" s="1"/>
      <c r="E637" s="1"/>
      <c r="H637" s="1"/>
      <c r="I637" s="7"/>
      <c r="J637" s="2" t="str">
        <f t="shared" si="98"/>
        <v>strcpy(PresetName2,("&lt;EMPTY&gt;"));</v>
      </c>
      <c r="K637" s="3">
        <f t="shared" ref="K637:K644" si="99">K636+1</f>
        <v>452</v>
      </c>
    </row>
    <row r="638" spans="3:11" customFormat="1">
      <c r="C638" s="1"/>
      <c r="D638" s="1"/>
      <c r="E638" s="1"/>
      <c r="H638" s="1"/>
      <c r="I638" s="7"/>
      <c r="J638" s="2" t="str">
        <f t="shared" si="98"/>
        <v>strcpy(PresetName3,("&lt;EMPTY&gt;"));</v>
      </c>
      <c r="K638" s="3">
        <f t="shared" si="99"/>
        <v>453</v>
      </c>
    </row>
    <row r="639" spans="3:11" customFormat="1">
      <c r="C639" s="1"/>
      <c r="D639" s="1"/>
      <c r="E639" s="1"/>
      <c r="H639" s="1"/>
      <c r="I639" s="7"/>
      <c r="J639" s="2" t="str">
        <f t="shared" si="98"/>
        <v>strcpy(PresetName4,("&lt;EMPTY&gt;"));</v>
      </c>
      <c r="K639" s="3">
        <f t="shared" si="99"/>
        <v>454</v>
      </c>
    </row>
    <row r="640" spans="3:11" customFormat="1">
      <c r="C640" s="1"/>
      <c r="D640" s="1"/>
      <c r="E640" s="1"/>
      <c r="H640" s="1"/>
      <c r="I640" s="7"/>
      <c r="J640" s="2" t="str">
        <f t="shared" si="98"/>
        <v>strcpy(PresetName5,("&lt;EMPTY&gt;"));</v>
      </c>
      <c r="K640" s="3">
        <f t="shared" si="99"/>
        <v>455</v>
      </c>
    </row>
    <row r="641" spans="3:11" customFormat="1">
      <c r="C641" s="1"/>
      <c r="D641" s="1"/>
      <c r="E641" s="1"/>
      <c r="H641" s="1"/>
      <c r="I641" s="7"/>
      <c r="J641" s="2" t="str">
        <f t="shared" si="98"/>
        <v>strcpy(PresetName6,("&lt;EMPTY&gt;"));</v>
      </c>
      <c r="K641" s="3">
        <f t="shared" si="99"/>
        <v>456</v>
      </c>
    </row>
    <row r="642" spans="3:11" customFormat="1">
      <c r="C642" s="1"/>
      <c r="D642" s="1"/>
      <c r="E642" s="1"/>
      <c r="H642" s="1"/>
      <c r="I642" s="7"/>
      <c r="J642" s="2" t="str">
        <f t="shared" si="98"/>
        <v>strcpy(PresetName7,("&lt;EMPTY&gt;"));</v>
      </c>
      <c r="K642" s="3">
        <f t="shared" si="99"/>
        <v>457</v>
      </c>
    </row>
    <row r="643" spans="3:11" customFormat="1">
      <c r="C643" s="1"/>
      <c r="D643" s="1"/>
      <c r="E643" s="1"/>
      <c r="H643" s="1"/>
      <c r="I643" s="7"/>
      <c r="J643" s="2" t="str">
        <f t="shared" si="98"/>
        <v>strcpy(PresetName8,("&lt;EMPTY&gt;"));</v>
      </c>
      <c r="K643" s="3">
        <f t="shared" si="99"/>
        <v>458</v>
      </c>
    </row>
    <row r="644" spans="3:11" customFormat="1">
      <c r="C644" s="1"/>
      <c r="D644" s="1"/>
      <c r="E644" s="1"/>
      <c r="H644" s="1"/>
      <c r="I644" s="7"/>
      <c r="J644" s="2" t="str">
        <f t="shared" si="98"/>
        <v>strcpy(PresetName9,("&lt;EMPTY&gt;"));</v>
      </c>
      <c r="K644" s="3">
        <f t="shared" si="99"/>
        <v>459</v>
      </c>
    </row>
    <row r="645" spans="3:11" customFormat="1">
      <c r="C645" s="1"/>
      <c r="D645" s="1"/>
      <c r="E645" s="1"/>
      <c r="H645" s="1"/>
      <c r="I645" s="7"/>
      <c r="J645" s="2"/>
      <c r="K645" s="3"/>
    </row>
    <row r="646" spans="3:11" customFormat="1">
      <c r="C646" s="1"/>
      <c r="D646" s="1"/>
      <c r="E646" s="1"/>
      <c r="H646" s="1"/>
      <c r="I646" s="7"/>
      <c r="J646" s="2" t="s">
        <v>29</v>
      </c>
      <c r="K646" s="3"/>
    </row>
    <row r="647" spans="3:11" customFormat="1">
      <c r="C647" s="1"/>
      <c r="D647" s="1"/>
      <c r="E647" s="1"/>
      <c r="H647" s="1"/>
      <c r="I647" s="7"/>
      <c r="J647" s="2"/>
      <c r="K647" s="3"/>
    </row>
    <row r="648" spans="3:11" customFormat="1">
      <c r="C648" s="1"/>
      <c r="D648" s="1"/>
      <c r="E648" s="1"/>
      <c r="H648" s="1"/>
      <c r="I648" s="7"/>
      <c r="J648" s="2" t="str">
        <f xml:space="preserve"> "case "&amp; K648&amp;": "</f>
        <v xml:space="preserve">case 460: </v>
      </c>
      <c r="K648" s="3">
        <f>K634+10</f>
        <v>460</v>
      </c>
    </row>
    <row r="649" spans="3:11" customFormat="1">
      <c r="C649" s="1"/>
      <c r="D649" s="1"/>
      <c r="E649" s="1"/>
      <c r="H649" s="1"/>
      <c r="I649" s="7"/>
      <c r="J649" s="2" t="str">
        <f t="shared" ref="J649:J658" si="100">VLOOKUP(K649,C:D,2,FALSE)</f>
        <v>strcpy(PresetName0,("&lt;EMPTY&gt;"));</v>
      </c>
      <c r="K649" s="3">
        <f>K648</f>
        <v>460</v>
      </c>
    </row>
    <row r="650" spans="3:11" customFormat="1">
      <c r="C650" s="1"/>
      <c r="D650" s="1"/>
      <c r="E650" s="1"/>
      <c r="H650" s="1"/>
      <c r="I650" s="7"/>
      <c r="J650" s="2" t="str">
        <f t="shared" si="100"/>
        <v>strcpy(PresetName1,("&lt;EMPTY&gt;"));</v>
      </c>
      <c r="K650" s="3">
        <f>K649+1</f>
        <v>461</v>
      </c>
    </row>
    <row r="651" spans="3:11" customFormat="1">
      <c r="C651" s="1"/>
      <c r="D651" s="1"/>
      <c r="E651" s="1"/>
      <c r="H651" s="1"/>
      <c r="I651" s="7"/>
      <c r="J651" s="2" t="str">
        <f t="shared" si="100"/>
        <v>strcpy(PresetName2,("&lt;EMPTY&gt;"));</v>
      </c>
      <c r="K651" s="3">
        <f t="shared" ref="K651:K658" si="101">K650+1</f>
        <v>462</v>
      </c>
    </row>
    <row r="652" spans="3:11" customFormat="1">
      <c r="C652" s="1"/>
      <c r="D652" s="1"/>
      <c r="E652" s="1"/>
      <c r="H652" s="1"/>
      <c r="I652" s="7"/>
      <c r="J652" s="2" t="str">
        <f t="shared" si="100"/>
        <v>strcpy(PresetName3,("&lt;EMPTY&gt;"));</v>
      </c>
      <c r="K652" s="3">
        <f t="shared" si="101"/>
        <v>463</v>
      </c>
    </row>
    <row r="653" spans="3:11" customFormat="1">
      <c r="C653" s="1"/>
      <c r="D653" s="1"/>
      <c r="E653" s="1"/>
      <c r="H653" s="1"/>
      <c r="I653" s="7"/>
      <c r="J653" s="2" t="str">
        <f t="shared" si="100"/>
        <v>strcpy(PresetName4,("&lt;EMPTY&gt;"));</v>
      </c>
      <c r="K653" s="3">
        <f t="shared" si="101"/>
        <v>464</v>
      </c>
    </row>
    <row r="654" spans="3:11" customFormat="1">
      <c r="C654" s="1"/>
      <c r="D654" s="1"/>
      <c r="E654" s="1"/>
      <c r="H654" s="1"/>
      <c r="I654" s="7"/>
      <c r="J654" s="2" t="str">
        <f t="shared" si="100"/>
        <v>strcpy(PresetName5,("&lt;EMPTY&gt;"));</v>
      </c>
      <c r="K654" s="3">
        <f t="shared" si="101"/>
        <v>465</v>
      </c>
    </row>
    <row r="655" spans="3:11" customFormat="1">
      <c r="C655" s="1"/>
      <c r="D655" s="1"/>
      <c r="E655" s="1"/>
      <c r="H655" s="1"/>
      <c r="I655" s="7"/>
      <c r="J655" s="2" t="str">
        <f t="shared" si="100"/>
        <v>strcpy(PresetName6,("&lt;EMPTY&gt;"));</v>
      </c>
      <c r="K655" s="3">
        <f t="shared" si="101"/>
        <v>466</v>
      </c>
    </row>
    <row r="656" spans="3:11" customFormat="1">
      <c r="C656" s="1"/>
      <c r="D656" s="1"/>
      <c r="E656" s="1"/>
      <c r="H656" s="1"/>
      <c r="I656" s="7"/>
      <c r="J656" s="2" t="str">
        <f t="shared" si="100"/>
        <v>strcpy(PresetName7,("&lt;EMPTY&gt;"));</v>
      </c>
      <c r="K656" s="3">
        <f t="shared" si="101"/>
        <v>467</v>
      </c>
    </row>
    <row r="657" spans="3:11" customFormat="1">
      <c r="C657" s="1"/>
      <c r="D657" s="1"/>
      <c r="E657" s="1"/>
      <c r="H657" s="1"/>
      <c r="I657" s="7"/>
      <c r="J657" s="2" t="str">
        <f t="shared" si="100"/>
        <v>strcpy(PresetName8,("&lt;EMPTY&gt;"));</v>
      </c>
      <c r="K657" s="3">
        <f t="shared" si="101"/>
        <v>468</v>
      </c>
    </row>
    <row r="658" spans="3:11" customFormat="1">
      <c r="C658" s="1"/>
      <c r="D658" s="1"/>
      <c r="E658" s="1"/>
      <c r="H658" s="1"/>
      <c r="I658" s="7"/>
      <c r="J658" s="2" t="str">
        <f t="shared" si="100"/>
        <v>strcpy(PresetName9,("Ping-Pong Pong-Ping"));</v>
      </c>
      <c r="K658" s="3">
        <f t="shared" si="101"/>
        <v>469</v>
      </c>
    </row>
    <row r="659" spans="3:11" customFormat="1">
      <c r="C659" s="1"/>
      <c r="D659" s="1"/>
      <c r="E659" s="1"/>
      <c r="H659" s="1"/>
      <c r="I659" s="7"/>
      <c r="J659" s="2"/>
      <c r="K659" s="3"/>
    </row>
    <row r="660" spans="3:11" customFormat="1">
      <c r="C660" s="1"/>
      <c r="D660" s="1"/>
      <c r="E660" s="1"/>
      <c r="H660" s="1"/>
      <c r="I660" s="7"/>
      <c r="J660" s="2" t="s">
        <v>29</v>
      </c>
      <c r="K660" s="3"/>
    </row>
    <row r="661" spans="3:11" customFormat="1">
      <c r="C661" s="1"/>
      <c r="D661" s="1"/>
      <c r="E661" s="1"/>
      <c r="H661" s="1"/>
      <c r="I661" s="7"/>
      <c r="J661" s="2"/>
      <c r="K661" s="3"/>
    </row>
    <row r="662" spans="3:11" customFormat="1">
      <c r="C662" s="1"/>
      <c r="D662" s="1"/>
      <c r="E662" s="1"/>
      <c r="H662" s="1"/>
      <c r="I662" s="7"/>
      <c r="J662" s="2" t="str">
        <f xml:space="preserve"> "case "&amp; K662&amp;": "</f>
        <v xml:space="preserve">case 470: </v>
      </c>
      <c r="K662" s="3">
        <f>K648+10</f>
        <v>470</v>
      </c>
    </row>
    <row r="663" spans="3:11" customFormat="1">
      <c r="C663" s="1"/>
      <c r="D663" s="1"/>
      <c r="E663" s="1"/>
      <c r="H663" s="1"/>
      <c r="I663" s="7"/>
      <c r="J663" s="2" t="str">
        <f t="shared" ref="J663:J672" si="102">VLOOKUP(K663,C:D,2,FALSE)</f>
        <v>strcpy(PresetName0,("8-Voice Chorus"));</v>
      </c>
      <c r="K663" s="3">
        <f>K662</f>
        <v>470</v>
      </c>
    </row>
    <row r="664" spans="3:11" customFormat="1">
      <c r="C664" s="1"/>
      <c r="D664" s="1"/>
      <c r="E664" s="1"/>
      <c r="H664" s="1"/>
      <c r="I664" s="7"/>
      <c r="J664" s="2" t="str">
        <f t="shared" si="102"/>
        <v>strcpy(PresetName1,("Dual Clean"));</v>
      </c>
      <c r="K664" s="3">
        <f>K663+1</f>
        <v>471</v>
      </c>
    </row>
    <row r="665" spans="3:11" customFormat="1">
      <c r="C665" s="1"/>
      <c r="D665" s="1"/>
      <c r="E665" s="1"/>
      <c r="H665" s="1"/>
      <c r="I665" s="7"/>
      <c r="J665" s="2" t="str">
        <f t="shared" si="102"/>
        <v>strcpy(PresetName2,("New Country"));</v>
      </c>
      <c r="K665" s="3">
        <f t="shared" ref="K665:K672" si="103">K664+1</f>
        <v>472</v>
      </c>
    </row>
    <row r="666" spans="3:11" customFormat="1">
      <c r="C666" s="1"/>
      <c r="D666" s="1"/>
      <c r="E666" s="1"/>
      <c r="H666" s="1"/>
      <c r="I666" s="7"/>
      <c r="J666" s="2" t="str">
        <f t="shared" si="102"/>
        <v>strcpy(PresetName3,("In a Fixx"));</v>
      </c>
      <c r="K666" s="3">
        <f t="shared" si="103"/>
        <v>473</v>
      </c>
    </row>
    <row r="667" spans="3:11" customFormat="1">
      <c r="C667" s="1"/>
      <c r="D667" s="1"/>
      <c r="E667" s="1"/>
      <c r="H667" s="1"/>
      <c r="I667" s="7"/>
      <c r="J667" s="2" t="str">
        <f t="shared" si="102"/>
        <v>strcpy(PresetName4,("L.A. Session Clean"));</v>
      </c>
      <c r="K667" s="3">
        <f t="shared" si="103"/>
        <v>474</v>
      </c>
    </row>
    <row r="668" spans="3:11" customFormat="1">
      <c r="C668" s="1"/>
      <c r="D668" s="1"/>
      <c r="E668" s="1"/>
      <c r="H668" s="1"/>
      <c r="I668" s="7"/>
      <c r="J668" s="2" t="str">
        <f t="shared" si="102"/>
        <v>strcpy(PresetName5,("Yngwie!"));</v>
      </c>
      <c r="K668" s="3">
        <f t="shared" si="103"/>
        <v>475</v>
      </c>
    </row>
    <row r="669" spans="3:11" customFormat="1">
      <c r="C669" s="1"/>
      <c r="D669" s="1"/>
      <c r="E669" s="1"/>
      <c r="H669" s="1"/>
      <c r="I669" s="7"/>
      <c r="J669" s="2" t="str">
        <f t="shared" si="102"/>
        <v>strcpy(PresetName6,("Mr.Gilmour Lead"));</v>
      </c>
      <c r="K669" s="3">
        <f t="shared" si="103"/>
        <v>476</v>
      </c>
    </row>
    <row r="670" spans="3:11" customFormat="1">
      <c r="C670" s="1"/>
      <c r="D670" s="1"/>
      <c r="E670" s="1"/>
      <c r="H670" s="1"/>
      <c r="I670" s="7"/>
      <c r="J670" s="2" t="str">
        <f t="shared" si="102"/>
        <v>strcpy(PresetName7,("Plate Collection"));</v>
      </c>
      <c r="K670" s="3">
        <f t="shared" si="103"/>
        <v>477</v>
      </c>
    </row>
    <row r="671" spans="3:11" customFormat="1">
      <c r="C671" s="1"/>
      <c r="D671" s="1"/>
      <c r="E671" s="1"/>
      <c r="H671" s="1"/>
      <c r="I671" s="7"/>
      <c r="J671" s="2" t="str">
        <f t="shared" si="102"/>
        <v>strcpy(PresetName8,("Chugnuts"));</v>
      </c>
      <c r="K671" s="3">
        <f t="shared" si="103"/>
        <v>478</v>
      </c>
    </row>
    <row r="672" spans="3:11" customFormat="1">
      <c r="C672" s="1"/>
      <c r="D672" s="1"/>
      <c r="E672" s="1"/>
      <c r="H672" s="1"/>
      <c r="I672" s="7"/>
      <c r="J672" s="2" t="str">
        <f t="shared" si="102"/>
        <v>strcpy(PresetName9,("Ned Beatty"));</v>
      </c>
      <c r="K672" s="3">
        <f t="shared" si="103"/>
        <v>479</v>
      </c>
    </row>
    <row r="673" spans="3:11" customFormat="1">
      <c r="C673" s="1"/>
      <c r="D673" s="1"/>
      <c r="E673" s="1"/>
      <c r="H673" s="1"/>
      <c r="I673" s="7"/>
      <c r="J673" s="2"/>
      <c r="K673" s="3"/>
    </row>
    <row r="674" spans="3:11" customFormat="1">
      <c r="C674" s="1"/>
      <c r="D674" s="1"/>
      <c r="E674" s="1"/>
      <c r="H674" s="1"/>
      <c r="I674" s="7"/>
      <c r="J674" s="2" t="s">
        <v>29</v>
      </c>
      <c r="K674" s="3"/>
    </row>
    <row r="675" spans="3:11" customFormat="1">
      <c r="C675" s="1"/>
      <c r="D675" s="1"/>
      <c r="E675" s="1"/>
      <c r="H675" s="1"/>
      <c r="I675" s="7"/>
      <c r="J675" s="2"/>
      <c r="K675" s="3"/>
    </row>
    <row r="676" spans="3:11" customFormat="1">
      <c r="C676" s="1"/>
      <c r="D676" s="1"/>
      <c r="E676" s="1"/>
      <c r="H676" s="1"/>
      <c r="I676" s="7"/>
      <c r="J676" s="2" t="str">
        <f xml:space="preserve"> "case "&amp; K676&amp;": "</f>
        <v xml:space="preserve">case 480: </v>
      </c>
      <c r="K676" s="3">
        <f>K662+10</f>
        <v>480</v>
      </c>
    </row>
    <row r="677" spans="3:11" customFormat="1">
      <c r="C677" s="1"/>
      <c r="D677" s="1"/>
      <c r="E677" s="1"/>
      <c r="H677" s="1"/>
      <c r="I677" s="7"/>
      <c r="J677" s="2" t="str">
        <f t="shared" ref="J677:J686" si="104">VLOOKUP(K677,C:D,2,FALSE)</f>
        <v>strcpy(PresetName0,("A Kind of Dream"));</v>
      </c>
      <c r="K677" s="3">
        <f>K676</f>
        <v>480</v>
      </c>
    </row>
    <row r="678" spans="3:11" customFormat="1">
      <c r="C678" s="1"/>
      <c r="D678" s="1"/>
      <c r="E678" s="1"/>
      <c r="H678" s="1"/>
      <c r="I678" s="7"/>
      <c r="J678" s="2" t="str">
        <f t="shared" si="104"/>
        <v>strcpy(PresetName1,("Spandex &amp; Hairspray"));</v>
      </c>
      <c r="K678" s="3">
        <f>K677+1</f>
        <v>481</v>
      </c>
    </row>
    <row r="679" spans="3:11" customFormat="1">
      <c r="C679" s="1"/>
      <c r="D679" s="1"/>
      <c r="E679" s="1"/>
      <c r="H679" s="1"/>
      <c r="I679" s="7"/>
      <c r="J679" s="2" t="str">
        <f t="shared" si="104"/>
        <v>strcpy(PresetName2,("Avant Jazz"));</v>
      </c>
      <c r="K679" s="3">
        <f t="shared" ref="K679:K686" si="105">K678+1</f>
        <v>482</v>
      </c>
    </row>
    <row r="680" spans="3:11" customFormat="1">
      <c r="C680" s="1"/>
      <c r="D680" s="1"/>
      <c r="E680" s="1"/>
      <c r="H680" s="1"/>
      <c r="I680" s="7"/>
      <c r="J680" s="2" t="str">
        <f t="shared" si="104"/>
        <v>strcpy(PresetName3,("Stone in Love"));</v>
      </c>
      <c r="K680" s="3">
        <f t="shared" si="105"/>
        <v>483</v>
      </c>
    </row>
    <row r="681" spans="3:11" customFormat="1">
      <c r="C681" s="1"/>
      <c r="D681" s="1"/>
      <c r="E681" s="1"/>
      <c r="H681" s="1"/>
      <c r="I681" s="7"/>
      <c r="J681" s="2" t="str">
        <f t="shared" si="104"/>
        <v>strcpy(PresetName4,("Fifth Tribe"));</v>
      </c>
      <c r="K681" s="3">
        <f t="shared" si="105"/>
        <v>484</v>
      </c>
    </row>
    <row r="682" spans="3:11" customFormat="1">
      <c r="C682" s="1"/>
      <c r="D682" s="1"/>
      <c r="E682" s="1"/>
      <c r="H682" s="1"/>
      <c r="I682" s="7"/>
      <c r="J682" s="2" t="str">
        <f t="shared" si="104"/>
        <v>strcpy(PresetName5,("Ambient Guitar"));</v>
      </c>
      <c r="K682" s="3">
        <f t="shared" si="105"/>
        <v>485</v>
      </c>
    </row>
    <row r="683" spans="3:11" customFormat="1">
      <c r="C683" s="1"/>
      <c r="D683" s="1"/>
      <c r="E683" s="1"/>
      <c r="H683" s="1"/>
      <c r="I683" s="7"/>
      <c r="J683" s="2" t="str">
        <f t="shared" si="104"/>
        <v>strcpy(PresetName6,("Eruption"));</v>
      </c>
      <c r="K683" s="3">
        <f t="shared" si="105"/>
        <v>486</v>
      </c>
    </row>
    <row r="684" spans="3:11" customFormat="1">
      <c r="C684" s="1"/>
      <c r="D684" s="1"/>
      <c r="E684" s="1"/>
      <c r="H684" s="1"/>
      <c r="I684" s="7"/>
      <c r="J684" s="2" t="str">
        <f t="shared" si="104"/>
        <v>strcpy(PresetName7,("Thrilling Chilling"));</v>
      </c>
      <c r="K684" s="3">
        <f t="shared" si="105"/>
        <v>487</v>
      </c>
    </row>
    <row r="685" spans="3:11" customFormat="1">
      <c r="C685" s="1"/>
      <c r="D685" s="1"/>
      <c r="E685" s="1"/>
      <c r="H685" s="1"/>
      <c r="I685" s="7"/>
      <c r="J685" s="2" t="str">
        <f t="shared" si="104"/>
        <v>strcpy(PresetName8,("Mr.Floyd"));</v>
      </c>
      <c r="K685" s="3">
        <f t="shared" si="105"/>
        <v>488</v>
      </c>
    </row>
    <row r="686" spans="3:11" customFormat="1">
      <c r="C686" s="1"/>
      <c r="D686" s="1"/>
      <c r="E686" s="1"/>
      <c r="H686" s="1"/>
      <c r="I686" s="7"/>
      <c r="J686" s="2" t="str">
        <f t="shared" si="104"/>
        <v>strcpy(PresetName9,("Barracuda"));</v>
      </c>
      <c r="K686" s="3">
        <f t="shared" si="105"/>
        <v>489</v>
      </c>
    </row>
    <row r="687" spans="3:11" customFormat="1">
      <c r="C687" s="1"/>
      <c r="D687" s="1"/>
      <c r="E687" s="1"/>
      <c r="H687" s="1"/>
      <c r="I687" s="7"/>
      <c r="J687" s="2"/>
      <c r="K687" s="3"/>
    </row>
    <row r="688" spans="3:11" customFormat="1">
      <c r="C688" s="1"/>
      <c r="D688" s="1"/>
      <c r="E688" s="1"/>
      <c r="H688" s="1"/>
      <c r="I688" s="7"/>
      <c r="J688" s="2" t="s">
        <v>29</v>
      </c>
      <c r="K688" s="3"/>
    </row>
    <row r="689" spans="3:11" customFormat="1">
      <c r="C689" s="1"/>
      <c r="D689" s="1"/>
      <c r="E689" s="1"/>
      <c r="H689" s="1"/>
      <c r="I689" s="7"/>
      <c r="J689" s="2"/>
      <c r="K689" s="3"/>
    </row>
    <row r="690" spans="3:11" customFormat="1">
      <c r="C690" s="1"/>
      <c r="D690" s="1"/>
      <c r="E690" s="1"/>
      <c r="H690" s="1"/>
      <c r="I690" s="7"/>
      <c r="J690" s="2" t="str">
        <f xml:space="preserve"> "case "&amp; K690&amp;": "</f>
        <v xml:space="preserve">case 490: </v>
      </c>
      <c r="K690" s="3">
        <f>K676+10</f>
        <v>490</v>
      </c>
    </row>
    <row r="691" spans="3:11" customFormat="1">
      <c r="C691" s="1"/>
      <c r="D691" s="1"/>
      <c r="E691" s="1"/>
      <c r="H691" s="1"/>
      <c r="I691" s="7"/>
      <c r="J691" s="2" t="str">
        <f t="shared" ref="J691:J700" si="106">VLOOKUP(K691,C:D,2,FALSE)</f>
        <v>strcpy(PresetName0,("Solar Eclipses"));</v>
      </c>
      <c r="K691" s="3">
        <f>K690</f>
        <v>490</v>
      </c>
    </row>
    <row r="692" spans="3:11" customFormat="1">
      <c r="C692" s="1"/>
      <c r="D692" s="1"/>
      <c r="E692" s="1"/>
      <c r="H692" s="1"/>
      <c r="I692" s="7"/>
      <c r="J692" s="2" t="str">
        <f t="shared" si="106"/>
        <v>strcpy(PresetName1,("Comb Delays"));</v>
      </c>
      <c r="K692" s="3">
        <f>K691+1</f>
        <v>491</v>
      </c>
    </row>
    <row r="693" spans="3:11" customFormat="1">
      <c r="C693" s="1"/>
      <c r="D693" s="1"/>
      <c r="E693" s="1"/>
      <c r="H693" s="1"/>
      <c r="I693" s="7"/>
      <c r="J693" s="2" t="str">
        <f t="shared" si="106"/>
        <v>strcpy(PresetName2,("Blitz III"));</v>
      </c>
      <c r="K693" s="3">
        <f t="shared" ref="K693:K700" si="107">K692+1</f>
        <v>492</v>
      </c>
    </row>
    <row r="694" spans="3:11" customFormat="1">
      <c r="C694" s="1"/>
      <c r="D694" s="1"/>
      <c r="E694" s="1"/>
      <c r="H694" s="1"/>
      <c r="I694" s="7"/>
      <c r="J694" s="2" t="str">
        <f t="shared" si="106"/>
        <v>strcpy(PresetName3,("Pitch Follower"));</v>
      </c>
      <c r="K694" s="3">
        <f t="shared" si="107"/>
        <v>493</v>
      </c>
    </row>
    <row r="695" spans="3:11" customFormat="1">
      <c r="C695" s="1"/>
      <c r="D695" s="1"/>
      <c r="E695" s="1"/>
      <c r="H695" s="1"/>
      <c r="I695" s="7"/>
      <c r="J695" s="2" t="str">
        <f t="shared" si="106"/>
        <v>strcpy(PresetName4,("The Infield"));</v>
      </c>
      <c r="K695" s="3">
        <f t="shared" si="107"/>
        <v>494</v>
      </c>
    </row>
    <row r="696" spans="3:11" customFormat="1">
      <c r="C696" s="1"/>
      <c r="D696" s="1"/>
      <c r="E696" s="1"/>
      <c r="H696" s="1"/>
      <c r="I696" s="7"/>
      <c r="J696" s="2" t="str">
        <f t="shared" si="106"/>
        <v>strcpy(PresetName5,("Polychromatic Shifter"));</v>
      </c>
      <c r="K696" s="3">
        <f t="shared" si="107"/>
        <v>495</v>
      </c>
    </row>
    <row r="697" spans="3:11" customFormat="1">
      <c r="C697" s="1"/>
      <c r="D697" s="1"/>
      <c r="E697" s="1"/>
      <c r="H697" s="1"/>
      <c r="I697" s="7"/>
      <c r="J697" s="2" t="str">
        <f t="shared" si="106"/>
        <v>strcpy(PresetName6,("1987 Clean"));</v>
      </c>
      <c r="K697" s="3">
        <f t="shared" si="107"/>
        <v>496</v>
      </c>
    </row>
    <row r="698" spans="3:11" customFormat="1">
      <c r="C698" s="1"/>
      <c r="D698" s="1"/>
      <c r="E698" s="1"/>
      <c r="H698" s="1"/>
      <c r="I698" s="7"/>
      <c r="J698" s="2" t="str">
        <f t="shared" si="106"/>
        <v>strcpy(PresetName7,("Sultans"));</v>
      </c>
      <c r="K698" s="3">
        <f t="shared" si="107"/>
        <v>497</v>
      </c>
    </row>
    <row r="699" spans="3:11" customFormat="1">
      <c r="C699" s="1"/>
      <c r="D699" s="1"/>
      <c r="E699" s="1"/>
      <c r="H699" s="1"/>
      <c r="I699" s="7"/>
      <c r="J699" s="2" t="str">
        <f t="shared" si="106"/>
        <v>strcpy(PresetName8,("RockMeOn CLN2"));</v>
      </c>
      <c r="K699" s="3">
        <f t="shared" si="107"/>
        <v>498</v>
      </c>
    </row>
    <row r="700" spans="3:11" customFormat="1">
      <c r="C700" s="1"/>
      <c r="D700" s="1"/>
      <c r="E700" s="1"/>
      <c r="H700" s="1"/>
      <c r="I700" s="7"/>
      <c r="J700" s="2" t="str">
        <f t="shared" si="106"/>
        <v>strcpy(PresetName9,("Jeff Gets Ready"));</v>
      </c>
      <c r="K700" s="3">
        <f t="shared" si="107"/>
        <v>499</v>
      </c>
    </row>
    <row r="701" spans="3:11" customFormat="1">
      <c r="C701" s="1"/>
      <c r="D701" s="1"/>
      <c r="E701" s="1"/>
      <c r="H701" s="1"/>
      <c r="I701" s="7"/>
      <c r="J701" s="2"/>
      <c r="K701" s="3"/>
    </row>
    <row r="702" spans="3:11" customFormat="1">
      <c r="C702" s="1"/>
      <c r="D702" s="1"/>
      <c r="E702" s="1"/>
      <c r="H702" s="1"/>
      <c r="I702" s="7"/>
      <c r="J702" s="2" t="s">
        <v>29</v>
      </c>
      <c r="K702" s="3"/>
    </row>
    <row r="703" spans="3:11" customFormat="1">
      <c r="C703" s="1"/>
      <c r="D703" s="1"/>
      <c r="E703" s="1"/>
      <c r="H703" s="1"/>
      <c r="I703" s="7"/>
      <c r="J703" s="2"/>
      <c r="K703" s="3"/>
    </row>
    <row r="704" spans="3:11" customFormat="1">
      <c r="C704" s="1"/>
      <c r="D704" s="1"/>
      <c r="E704" s="1"/>
      <c r="H704" s="1"/>
      <c r="I704" s="7"/>
      <c r="J704" s="2" t="str">
        <f xml:space="preserve"> "case "&amp; K704&amp;": "</f>
        <v xml:space="preserve">case 500: </v>
      </c>
      <c r="K704" s="3">
        <f>K690+10</f>
        <v>500</v>
      </c>
    </row>
    <row r="705" spans="3:11" customFormat="1">
      <c r="C705" s="1"/>
      <c r="D705" s="1"/>
      <c r="E705" s="1"/>
      <c r="H705" s="1"/>
      <c r="I705" s="7"/>
      <c r="J705" s="2" t="str">
        <f t="shared" ref="J705:J714" si="108">VLOOKUP(K705,C:D,2,FALSE)</f>
        <v>strcpy(PresetName0,("Diamonique Rain"));</v>
      </c>
      <c r="K705" s="3">
        <f>K704</f>
        <v>500</v>
      </c>
    </row>
    <row r="706" spans="3:11" customFormat="1">
      <c r="C706" s="1"/>
      <c r="D706" s="1"/>
      <c r="E706" s="1"/>
      <c r="H706" s="1"/>
      <c r="I706" s="7"/>
      <c r="J706" s="2" t="str">
        <f t="shared" si="108"/>
        <v>strcpy(PresetName1,("Pete-a-Palooza"));</v>
      </c>
      <c r="K706" s="3">
        <f>K705+1</f>
        <v>501</v>
      </c>
    </row>
    <row r="707" spans="3:11" customFormat="1">
      <c r="C707" s="1"/>
      <c r="D707" s="1"/>
      <c r="E707" s="1"/>
      <c r="H707" s="1"/>
      <c r="I707" s="7"/>
      <c r="J707" s="2" t="str">
        <f t="shared" si="108"/>
        <v>strcpy(PresetName2,("Larry Mitchell NY Steak"));</v>
      </c>
      <c r="K707" s="3">
        <f t="shared" ref="K707:K714" si="109">K706+1</f>
        <v>502</v>
      </c>
    </row>
    <row r="708" spans="3:11" customFormat="1">
      <c r="C708" s="1"/>
      <c r="D708" s="1"/>
      <c r="E708" s="1"/>
      <c r="H708" s="1"/>
      <c r="I708" s="7"/>
      <c r="J708" s="2" t="str">
        <f t="shared" si="108"/>
        <v>strcpy(PresetName3,("Mark's Day's Recto Cygnus"));</v>
      </c>
      <c r="K708" s="3">
        <f t="shared" si="109"/>
        <v>503</v>
      </c>
    </row>
    <row r="709" spans="3:11" customFormat="1">
      <c r="C709" s="1"/>
      <c r="D709" s="1"/>
      <c r="E709" s="1"/>
      <c r="H709" s="1"/>
      <c r="I709" s="7"/>
      <c r="J709" s="2" t="str">
        <f t="shared" si="108"/>
        <v>strcpy(PresetName4,("Fremen's Drones of Arrakis"));</v>
      </c>
      <c r="K709" s="3">
        <f t="shared" si="109"/>
        <v>504</v>
      </c>
    </row>
    <row r="710" spans="3:11" customFormat="1">
      <c r="C710" s="1"/>
      <c r="D710" s="1"/>
      <c r="E710" s="1"/>
      <c r="H710" s="1"/>
      <c r="I710" s="7"/>
      <c r="J710" s="2" t="str">
        <f t="shared" si="108"/>
        <v>strcpy(PresetName5,("Brett's Party Pack"));</v>
      </c>
      <c r="K710" s="3">
        <f t="shared" si="109"/>
        <v>505</v>
      </c>
    </row>
    <row r="711" spans="3:11" customFormat="1">
      <c r="C711" s="1"/>
      <c r="D711" s="1"/>
      <c r="E711" s="1"/>
      <c r="H711" s="1"/>
      <c r="I711" s="7"/>
      <c r="J711" s="2" t="str">
        <f t="shared" si="108"/>
        <v>strcpy(PresetName6,("Brett's Party Pack 2"));</v>
      </c>
      <c r="K711" s="3">
        <f t="shared" si="109"/>
        <v>506</v>
      </c>
    </row>
    <row r="712" spans="3:11" customFormat="1">
      <c r="C712" s="1"/>
      <c r="D712" s="1"/>
      <c r="E712" s="1"/>
      <c r="H712" s="1"/>
      <c r="I712" s="7"/>
      <c r="J712" s="2" t="str">
        <f t="shared" si="108"/>
        <v>strcpy(PresetName7,("AustinBuddy's XTCs"));</v>
      </c>
      <c r="K712" s="3">
        <f t="shared" si="109"/>
        <v>507</v>
      </c>
    </row>
    <row r="713" spans="3:11" customFormat="1">
      <c r="C713" s="1"/>
      <c r="D713" s="1"/>
      <c r="E713" s="1"/>
      <c r="H713" s="1"/>
      <c r="I713" s="7"/>
      <c r="J713" s="2" t="str">
        <f t="shared" si="108"/>
        <v>strcpy(PresetName8,("Leon's Live"));</v>
      </c>
      <c r="K713" s="3">
        <f t="shared" si="109"/>
        <v>508</v>
      </c>
    </row>
    <row r="714" spans="3:11" customFormat="1">
      <c r="C714" s="1"/>
      <c r="D714" s="1"/>
      <c r="E714" s="1"/>
      <c r="H714" s="1"/>
      <c r="I714" s="7"/>
      <c r="J714" s="2" t="str">
        <f t="shared" si="108"/>
        <v>strcpy(PresetName9,("Out1:FOH Out2:Cab"));</v>
      </c>
      <c r="K714" s="3">
        <f t="shared" si="109"/>
        <v>509</v>
      </c>
    </row>
    <row r="715" spans="3:11" customFormat="1">
      <c r="C715" s="1"/>
      <c r="D715" s="1"/>
      <c r="E715" s="1"/>
      <c r="H715" s="1"/>
      <c r="I715" s="7"/>
      <c r="J715" s="2"/>
      <c r="K715" s="3"/>
    </row>
    <row r="716" spans="3:11" customFormat="1">
      <c r="C716" s="1"/>
      <c r="D716" s="1"/>
      <c r="E716" s="1"/>
      <c r="H716" s="1"/>
      <c r="I716" s="7"/>
      <c r="J716" s="2" t="s">
        <v>29</v>
      </c>
      <c r="K716" s="3"/>
    </row>
    <row r="717" spans="3:11" customFormat="1">
      <c r="C717" s="1"/>
      <c r="D717" s="1"/>
      <c r="E717" s="1"/>
      <c r="H717" s="1"/>
      <c r="I717" s="7"/>
      <c r="J717" s="2"/>
      <c r="K717" s="3"/>
    </row>
    <row r="718" spans="3:11" customFormat="1">
      <c r="C718" s="1"/>
      <c r="D718" s="1"/>
      <c r="E718" s="1"/>
      <c r="H718" s="1"/>
      <c r="I718" s="7"/>
      <c r="J718" s="2" t="str">
        <f xml:space="preserve"> "case "&amp; K718&amp;": "</f>
        <v xml:space="preserve">case 510: </v>
      </c>
      <c r="K718" s="3">
        <f>K704+10</f>
        <v>510</v>
      </c>
    </row>
    <row r="719" spans="3:11" customFormat="1">
      <c r="C719" s="1"/>
      <c r="D719" s="1"/>
      <c r="E719" s="1"/>
      <c r="H719" s="1"/>
      <c r="I719" s="7"/>
      <c r="J719" s="2" t="str">
        <f>VLOOKUP(K719,C:D,2,FALSE)</f>
        <v>strcpy(PresetName0,("Amp Match Template"));</v>
      </c>
      <c r="K719" s="3">
        <f>K718</f>
        <v>510</v>
      </c>
    </row>
    <row r="720" spans="3:11" customFormat="1">
      <c r="C720" s="1"/>
      <c r="D720" s="1"/>
      <c r="E720" s="1"/>
      <c r="H720" s="1"/>
      <c r="I720" s="7"/>
      <c r="J720" s="2" t="str">
        <f>VLOOKUP(K720,C:D,2,FALSE)</f>
        <v>strcpy(PresetName1,("BYPASS"));</v>
      </c>
      <c r="K720" s="3">
        <f>K719+1</f>
        <v>511</v>
      </c>
    </row>
    <row r="721" spans="1:11">
      <c r="A721"/>
      <c r="B721"/>
      <c r="C721" s="1"/>
      <c r="D721" s="1"/>
      <c r="E721" s="1"/>
      <c r="F721"/>
      <c r="G721"/>
      <c r="H721" s="1"/>
      <c r="J721" s="2" t="s">
        <v>1386</v>
      </c>
      <c r="K721" s="3">
        <f t="shared" ref="K721:K728" si="110">K720+1</f>
        <v>512</v>
      </c>
    </row>
    <row r="722" spans="1:11">
      <c r="A722"/>
      <c r="B722"/>
      <c r="C722" s="1"/>
      <c r="D722" s="1"/>
      <c r="E722" s="1"/>
      <c r="F722"/>
      <c r="G722"/>
      <c r="H722" s="1"/>
      <c r="J722" s="2" t="s">
        <v>1387</v>
      </c>
      <c r="K722" s="3">
        <f t="shared" si="110"/>
        <v>513</v>
      </c>
    </row>
    <row r="723" spans="1:11">
      <c r="A723"/>
      <c r="B723"/>
      <c r="C723" s="1"/>
      <c r="D723" s="1"/>
      <c r="E723" s="1"/>
      <c r="F723"/>
      <c r="G723"/>
      <c r="H723" s="1"/>
      <c r="J723" s="2" t="s">
        <v>1388</v>
      </c>
      <c r="K723" s="3">
        <f t="shared" si="110"/>
        <v>514</v>
      </c>
    </row>
    <row r="724" spans="1:11">
      <c r="A724"/>
      <c r="B724"/>
      <c r="C724" s="1"/>
      <c r="D724" s="1"/>
      <c r="E724" s="1"/>
      <c r="F724"/>
      <c r="G724"/>
      <c r="H724" s="1"/>
      <c r="J724" s="2" t="s">
        <v>1389</v>
      </c>
      <c r="K724" s="3">
        <f t="shared" si="110"/>
        <v>515</v>
      </c>
    </row>
    <row r="725" spans="1:11">
      <c r="A725"/>
      <c r="B725"/>
      <c r="C725" s="1"/>
      <c r="D725" s="1"/>
      <c r="E725" s="1"/>
      <c r="F725"/>
      <c r="G725"/>
      <c r="H725" s="1"/>
      <c r="J725" s="2" t="s">
        <v>1390</v>
      </c>
      <c r="K725" s="3">
        <f t="shared" si="110"/>
        <v>516</v>
      </c>
    </row>
    <row r="726" spans="1:11">
      <c r="A726"/>
      <c r="B726"/>
      <c r="C726" s="1"/>
      <c r="D726" s="1"/>
      <c r="E726" s="1"/>
      <c r="F726"/>
      <c r="G726"/>
      <c r="H726" s="1"/>
      <c r="J726" s="2" t="s">
        <v>1391</v>
      </c>
      <c r="K726" s="3">
        <f t="shared" si="110"/>
        <v>517</v>
      </c>
    </row>
    <row r="727" spans="1:11">
      <c r="A727"/>
      <c r="B727"/>
      <c r="C727" s="1"/>
      <c r="D727" s="1"/>
      <c r="E727" s="1"/>
      <c r="F727"/>
      <c r="G727"/>
      <c r="H727" s="1"/>
      <c r="J727" s="2" t="s">
        <v>1392</v>
      </c>
      <c r="K727" s="3">
        <f t="shared" si="110"/>
        <v>518</v>
      </c>
    </row>
    <row r="728" spans="1:11">
      <c r="A728"/>
      <c r="B728"/>
      <c r="C728" s="1"/>
      <c r="D728" s="1"/>
      <c r="E728" s="1"/>
      <c r="F728"/>
      <c r="G728"/>
      <c r="H728" s="1"/>
      <c r="J728" s="2" t="s">
        <v>1393</v>
      </c>
      <c r="K728" s="3">
        <f t="shared" si="110"/>
        <v>519</v>
      </c>
    </row>
    <row r="729" spans="1:11">
      <c r="A729"/>
      <c r="B729"/>
      <c r="C729" s="1"/>
      <c r="D729" s="1"/>
      <c r="E729" s="1"/>
      <c r="F729"/>
      <c r="G729"/>
      <c r="H729" s="1"/>
      <c r="J729" s="2"/>
    </row>
    <row r="730" spans="1:11">
      <c r="A730"/>
      <c r="B730"/>
      <c r="C730" s="1"/>
      <c r="D730" s="1"/>
      <c r="E730" s="1"/>
      <c r="F730"/>
      <c r="G730"/>
      <c r="H730" s="1"/>
      <c r="J730" s="2" t="s">
        <v>29</v>
      </c>
    </row>
    <row r="731" spans="1:11">
      <c r="A731"/>
      <c r="B731"/>
      <c r="C731" s="1"/>
      <c r="D731" s="1"/>
      <c r="E731" s="1"/>
      <c r="F731"/>
      <c r="G731"/>
      <c r="H731" s="1"/>
      <c r="J731" s="2"/>
    </row>
    <row r="732" spans="1:11">
      <c r="A732"/>
      <c r="B732"/>
      <c r="C732" s="1"/>
      <c r="D732" s="1"/>
      <c r="E732" s="1"/>
      <c r="F732"/>
      <c r="G732"/>
      <c r="H732" s="1"/>
      <c r="J732" s="2" t="s">
        <v>843</v>
      </c>
      <c r="K732" s="3">
        <v>520</v>
      </c>
    </row>
    <row r="733" spans="1:11">
      <c r="A733"/>
      <c r="B733"/>
      <c r="C733" s="1"/>
      <c r="D733" s="1"/>
      <c r="E733" s="1"/>
      <c r="F733"/>
      <c r="G733"/>
      <c r="H733" s="1"/>
      <c r="J733" s="2" t="s">
        <v>105</v>
      </c>
      <c r="K733" s="3">
        <f>K732</f>
        <v>520</v>
      </c>
    </row>
    <row r="734" spans="1:11">
      <c r="A734"/>
      <c r="B734"/>
      <c r="C734" s="1"/>
      <c r="D734" s="1"/>
      <c r="E734" s="1"/>
      <c r="F734"/>
      <c r="G734"/>
      <c r="H734" s="1"/>
      <c r="K734" s="3">
        <f>K733+1</f>
        <v>521</v>
      </c>
    </row>
    <row r="735" spans="1:11">
      <c r="A735"/>
      <c r="B735"/>
      <c r="C735" s="1"/>
      <c r="D735" s="1"/>
      <c r="E735" s="1"/>
      <c r="F735"/>
      <c r="G735"/>
      <c r="H735" s="1"/>
      <c r="K735" s="3">
        <f t="shared" ref="K735:K742" si="111">K734+1</f>
        <v>522</v>
      </c>
    </row>
    <row r="736" spans="1:11">
      <c r="A736"/>
      <c r="B736"/>
      <c r="C736" s="1"/>
      <c r="D736" s="1"/>
      <c r="E736" s="1"/>
      <c r="F736"/>
      <c r="G736"/>
      <c r="H736" s="1"/>
      <c r="K736" s="3">
        <f t="shared" si="111"/>
        <v>523</v>
      </c>
    </row>
    <row r="737" spans="1:11">
      <c r="A737"/>
      <c r="B737"/>
      <c r="C737" s="1"/>
      <c r="D737" s="1"/>
      <c r="E737" s="1"/>
      <c r="F737"/>
      <c r="G737"/>
      <c r="H737" s="1"/>
      <c r="K737" s="3">
        <f t="shared" si="111"/>
        <v>524</v>
      </c>
    </row>
    <row r="738" spans="1:11">
      <c r="A738"/>
      <c r="B738"/>
      <c r="C738" s="1"/>
      <c r="D738" s="1"/>
      <c r="E738" s="1"/>
      <c r="F738"/>
      <c r="G738"/>
      <c r="H738" s="1"/>
      <c r="K738" s="3">
        <f t="shared" si="111"/>
        <v>525</v>
      </c>
    </row>
    <row r="739" spans="1:11">
      <c r="A739"/>
      <c r="B739"/>
      <c r="C739" s="1"/>
      <c r="D739" s="1"/>
      <c r="E739" s="1"/>
      <c r="F739"/>
      <c r="G739"/>
      <c r="H739" s="1"/>
      <c r="K739" s="3">
        <f t="shared" si="111"/>
        <v>526</v>
      </c>
    </row>
    <row r="740" spans="1:11">
      <c r="A740"/>
      <c r="B740"/>
      <c r="C740" s="1"/>
      <c r="D740" s="1"/>
      <c r="E740" s="1"/>
      <c r="F740"/>
      <c r="G740"/>
      <c r="H740" s="1"/>
      <c r="K740" s="3">
        <f t="shared" si="111"/>
        <v>527</v>
      </c>
    </row>
    <row r="741" spans="1:11">
      <c r="A741"/>
      <c r="B741"/>
      <c r="C741" s="1"/>
      <c r="D741" s="1"/>
      <c r="E741" s="1"/>
      <c r="F741"/>
      <c r="G741"/>
      <c r="H741" s="1"/>
      <c r="K741" s="3">
        <f t="shared" si="111"/>
        <v>528</v>
      </c>
    </row>
    <row r="742" spans="1:11">
      <c r="A742"/>
      <c r="B742"/>
      <c r="C742" s="1"/>
      <c r="D742" s="1"/>
      <c r="E742" s="1"/>
      <c r="F742"/>
      <c r="G742"/>
      <c r="H742" s="1"/>
      <c r="K742" s="3">
        <f t="shared" si="111"/>
        <v>529</v>
      </c>
    </row>
    <row r="743" spans="1:11">
      <c r="A743"/>
      <c r="B743"/>
      <c r="C743" s="1"/>
      <c r="D743" s="1"/>
      <c r="E743" s="1"/>
      <c r="F743"/>
      <c r="G743"/>
      <c r="H743" s="1"/>
      <c r="K743" s="3"/>
    </row>
    <row r="744" spans="1:11">
      <c r="A744"/>
      <c r="B744"/>
      <c r="C744" s="1"/>
      <c r="D744" s="1"/>
      <c r="E744" s="1"/>
      <c r="F744"/>
      <c r="G744"/>
      <c r="H744" s="1"/>
      <c r="K744" s="3"/>
    </row>
    <row r="745" spans="1:11">
      <c r="A745"/>
      <c r="B745"/>
      <c r="C745" s="1"/>
      <c r="D745" s="1"/>
      <c r="E745" s="1"/>
      <c r="F745"/>
      <c r="G745"/>
      <c r="H745" s="1"/>
      <c r="K745" s="3"/>
    </row>
    <row r="746" spans="1:11">
      <c r="A746"/>
      <c r="B746"/>
      <c r="C746" s="1"/>
      <c r="D746" s="1"/>
      <c r="E746" s="1"/>
      <c r="F746"/>
      <c r="G746"/>
      <c r="H746" s="1"/>
      <c r="K746" s="3">
        <f>K732+10</f>
        <v>530</v>
      </c>
    </row>
    <row r="747" spans="1:11">
      <c r="A747"/>
      <c r="B747"/>
      <c r="C747" s="1"/>
      <c r="D747" s="1"/>
      <c r="E747" s="1"/>
      <c r="F747"/>
      <c r="G747"/>
      <c r="H747" s="1"/>
      <c r="K747" s="3">
        <f>K746</f>
        <v>530</v>
      </c>
    </row>
    <row r="748" spans="1:11">
      <c r="A748"/>
      <c r="B748"/>
      <c r="C748" s="1"/>
      <c r="D748" s="1"/>
      <c r="E748" s="1"/>
      <c r="F748"/>
      <c r="G748"/>
      <c r="H748" s="1"/>
      <c r="K748" s="3">
        <f>K747+1</f>
        <v>531</v>
      </c>
    </row>
    <row r="749" spans="1:11">
      <c r="A749"/>
      <c r="B749"/>
      <c r="C749" s="1"/>
      <c r="D749" s="1"/>
      <c r="E749" s="1"/>
      <c r="F749"/>
      <c r="G749"/>
      <c r="H749" s="1"/>
      <c r="K749" s="3">
        <f t="shared" ref="K749:K756" si="112">K748+1</f>
        <v>532</v>
      </c>
    </row>
    <row r="750" spans="1:11">
      <c r="A750"/>
      <c r="B750"/>
      <c r="C750" s="1"/>
      <c r="D750" s="1"/>
      <c r="E750" s="1"/>
      <c r="F750"/>
      <c r="G750"/>
      <c r="H750" s="1"/>
      <c r="K750" s="3">
        <f t="shared" si="112"/>
        <v>533</v>
      </c>
    </row>
    <row r="751" spans="1:11">
      <c r="A751"/>
      <c r="B751"/>
      <c r="C751" s="1"/>
      <c r="D751" s="1"/>
      <c r="E751" s="1"/>
      <c r="F751"/>
      <c r="G751"/>
      <c r="H751" s="1"/>
      <c r="K751" s="3">
        <f t="shared" si="112"/>
        <v>534</v>
      </c>
    </row>
    <row r="752" spans="1:11">
      <c r="A752"/>
      <c r="B752"/>
      <c r="C752" s="1"/>
      <c r="D752" s="1"/>
      <c r="E752" s="1"/>
      <c r="F752"/>
      <c r="G752"/>
      <c r="H752" s="1"/>
      <c r="K752" s="3">
        <f t="shared" si="112"/>
        <v>535</v>
      </c>
    </row>
    <row r="753" spans="1:11">
      <c r="A753"/>
      <c r="B753"/>
      <c r="C753" s="1"/>
      <c r="D753" s="1"/>
      <c r="E753" s="1"/>
      <c r="F753"/>
      <c r="G753"/>
      <c r="H753" s="1"/>
      <c r="K753" s="3">
        <f t="shared" si="112"/>
        <v>536</v>
      </c>
    </row>
    <row r="754" spans="1:11">
      <c r="A754"/>
      <c r="B754"/>
      <c r="C754" s="1"/>
      <c r="D754" s="1"/>
      <c r="E754" s="1"/>
      <c r="F754"/>
      <c r="G754"/>
      <c r="H754" s="1"/>
      <c r="K754" s="3">
        <f t="shared" si="112"/>
        <v>537</v>
      </c>
    </row>
    <row r="755" spans="1:11">
      <c r="A755"/>
      <c r="B755"/>
      <c r="C755" s="1"/>
      <c r="D755" s="1"/>
      <c r="E755" s="1"/>
      <c r="F755"/>
      <c r="G755"/>
      <c r="H755" s="1"/>
      <c r="K755" s="3">
        <f t="shared" si="112"/>
        <v>538</v>
      </c>
    </row>
    <row r="756" spans="1:11">
      <c r="A756"/>
      <c r="B756"/>
      <c r="C756" s="1"/>
      <c r="D756" s="1"/>
      <c r="E756" s="1"/>
      <c r="F756"/>
      <c r="G756"/>
      <c r="H756" s="1"/>
      <c r="K756" s="3">
        <f t="shared" si="112"/>
        <v>539</v>
      </c>
    </row>
    <row r="757" spans="1:11">
      <c r="A757"/>
      <c r="B757"/>
      <c r="C757" s="1"/>
      <c r="D757" s="1"/>
      <c r="E757" s="1"/>
      <c r="F757"/>
      <c r="G757"/>
      <c r="H757" s="1"/>
      <c r="K757" s="3"/>
    </row>
    <row r="758" spans="1:11">
      <c r="A758"/>
      <c r="B758"/>
      <c r="C758" s="1"/>
      <c r="D758" s="1"/>
      <c r="E758" s="1"/>
      <c r="F758"/>
      <c r="G758"/>
      <c r="H758" s="1"/>
      <c r="K758" s="3"/>
    </row>
    <row r="759" spans="1:11">
      <c r="A759"/>
      <c r="B759"/>
      <c r="C759" s="1"/>
      <c r="D759" s="1"/>
      <c r="E759" s="1"/>
      <c r="F759"/>
      <c r="G759"/>
      <c r="H759" s="1"/>
      <c r="K759" s="3"/>
    </row>
    <row r="760" spans="1:11">
      <c r="A760"/>
      <c r="B760"/>
      <c r="C760" s="1"/>
      <c r="D760" s="1"/>
      <c r="E760" s="1"/>
      <c r="F760"/>
      <c r="G760"/>
      <c r="H760" s="1"/>
      <c r="K760" s="3">
        <f>K746+10</f>
        <v>540</v>
      </c>
    </row>
    <row r="761" spans="1:11">
      <c r="A761"/>
      <c r="B761"/>
      <c r="C761" s="1"/>
      <c r="D761" s="1"/>
      <c r="E761" s="1"/>
      <c r="F761"/>
      <c r="G761"/>
      <c r="H761" s="1"/>
      <c r="K761" s="3">
        <f>K760</f>
        <v>540</v>
      </c>
    </row>
    <row r="762" spans="1:11">
      <c r="A762"/>
      <c r="B762"/>
      <c r="C762" s="1"/>
      <c r="D762" s="1"/>
      <c r="E762" s="1"/>
      <c r="F762"/>
      <c r="G762"/>
      <c r="H762" s="1"/>
      <c r="K762" s="3">
        <f>K761+1</f>
        <v>541</v>
      </c>
    </row>
    <row r="763" spans="1:11">
      <c r="A763"/>
      <c r="B763"/>
      <c r="C763" s="1"/>
      <c r="D763" s="1"/>
      <c r="E763" s="1"/>
      <c r="F763"/>
      <c r="G763"/>
      <c r="H763" s="1"/>
      <c r="K763" s="3">
        <f t="shared" ref="K763:K770" si="113">K762+1</f>
        <v>542</v>
      </c>
    </row>
    <row r="764" spans="1:11">
      <c r="A764"/>
      <c r="B764"/>
      <c r="C764" s="1"/>
      <c r="D764" s="1"/>
      <c r="E764" s="1"/>
      <c r="F764"/>
      <c r="G764"/>
      <c r="H764" s="1"/>
      <c r="K764" s="3">
        <f t="shared" si="113"/>
        <v>543</v>
      </c>
    </row>
    <row r="765" spans="1:11">
      <c r="A765"/>
      <c r="B765"/>
      <c r="C765" s="1"/>
      <c r="D765" s="1"/>
      <c r="E765" s="1"/>
      <c r="F765"/>
      <c r="G765"/>
      <c r="H765" s="1"/>
      <c r="K765" s="3">
        <f t="shared" si="113"/>
        <v>544</v>
      </c>
    </row>
    <row r="766" spans="1:11">
      <c r="A766"/>
      <c r="B766"/>
      <c r="C766" s="1"/>
      <c r="D766" s="1"/>
      <c r="E766" s="1"/>
      <c r="F766"/>
      <c r="G766"/>
      <c r="H766" s="1"/>
      <c r="K766" s="3">
        <f t="shared" si="113"/>
        <v>545</v>
      </c>
    </row>
    <row r="767" spans="1:11">
      <c r="A767"/>
      <c r="B767"/>
      <c r="C767" s="1"/>
      <c r="D767" s="1"/>
      <c r="E767" s="1"/>
      <c r="F767"/>
      <c r="G767"/>
      <c r="H767" s="1"/>
      <c r="K767" s="3">
        <f t="shared" si="113"/>
        <v>546</v>
      </c>
    </row>
    <row r="768" spans="1:11">
      <c r="A768"/>
      <c r="B768"/>
      <c r="C768" s="1"/>
      <c r="D768" s="1"/>
      <c r="E768" s="1"/>
      <c r="F768"/>
      <c r="G768"/>
      <c r="H768" s="1"/>
      <c r="K768" s="3">
        <f t="shared" si="113"/>
        <v>547</v>
      </c>
    </row>
    <row r="769" spans="1:11">
      <c r="A769"/>
      <c r="B769"/>
      <c r="C769" s="1"/>
      <c r="D769" s="1"/>
      <c r="E769" s="1"/>
      <c r="F769"/>
      <c r="G769"/>
      <c r="H769" s="1"/>
      <c r="K769" s="3">
        <f t="shared" si="113"/>
        <v>548</v>
      </c>
    </row>
    <row r="770" spans="1:11">
      <c r="A770"/>
      <c r="B770"/>
      <c r="C770" s="1"/>
      <c r="D770" s="1"/>
      <c r="E770" s="1"/>
      <c r="F770"/>
      <c r="G770"/>
      <c r="H770" s="1"/>
      <c r="K770" s="3">
        <f t="shared" si="113"/>
        <v>549</v>
      </c>
    </row>
    <row r="771" spans="1:11">
      <c r="A771"/>
      <c r="B771"/>
      <c r="C771" s="1"/>
      <c r="D771" s="1"/>
      <c r="E771" s="1"/>
      <c r="F771"/>
      <c r="G771"/>
      <c r="H771" s="1"/>
      <c r="K771" s="3"/>
    </row>
    <row r="772" spans="1:11">
      <c r="A772"/>
      <c r="B772"/>
      <c r="C772" s="1"/>
      <c r="D772" s="1"/>
      <c r="E772" s="1"/>
      <c r="F772"/>
      <c r="G772"/>
      <c r="H772" s="1"/>
      <c r="K772" s="3"/>
    </row>
    <row r="773" spans="1:11">
      <c r="A773"/>
      <c r="B773"/>
      <c r="C773" s="1"/>
      <c r="D773" s="1"/>
      <c r="E773" s="1"/>
      <c r="F773"/>
      <c r="G773"/>
      <c r="H773" s="1"/>
      <c r="K773" s="3"/>
    </row>
    <row r="774" spans="1:11">
      <c r="A774"/>
      <c r="B774"/>
      <c r="C774" s="1"/>
      <c r="D774" s="1"/>
      <c r="E774" s="1"/>
      <c r="F774"/>
      <c r="G774"/>
      <c r="H774" s="1"/>
      <c r="K774" s="3">
        <f>K760+10</f>
        <v>550</v>
      </c>
    </row>
    <row r="775" spans="1:11">
      <c r="A775"/>
      <c r="B775"/>
      <c r="C775" s="1"/>
      <c r="D775" s="1"/>
      <c r="E775" s="1"/>
      <c r="F775"/>
      <c r="G775"/>
      <c r="H775" s="1"/>
      <c r="K775" s="3">
        <f>K774</f>
        <v>550</v>
      </c>
    </row>
    <row r="776" spans="1:11">
      <c r="A776"/>
      <c r="B776"/>
      <c r="C776" s="1"/>
      <c r="D776" s="1"/>
      <c r="E776" s="1"/>
      <c r="F776"/>
      <c r="G776"/>
      <c r="H776" s="1"/>
      <c r="K776" s="3">
        <f>K775+1</f>
        <v>551</v>
      </c>
    </row>
    <row r="777" spans="1:11">
      <c r="A777"/>
      <c r="B777"/>
      <c r="C777" s="1"/>
      <c r="D777" s="1"/>
      <c r="E777" s="1"/>
      <c r="F777"/>
      <c r="G777"/>
      <c r="H777" s="1"/>
      <c r="K777" s="3">
        <f t="shared" ref="K777:K784" si="114">K776+1</f>
        <v>552</v>
      </c>
    </row>
    <row r="778" spans="1:11">
      <c r="A778"/>
      <c r="B778"/>
      <c r="C778" s="1"/>
      <c r="D778" s="1"/>
      <c r="E778" s="1"/>
      <c r="F778"/>
      <c r="G778"/>
      <c r="H778" s="1"/>
      <c r="K778" s="3">
        <f t="shared" si="114"/>
        <v>553</v>
      </c>
    </row>
    <row r="779" spans="1:11">
      <c r="A779"/>
      <c r="B779"/>
      <c r="C779" s="1"/>
      <c r="D779" s="1"/>
      <c r="E779" s="1"/>
      <c r="F779"/>
      <c r="G779"/>
      <c r="H779" s="1"/>
      <c r="K779" s="3">
        <f t="shared" si="114"/>
        <v>554</v>
      </c>
    </row>
    <row r="780" spans="1:11">
      <c r="A780"/>
      <c r="B780"/>
      <c r="C780" s="1"/>
      <c r="D780" s="1"/>
      <c r="E780" s="1"/>
      <c r="F780"/>
      <c r="G780"/>
      <c r="H780" s="1"/>
      <c r="K780" s="3">
        <f t="shared" si="114"/>
        <v>555</v>
      </c>
    </row>
    <row r="781" spans="1:11">
      <c r="A781"/>
      <c r="B781"/>
      <c r="C781" s="1"/>
      <c r="D781" s="1"/>
      <c r="E781" s="1"/>
      <c r="F781"/>
      <c r="G781"/>
      <c r="H781" s="1"/>
      <c r="K781" s="3">
        <f t="shared" si="114"/>
        <v>556</v>
      </c>
    </row>
    <row r="782" spans="1:11">
      <c r="A782"/>
      <c r="B782"/>
      <c r="C782" s="1"/>
      <c r="D782" s="1"/>
      <c r="E782" s="1"/>
      <c r="F782"/>
      <c r="G782"/>
      <c r="H782" s="1"/>
      <c r="K782" s="3">
        <f t="shared" si="114"/>
        <v>557</v>
      </c>
    </row>
    <row r="783" spans="1:11">
      <c r="A783"/>
      <c r="B783"/>
      <c r="C783" s="1"/>
      <c r="D783" s="1"/>
      <c r="E783" s="1"/>
      <c r="F783"/>
      <c r="G783"/>
      <c r="H783" s="1"/>
      <c r="K783" s="3">
        <f t="shared" si="114"/>
        <v>558</v>
      </c>
    </row>
    <row r="784" spans="1:11">
      <c r="A784"/>
      <c r="B784"/>
      <c r="C784" s="1"/>
      <c r="D784" s="1"/>
      <c r="E784" s="1"/>
      <c r="F784"/>
      <c r="G784"/>
      <c r="H784" s="1"/>
      <c r="K784" s="3">
        <f t="shared" si="114"/>
        <v>559</v>
      </c>
    </row>
    <row r="785" spans="1:11">
      <c r="A785"/>
      <c r="B785"/>
      <c r="C785" s="1"/>
      <c r="D785" s="1"/>
      <c r="E785" s="1"/>
      <c r="F785"/>
      <c r="G785"/>
      <c r="H785" s="1"/>
      <c r="K785" s="3"/>
    </row>
    <row r="786" spans="1:11">
      <c r="A786"/>
      <c r="B786"/>
      <c r="C786" s="1"/>
      <c r="D786" s="1"/>
      <c r="E786" s="1"/>
      <c r="F786"/>
      <c r="G786"/>
      <c r="H786" s="1"/>
      <c r="K786" s="3"/>
    </row>
    <row r="787" spans="1:11">
      <c r="A787"/>
      <c r="B787"/>
      <c r="C787" s="1"/>
      <c r="D787" s="1"/>
      <c r="E787" s="1"/>
      <c r="F787"/>
      <c r="G787"/>
      <c r="H787" s="1"/>
      <c r="K787" s="3"/>
    </row>
    <row r="788" spans="1:11">
      <c r="A788"/>
      <c r="B788"/>
      <c r="C788" s="1"/>
      <c r="D788" s="1"/>
      <c r="E788" s="1"/>
      <c r="F788"/>
      <c r="G788"/>
      <c r="H788" s="1"/>
      <c r="K788" s="3">
        <f>K774+10</f>
        <v>560</v>
      </c>
    </row>
    <row r="789" spans="1:11">
      <c r="A789"/>
      <c r="B789"/>
      <c r="C789" s="1"/>
      <c r="D789" s="1"/>
      <c r="E789" s="1"/>
      <c r="F789"/>
      <c r="G789"/>
      <c r="H789" s="1"/>
      <c r="K789" s="3">
        <f>K788</f>
        <v>560</v>
      </c>
    </row>
    <row r="790" spans="1:11">
      <c r="A790"/>
      <c r="B790"/>
      <c r="C790" s="1"/>
      <c r="D790" s="1"/>
      <c r="E790" s="1"/>
      <c r="F790"/>
      <c r="G790"/>
      <c r="H790" s="1"/>
      <c r="K790" s="3">
        <f>K789+1</f>
        <v>561</v>
      </c>
    </row>
    <row r="791" spans="1:11">
      <c r="A791"/>
      <c r="B791"/>
      <c r="C791" s="1"/>
      <c r="D791" s="1"/>
      <c r="E791" s="1"/>
      <c r="F791"/>
      <c r="G791"/>
      <c r="H791" s="1"/>
      <c r="K791" s="3">
        <f t="shared" ref="K791:K798" si="115">K790+1</f>
        <v>562</v>
      </c>
    </row>
    <row r="792" spans="1:11">
      <c r="A792"/>
      <c r="B792"/>
      <c r="C792" s="1"/>
      <c r="D792" s="1"/>
      <c r="E792" s="1"/>
      <c r="F792"/>
      <c r="G792"/>
      <c r="H792" s="1"/>
      <c r="K792" s="3">
        <f t="shared" si="115"/>
        <v>563</v>
      </c>
    </row>
    <row r="793" spans="1:11">
      <c r="A793"/>
      <c r="B793"/>
      <c r="C793" s="1"/>
      <c r="D793" s="1"/>
      <c r="E793" s="1"/>
      <c r="F793"/>
      <c r="G793"/>
      <c r="H793" s="1"/>
      <c r="K793" s="3">
        <f t="shared" si="115"/>
        <v>564</v>
      </c>
    </row>
    <row r="794" spans="1:11">
      <c r="A794"/>
      <c r="B794"/>
      <c r="C794" s="1"/>
      <c r="D794" s="1"/>
      <c r="E794" s="1"/>
      <c r="F794"/>
      <c r="G794"/>
      <c r="H794" s="1"/>
      <c r="K794" s="3">
        <f t="shared" si="115"/>
        <v>565</v>
      </c>
    </row>
    <row r="795" spans="1:11">
      <c r="A795"/>
      <c r="B795"/>
      <c r="C795" s="1"/>
      <c r="D795" s="1"/>
      <c r="E795" s="1"/>
      <c r="F795"/>
      <c r="G795"/>
      <c r="H795" s="1"/>
      <c r="K795" s="3">
        <f t="shared" si="115"/>
        <v>566</v>
      </c>
    </row>
    <row r="796" spans="1:11">
      <c r="A796"/>
      <c r="B796"/>
      <c r="C796" s="1"/>
      <c r="D796" s="1"/>
      <c r="E796" s="1"/>
      <c r="F796"/>
      <c r="G796"/>
      <c r="H796" s="1"/>
      <c r="K796" s="3">
        <f t="shared" si="115"/>
        <v>567</v>
      </c>
    </row>
    <row r="797" spans="1:11">
      <c r="A797"/>
      <c r="B797"/>
      <c r="C797" s="1"/>
      <c r="D797" s="1"/>
      <c r="E797" s="1"/>
      <c r="F797"/>
      <c r="G797"/>
      <c r="H797" s="1"/>
      <c r="K797" s="3">
        <f t="shared" si="115"/>
        <v>568</v>
      </c>
    </row>
    <row r="798" spans="1:11">
      <c r="A798"/>
      <c r="B798"/>
      <c r="C798" s="1"/>
      <c r="D798" s="1"/>
      <c r="E798" s="1"/>
      <c r="F798"/>
      <c r="G798"/>
      <c r="H798" s="1"/>
      <c r="K798" s="3">
        <f t="shared" si="115"/>
        <v>569</v>
      </c>
    </row>
    <row r="799" spans="1:11">
      <c r="A799"/>
      <c r="B799"/>
      <c r="C799" s="1"/>
      <c r="D799" s="1"/>
      <c r="E799" s="1"/>
      <c r="F799"/>
      <c r="G799"/>
      <c r="H799" s="1"/>
      <c r="K799" s="3"/>
    </row>
    <row r="800" spans="1:11">
      <c r="A800"/>
      <c r="B800"/>
      <c r="C800" s="1"/>
      <c r="D800" s="1"/>
      <c r="E800" s="1"/>
      <c r="F800"/>
      <c r="G800"/>
      <c r="H800" s="1"/>
      <c r="K800" s="3"/>
    </row>
    <row r="801" spans="1:11">
      <c r="A801"/>
      <c r="B801"/>
      <c r="C801" s="1"/>
      <c r="D801" s="1"/>
      <c r="E801" s="1"/>
      <c r="F801"/>
      <c r="G801"/>
      <c r="H801" s="1"/>
      <c r="K801" s="3"/>
    </row>
    <row r="802" spans="1:11">
      <c r="A802"/>
      <c r="B802"/>
      <c r="C802" s="1"/>
      <c r="D802" s="1"/>
      <c r="E802" s="1"/>
      <c r="F802"/>
      <c r="G802"/>
      <c r="H802" s="1"/>
      <c r="K802" s="3">
        <f>K788+10</f>
        <v>570</v>
      </c>
    </row>
    <row r="803" spans="1:11">
      <c r="A803"/>
      <c r="B803"/>
      <c r="C803" s="1"/>
      <c r="D803" s="1"/>
      <c r="E803" s="1"/>
      <c r="F803"/>
      <c r="G803"/>
      <c r="H803" s="1"/>
      <c r="K803" s="3">
        <f>K802</f>
        <v>570</v>
      </c>
    </row>
    <row r="804" spans="1:11">
      <c r="A804"/>
      <c r="B804"/>
      <c r="C804" s="1"/>
      <c r="D804" s="1"/>
      <c r="E804" s="1"/>
      <c r="F804"/>
      <c r="G804"/>
      <c r="H804" s="1"/>
      <c r="K804" s="3">
        <f>K803+1</f>
        <v>571</v>
      </c>
    </row>
    <row r="805" spans="1:11">
      <c r="A805"/>
      <c r="B805"/>
      <c r="C805" s="1"/>
      <c r="D805" s="1"/>
      <c r="E805" s="1"/>
      <c r="F805"/>
      <c r="G805"/>
      <c r="H805" s="1"/>
      <c r="K805" s="3">
        <f t="shared" ref="K805:K812" si="116">K804+1</f>
        <v>572</v>
      </c>
    </row>
    <row r="806" spans="1:11">
      <c r="A806"/>
      <c r="B806"/>
      <c r="C806" s="1"/>
      <c r="D806" s="1"/>
      <c r="E806" s="1"/>
      <c r="F806"/>
      <c r="G806"/>
      <c r="H806" s="1"/>
      <c r="K806" s="3">
        <f t="shared" si="116"/>
        <v>573</v>
      </c>
    </row>
    <row r="807" spans="1:11">
      <c r="A807"/>
      <c r="B807"/>
      <c r="C807" s="1"/>
      <c r="D807" s="1"/>
      <c r="E807" s="1"/>
      <c r="F807"/>
      <c r="G807"/>
      <c r="H807" s="1"/>
      <c r="K807" s="3">
        <f t="shared" si="116"/>
        <v>574</v>
      </c>
    </row>
    <row r="808" spans="1:11">
      <c r="A808"/>
      <c r="B808"/>
      <c r="C808" s="1"/>
      <c r="D808" s="1"/>
      <c r="E808" s="1"/>
      <c r="F808"/>
      <c r="G808"/>
      <c r="H808" s="1"/>
      <c r="K808" s="3">
        <f t="shared" si="116"/>
        <v>575</v>
      </c>
    </row>
    <row r="809" spans="1:11">
      <c r="A809"/>
      <c r="B809"/>
      <c r="C809" s="1"/>
      <c r="D809" s="1"/>
      <c r="E809" s="1"/>
      <c r="F809"/>
      <c r="G809"/>
      <c r="H809" s="1"/>
      <c r="K809" s="3">
        <f t="shared" si="116"/>
        <v>576</v>
      </c>
    </row>
    <row r="810" spans="1:11">
      <c r="A810"/>
      <c r="B810"/>
      <c r="C810" s="1"/>
      <c r="D810" s="1"/>
      <c r="E810" s="1"/>
      <c r="F810"/>
      <c r="G810"/>
      <c r="H810" s="1"/>
      <c r="K810" s="3">
        <f t="shared" si="116"/>
        <v>577</v>
      </c>
    </row>
    <row r="811" spans="1:11">
      <c r="A811"/>
      <c r="B811"/>
      <c r="C811" s="1"/>
      <c r="D811" s="1"/>
      <c r="E811" s="1"/>
      <c r="F811"/>
      <c r="G811"/>
      <c r="H811" s="1"/>
      <c r="K811" s="3">
        <f t="shared" si="116"/>
        <v>578</v>
      </c>
    </row>
    <row r="812" spans="1:11">
      <c r="A812"/>
      <c r="B812"/>
      <c r="C812" s="1"/>
      <c r="D812" s="1"/>
      <c r="E812" s="1"/>
      <c r="F812"/>
      <c r="G812"/>
      <c r="H812" s="1"/>
      <c r="K812" s="3">
        <f t="shared" si="116"/>
        <v>579</v>
      </c>
    </row>
    <row r="813" spans="1:11">
      <c r="A813"/>
      <c r="B813"/>
      <c r="C813" s="1"/>
      <c r="D813" s="1"/>
      <c r="E813" s="1"/>
      <c r="F813"/>
      <c r="G813"/>
      <c r="H813" s="1"/>
      <c r="K813" s="3"/>
    </row>
    <row r="814" spans="1:11">
      <c r="A814"/>
      <c r="B814"/>
      <c r="C814" s="1"/>
      <c r="D814" s="1"/>
      <c r="E814" s="1"/>
      <c r="F814"/>
      <c r="G814"/>
      <c r="H814" s="1"/>
      <c r="K814" s="3"/>
    </row>
    <row r="815" spans="1:11">
      <c r="A815"/>
      <c r="B815"/>
      <c r="C815" s="1"/>
      <c r="D815" s="1"/>
      <c r="E815" s="1"/>
      <c r="F815"/>
      <c r="G815"/>
      <c r="H815" s="1"/>
      <c r="K815" s="3"/>
    </row>
    <row r="816" spans="1:11">
      <c r="A816"/>
      <c r="B816"/>
      <c r="C816" s="1"/>
      <c r="D816" s="1"/>
      <c r="E816" s="1"/>
      <c r="F816"/>
      <c r="G816"/>
      <c r="H816" s="1"/>
      <c r="K816" s="3">
        <f>K802+10</f>
        <v>580</v>
      </c>
    </row>
    <row r="817" spans="1:11">
      <c r="A817"/>
      <c r="B817"/>
      <c r="C817" s="1"/>
      <c r="D817" s="1"/>
      <c r="E817" s="1"/>
      <c r="F817"/>
      <c r="G817"/>
      <c r="H817" s="1"/>
      <c r="K817" s="3">
        <f>K816</f>
        <v>580</v>
      </c>
    </row>
    <row r="818" spans="1:11">
      <c r="A818"/>
      <c r="B818"/>
      <c r="C818" s="1"/>
      <c r="D818" s="1"/>
      <c r="E818" s="1"/>
      <c r="F818"/>
      <c r="G818"/>
      <c r="H818" s="1"/>
      <c r="K818" s="3">
        <f>K817+1</f>
        <v>581</v>
      </c>
    </row>
    <row r="819" spans="1:11">
      <c r="A819"/>
      <c r="B819"/>
      <c r="C819" s="1"/>
      <c r="D819" s="1"/>
      <c r="E819" s="1"/>
      <c r="F819"/>
      <c r="G819"/>
      <c r="H819" s="1"/>
      <c r="K819" s="3">
        <f t="shared" ref="K819:K826" si="117">K818+1</f>
        <v>582</v>
      </c>
    </row>
    <row r="820" spans="1:11">
      <c r="A820"/>
      <c r="B820"/>
      <c r="C820" s="1"/>
      <c r="D820" s="1"/>
      <c r="E820" s="1"/>
      <c r="F820"/>
      <c r="G820"/>
      <c r="H820" s="1"/>
      <c r="K820" s="3">
        <f t="shared" si="117"/>
        <v>583</v>
      </c>
    </row>
    <row r="821" spans="1:11">
      <c r="A821"/>
      <c r="B821"/>
      <c r="C821" s="1"/>
      <c r="D821" s="1"/>
      <c r="E821" s="1"/>
      <c r="F821"/>
      <c r="G821"/>
      <c r="H821" s="1"/>
      <c r="K821" s="3">
        <f t="shared" si="117"/>
        <v>584</v>
      </c>
    </row>
    <row r="822" spans="1:11">
      <c r="A822"/>
      <c r="B822"/>
      <c r="C822" s="1"/>
      <c r="D822" s="1"/>
      <c r="E822" s="1"/>
      <c r="F822"/>
      <c r="G822"/>
      <c r="H822" s="1"/>
      <c r="K822" s="3">
        <f t="shared" si="117"/>
        <v>585</v>
      </c>
    </row>
    <row r="823" spans="1:11">
      <c r="A823"/>
      <c r="B823"/>
      <c r="C823" s="1"/>
      <c r="D823" s="1"/>
      <c r="E823" s="1"/>
      <c r="F823"/>
      <c r="G823"/>
      <c r="H823" s="1"/>
      <c r="K823" s="3">
        <f t="shared" si="117"/>
        <v>586</v>
      </c>
    </row>
    <row r="824" spans="1:11">
      <c r="A824"/>
      <c r="B824"/>
      <c r="C824" s="1"/>
      <c r="D824" s="1"/>
      <c r="E824" s="1"/>
      <c r="F824"/>
      <c r="G824"/>
      <c r="H824" s="1"/>
      <c r="K824" s="3">
        <f t="shared" si="117"/>
        <v>587</v>
      </c>
    </row>
    <row r="825" spans="1:11">
      <c r="A825"/>
      <c r="B825"/>
      <c r="C825" s="1"/>
      <c r="D825" s="1"/>
      <c r="E825" s="1"/>
      <c r="F825"/>
      <c r="G825"/>
      <c r="H825" s="1"/>
      <c r="K825" s="3">
        <f t="shared" si="117"/>
        <v>588</v>
      </c>
    </row>
    <row r="826" spans="1:11">
      <c r="A826"/>
      <c r="B826"/>
      <c r="C826" s="1"/>
      <c r="D826" s="1"/>
      <c r="E826" s="1"/>
      <c r="F826"/>
      <c r="G826"/>
      <c r="H826" s="1"/>
      <c r="K826" s="3">
        <f t="shared" si="117"/>
        <v>589</v>
      </c>
    </row>
    <row r="827" spans="1:11">
      <c r="A827"/>
      <c r="B827"/>
      <c r="C827" s="1"/>
      <c r="D827" s="1"/>
      <c r="E827" s="1"/>
      <c r="F827"/>
      <c r="G827"/>
      <c r="H827" s="1"/>
      <c r="K827" s="3"/>
    </row>
    <row r="828" spans="1:11">
      <c r="A828"/>
      <c r="B828"/>
      <c r="C828" s="1"/>
      <c r="D828" s="1"/>
      <c r="E828" s="1"/>
      <c r="F828"/>
      <c r="G828"/>
      <c r="H828" s="1"/>
      <c r="K828" s="3"/>
    </row>
    <row r="829" spans="1:11">
      <c r="A829"/>
      <c r="B829"/>
      <c r="C829" s="1"/>
      <c r="D829" s="1"/>
      <c r="E829" s="1"/>
      <c r="F829"/>
      <c r="G829"/>
      <c r="H829" s="1"/>
      <c r="K829" s="3"/>
    </row>
    <row r="830" spans="1:11">
      <c r="A830"/>
      <c r="B830"/>
      <c r="C830" s="1"/>
      <c r="D830" s="1"/>
      <c r="E830" s="1"/>
      <c r="F830"/>
      <c r="G830"/>
      <c r="H830" s="1"/>
      <c r="K830" s="3">
        <f>K816+10</f>
        <v>590</v>
      </c>
    </row>
    <row r="831" spans="1:11">
      <c r="A831"/>
      <c r="B831"/>
      <c r="C831" s="1"/>
      <c r="D831" s="1"/>
      <c r="E831" s="1"/>
      <c r="F831"/>
      <c r="G831"/>
      <c r="H831" s="1"/>
      <c r="K831" s="3">
        <f>K830</f>
        <v>590</v>
      </c>
    </row>
    <row r="832" spans="1:11">
      <c r="A832"/>
      <c r="B832"/>
      <c r="C832" s="1"/>
      <c r="D832" s="1"/>
      <c r="E832" s="1"/>
      <c r="F832"/>
      <c r="G832"/>
      <c r="H832" s="1"/>
      <c r="K832" s="3">
        <f>K831+1</f>
        <v>591</v>
      </c>
    </row>
    <row r="833" spans="1:11">
      <c r="A833"/>
      <c r="B833"/>
      <c r="C833" s="1"/>
      <c r="D833" s="1"/>
      <c r="E833" s="1"/>
      <c r="F833"/>
      <c r="G833"/>
      <c r="H833" s="1"/>
      <c r="K833" s="3">
        <f t="shared" ref="K833:K840" si="118">K832+1</f>
        <v>592</v>
      </c>
    </row>
    <row r="834" spans="1:11">
      <c r="A834"/>
      <c r="B834"/>
      <c r="C834" s="1"/>
      <c r="D834" s="1"/>
      <c r="E834" s="1"/>
      <c r="F834"/>
      <c r="G834"/>
      <c r="H834" s="1"/>
      <c r="K834" s="3">
        <f t="shared" si="118"/>
        <v>593</v>
      </c>
    </row>
    <row r="835" spans="1:11">
      <c r="A835"/>
      <c r="B835"/>
      <c r="C835" s="1"/>
      <c r="D835" s="1"/>
      <c r="E835" s="1"/>
      <c r="F835"/>
      <c r="G835"/>
      <c r="H835" s="1"/>
      <c r="K835" s="3">
        <f t="shared" si="118"/>
        <v>594</v>
      </c>
    </row>
    <row r="836" spans="1:11">
      <c r="A836"/>
      <c r="B836"/>
      <c r="C836" s="1"/>
      <c r="D836" s="1"/>
      <c r="E836" s="1"/>
      <c r="F836"/>
      <c r="G836"/>
      <c r="H836" s="1"/>
      <c r="K836" s="3">
        <f t="shared" si="118"/>
        <v>595</v>
      </c>
    </row>
    <row r="837" spans="1:11">
      <c r="A837"/>
      <c r="B837"/>
      <c r="C837" s="1"/>
      <c r="D837" s="1"/>
      <c r="E837" s="1"/>
      <c r="F837"/>
      <c r="G837"/>
      <c r="H837" s="1"/>
      <c r="K837" s="3">
        <f t="shared" si="118"/>
        <v>596</v>
      </c>
    </row>
    <row r="838" spans="1:11">
      <c r="A838"/>
      <c r="B838"/>
      <c r="C838" s="1"/>
      <c r="D838" s="1"/>
      <c r="E838" s="1"/>
      <c r="F838"/>
      <c r="G838"/>
      <c r="H838" s="1"/>
      <c r="K838" s="3">
        <f t="shared" si="118"/>
        <v>597</v>
      </c>
    </row>
    <row r="839" spans="1:11">
      <c r="A839"/>
      <c r="B839"/>
      <c r="C839" s="1"/>
      <c r="D839" s="1"/>
      <c r="E839" s="1"/>
      <c r="F839"/>
      <c r="G839"/>
      <c r="H839" s="1"/>
      <c r="K839" s="3">
        <f t="shared" si="118"/>
        <v>598</v>
      </c>
    </row>
    <row r="840" spans="1:11">
      <c r="A840"/>
      <c r="B840"/>
      <c r="C840" s="1"/>
      <c r="D840" s="1"/>
      <c r="E840" s="1"/>
      <c r="F840"/>
      <c r="G840"/>
      <c r="H840" s="1"/>
      <c r="K840" s="3">
        <f t="shared" si="118"/>
        <v>599</v>
      </c>
    </row>
    <row r="841" spans="1:11">
      <c r="A841"/>
      <c r="B841"/>
      <c r="C841" s="1"/>
      <c r="D841" s="1"/>
      <c r="E841" s="1"/>
      <c r="F841"/>
      <c r="G841"/>
      <c r="H841" s="1"/>
      <c r="K841" s="3"/>
    </row>
    <row r="842" spans="1:11">
      <c r="A842"/>
      <c r="B842"/>
      <c r="C842" s="1"/>
      <c r="D842" s="1"/>
      <c r="E842" s="1"/>
      <c r="F842"/>
      <c r="G842"/>
      <c r="H842" s="1"/>
      <c r="K842" s="3"/>
    </row>
    <row r="843" spans="1:11">
      <c r="A843"/>
      <c r="B843"/>
      <c r="C843" s="1"/>
      <c r="D843" s="1"/>
      <c r="E843" s="1"/>
      <c r="F843"/>
      <c r="G843"/>
      <c r="H843" s="1"/>
      <c r="K843" s="3"/>
    </row>
    <row r="844" spans="1:11">
      <c r="A844"/>
      <c r="B844"/>
      <c r="C844" s="1"/>
      <c r="D844" s="1"/>
      <c r="E844" s="1"/>
      <c r="F844"/>
      <c r="G844"/>
      <c r="H844" s="1"/>
      <c r="K844" s="3">
        <f>K830+10</f>
        <v>600</v>
      </c>
    </row>
    <row r="845" spans="1:11">
      <c r="A845"/>
      <c r="B845"/>
      <c r="C845" s="1"/>
      <c r="D845" s="1"/>
      <c r="E845" s="1"/>
      <c r="F845"/>
      <c r="G845"/>
      <c r="H845" s="1"/>
      <c r="K845" s="3">
        <f>K844</f>
        <v>600</v>
      </c>
    </row>
    <row r="846" spans="1:11">
      <c r="A846"/>
      <c r="B846"/>
      <c r="C846" s="1"/>
      <c r="D846" s="1"/>
      <c r="E846" s="1"/>
      <c r="F846"/>
      <c r="G846"/>
      <c r="H846" s="1"/>
      <c r="K846" s="3">
        <f>K845+1</f>
        <v>601</v>
      </c>
    </row>
    <row r="847" spans="1:11">
      <c r="A847"/>
      <c r="B847"/>
      <c r="C847" s="1"/>
      <c r="D847" s="1"/>
      <c r="E847" s="1"/>
      <c r="F847"/>
      <c r="G847"/>
      <c r="H847" s="1"/>
      <c r="K847" s="3">
        <f t="shared" ref="K847:K854" si="119">K846+1</f>
        <v>602</v>
      </c>
    </row>
    <row r="848" spans="1:11">
      <c r="A848"/>
      <c r="B848"/>
      <c r="C848" s="1"/>
      <c r="D848" s="1"/>
      <c r="E848" s="1"/>
      <c r="F848"/>
      <c r="G848"/>
      <c r="H848" s="1"/>
      <c r="K848" s="3">
        <f t="shared" si="119"/>
        <v>603</v>
      </c>
    </row>
    <row r="849" spans="1:11">
      <c r="A849"/>
      <c r="B849"/>
      <c r="C849" s="1"/>
      <c r="D849" s="1"/>
      <c r="E849" s="1"/>
      <c r="F849"/>
      <c r="G849"/>
      <c r="H849" s="1"/>
      <c r="K849" s="3">
        <f t="shared" si="119"/>
        <v>604</v>
      </c>
    </row>
    <row r="850" spans="1:11">
      <c r="A850"/>
      <c r="B850"/>
      <c r="C850" s="1"/>
      <c r="D850" s="1"/>
      <c r="E850" s="1"/>
      <c r="F850"/>
      <c r="G850"/>
      <c r="H850" s="1"/>
      <c r="K850" s="3">
        <f t="shared" si="119"/>
        <v>605</v>
      </c>
    </row>
    <row r="851" spans="1:11">
      <c r="A851"/>
      <c r="B851"/>
      <c r="C851" s="1"/>
      <c r="D851" s="1"/>
      <c r="E851" s="1"/>
      <c r="F851"/>
      <c r="G851"/>
      <c r="H851" s="1"/>
      <c r="K851" s="3">
        <f t="shared" si="119"/>
        <v>606</v>
      </c>
    </row>
    <row r="852" spans="1:11">
      <c r="A852"/>
      <c r="B852"/>
      <c r="C852" s="1"/>
      <c r="D852" s="1"/>
      <c r="E852" s="1"/>
      <c r="F852"/>
      <c r="G852"/>
      <c r="H852" s="1"/>
      <c r="K852" s="3">
        <f t="shared" si="119"/>
        <v>607</v>
      </c>
    </row>
    <row r="853" spans="1:11">
      <c r="A853"/>
      <c r="B853"/>
      <c r="C853" s="1"/>
      <c r="D853" s="1"/>
      <c r="E853" s="1"/>
      <c r="F853"/>
      <c r="G853"/>
      <c r="H853" s="1"/>
      <c r="K853" s="3">
        <f t="shared" si="119"/>
        <v>608</v>
      </c>
    </row>
    <row r="854" spans="1:11">
      <c r="A854"/>
      <c r="B854"/>
      <c r="C854" s="1"/>
      <c r="D854" s="1"/>
      <c r="E854" s="1"/>
      <c r="F854"/>
      <c r="G854"/>
      <c r="H854" s="1"/>
      <c r="K854" s="3">
        <f t="shared" si="119"/>
        <v>609</v>
      </c>
    </row>
    <row r="855" spans="1:11">
      <c r="A855"/>
      <c r="B855"/>
      <c r="C855" s="1"/>
      <c r="D855" s="1"/>
      <c r="E855" s="1"/>
      <c r="F855"/>
      <c r="G855"/>
      <c r="H855" s="1"/>
      <c r="K855" s="3"/>
    </row>
    <row r="856" spans="1:11">
      <c r="A856"/>
      <c r="B856"/>
      <c r="C856" s="1"/>
      <c r="D856" s="1"/>
      <c r="E856" s="1"/>
      <c r="F856"/>
      <c r="G856"/>
      <c r="H856" s="1"/>
      <c r="K856" s="3"/>
    </row>
    <row r="857" spans="1:11">
      <c r="A857"/>
      <c r="B857"/>
      <c r="C857" s="1"/>
      <c r="D857" s="1"/>
      <c r="E857" s="1"/>
      <c r="F857"/>
      <c r="G857"/>
      <c r="H857" s="1"/>
      <c r="K857" s="3"/>
    </row>
    <row r="858" spans="1:11">
      <c r="A858"/>
      <c r="B858"/>
      <c r="C858" s="1"/>
      <c r="D858" s="1"/>
      <c r="E858" s="1"/>
      <c r="F858"/>
      <c r="G858"/>
      <c r="H858" s="1"/>
      <c r="K858" s="3">
        <f>K844+10</f>
        <v>610</v>
      </c>
    </row>
    <row r="859" spans="1:11">
      <c r="A859"/>
      <c r="B859"/>
      <c r="C859" s="1"/>
      <c r="D859" s="1"/>
      <c r="E859" s="1"/>
      <c r="F859"/>
      <c r="G859"/>
      <c r="H859" s="1"/>
      <c r="K859" s="3">
        <f>K858</f>
        <v>610</v>
      </c>
    </row>
    <row r="860" spans="1:11">
      <c r="A860"/>
      <c r="B860"/>
      <c r="C860" s="1"/>
      <c r="D860" s="1"/>
      <c r="E860" s="1"/>
      <c r="F860"/>
      <c r="G860"/>
      <c r="H860" s="1"/>
      <c r="K860" s="3">
        <f>K859+1</f>
        <v>611</v>
      </c>
    </row>
    <row r="861" spans="1:11">
      <c r="A861"/>
      <c r="B861"/>
      <c r="C861" s="1"/>
      <c r="D861" s="1"/>
      <c r="E861" s="1"/>
      <c r="F861"/>
      <c r="G861"/>
      <c r="H861" s="1"/>
      <c r="K861" s="3">
        <f t="shared" ref="K861:K868" si="120">K860+1</f>
        <v>612</v>
      </c>
    </row>
    <row r="862" spans="1:11">
      <c r="A862"/>
      <c r="B862"/>
      <c r="C862" s="1"/>
      <c r="D862" s="1"/>
      <c r="E862" s="1"/>
      <c r="F862"/>
      <c r="G862"/>
      <c r="H862" s="1"/>
      <c r="K862" s="3">
        <f t="shared" si="120"/>
        <v>613</v>
      </c>
    </row>
    <row r="863" spans="1:11">
      <c r="A863"/>
      <c r="B863"/>
      <c r="C863" s="1"/>
      <c r="D863" s="1"/>
      <c r="E863" s="1"/>
      <c r="F863"/>
      <c r="G863"/>
      <c r="H863" s="1"/>
      <c r="K863" s="3">
        <f t="shared" si="120"/>
        <v>614</v>
      </c>
    </row>
    <row r="864" spans="1:11">
      <c r="A864"/>
      <c r="B864"/>
      <c r="C864" s="1"/>
      <c r="D864" s="1"/>
      <c r="E864" s="1"/>
      <c r="F864"/>
      <c r="G864"/>
      <c r="H864" s="1"/>
      <c r="K864" s="3">
        <f t="shared" si="120"/>
        <v>615</v>
      </c>
    </row>
    <row r="865" spans="1:11">
      <c r="A865"/>
      <c r="B865"/>
      <c r="C865" s="1"/>
      <c r="D865" s="1"/>
      <c r="E865" s="1"/>
      <c r="F865"/>
      <c r="G865"/>
      <c r="H865" s="1"/>
      <c r="K865" s="3">
        <f t="shared" si="120"/>
        <v>616</v>
      </c>
    </row>
    <row r="866" spans="1:11">
      <c r="A866"/>
      <c r="B866"/>
      <c r="C866" s="1"/>
      <c r="D866" s="1"/>
      <c r="E866" s="1"/>
      <c r="F866"/>
      <c r="G866"/>
      <c r="H866" s="1"/>
      <c r="K866" s="3">
        <f t="shared" si="120"/>
        <v>617</v>
      </c>
    </row>
    <row r="867" spans="1:11">
      <c r="A867"/>
      <c r="B867"/>
      <c r="C867" s="1"/>
      <c r="D867" s="1"/>
      <c r="E867" s="1"/>
      <c r="F867"/>
      <c r="G867"/>
      <c r="H867" s="1"/>
      <c r="K867" s="3">
        <f t="shared" si="120"/>
        <v>618</v>
      </c>
    </row>
    <row r="868" spans="1:11">
      <c r="A868"/>
      <c r="B868"/>
      <c r="C868" s="1"/>
      <c r="D868" s="1"/>
      <c r="E868" s="1"/>
      <c r="F868"/>
      <c r="G868"/>
      <c r="H868" s="1"/>
      <c r="K868" s="3">
        <f t="shared" si="120"/>
        <v>619</v>
      </c>
    </row>
    <row r="869" spans="1:11">
      <c r="A869"/>
      <c r="B869"/>
      <c r="C869" s="1"/>
      <c r="D869" s="1"/>
      <c r="E869" s="1"/>
      <c r="F869"/>
      <c r="G869"/>
      <c r="H869" s="1"/>
      <c r="K869" s="3"/>
    </row>
    <row r="870" spans="1:11">
      <c r="A870"/>
      <c r="B870"/>
      <c r="C870" s="1"/>
      <c r="D870" s="1"/>
      <c r="E870" s="1"/>
      <c r="F870"/>
      <c r="G870"/>
      <c r="H870" s="1"/>
      <c r="K870" s="3"/>
    </row>
    <row r="871" spans="1:11">
      <c r="A871"/>
      <c r="B871"/>
      <c r="C871" s="1"/>
      <c r="D871" s="1"/>
      <c r="E871" s="1"/>
      <c r="F871"/>
      <c r="G871"/>
      <c r="H871" s="1"/>
      <c r="K871" s="3"/>
    </row>
    <row r="872" spans="1:11">
      <c r="A872"/>
      <c r="B872"/>
      <c r="C872" s="1"/>
      <c r="D872" s="1"/>
      <c r="E872" s="1"/>
      <c r="F872"/>
      <c r="G872"/>
      <c r="H872" s="1"/>
      <c r="K872" s="3">
        <f>K858+10</f>
        <v>620</v>
      </c>
    </row>
    <row r="873" spans="1:11">
      <c r="A873"/>
      <c r="B873"/>
      <c r="C873" s="1"/>
      <c r="D873" s="1"/>
      <c r="E873" s="1"/>
      <c r="F873"/>
      <c r="G873"/>
      <c r="H873" s="1"/>
      <c r="K873" s="3">
        <f>K872</f>
        <v>620</v>
      </c>
    </row>
    <row r="874" spans="1:11">
      <c r="A874"/>
      <c r="B874"/>
      <c r="C874" s="1"/>
      <c r="D874" s="1"/>
      <c r="E874" s="1"/>
      <c r="F874"/>
      <c r="G874"/>
      <c r="H874" s="1"/>
      <c r="K874" s="3">
        <f>K873+1</f>
        <v>621</v>
      </c>
    </row>
    <row r="875" spans="1:11">
      <c r="A875"/>
      <c r="B875"/>
      <c r="C875" s="1"/>
      <c r="D875" s="1"/>
      <c r="E875" s="1"/>
      <c r="F875"/>
      <c r="G875"/>
      <c r="H875" s="1"/>
      <c r="K875" s="3">
        <f t="shared" ref="K875:K882" si="121">K874+1</f>
        <v>622</v>
      </c>
    </row>
    <row r="876" spans="1:11">
      <c r="A876"/>
      <c r="B876"/>
      <c r="C876" s="1"/>
      <c r="D876" s="1"/>
      <c r="E876" s="1"/>
      <c r="F876"/>
      <c r="G876"/>
      <c r="H876" s="1"/>
      <c r="K876" s="3">
        <f t="shared" si="121"/>
        <v>623</v>
      </c>
    </row>
    <row r="877" spans="1:11">
      <c r="A877"/>
      <c r="B877"/>
      <c r="C877" s="1"/>
      <c r="D877" s="1"/>
      <c r="E877" s="1"/>
      <c r="F877"/>
      <c r="G877"/>
      <c r="H877" s="1"/>
      <c r="K877" s="3">
        <f t="shared" si="121"/>
        <v>624</v>
      </c>
    </row>
    <row r="878" spans="1:11">
      <c r="A878"/>
      <c r="B878"/>
      <c r="C878" s="1"/>
      <c r="D878" s="1"/>
      <c r="E878" s="1"/>
      <c r="F878"/>
      <c r="G878"/>
      <c r="H878" s="1"/>
      <c r="K878" s="3">
        <f t="shared" si="121"/>
        <v>625</v>
      </c>
    </row>
    <row r="879" spans="1:11">
      <c r="A879"/>
      <c r="B879"/>
      <c r="C879" s="1"/>
      <c r="D879" s="1"/>
      <c r="E879" s="1"/>
      <c r="F879"/>
      <c r="G879"/>
      <c r="H879" s="1"/>
      <c r="K879" s="3">
        <f t="shared" si="121"/>
        <v>626</v>
      </c>
    </row>
    <row r="880" spans="1:11">
      <c r="A880"/>
      <c r="B880"/>
      <c r="C880" s="1"/>
      <c r="D880" s="1"/>
      <c r="E880" s="1"/>
      <c r="F880"/>
      <c r="G880"/>
      <c r="H880" s="1"/>
      <c r="K880" s="3">
        <f t="shared" si="121"/>
        <v>627</v>
      </c>
    </row>
    <row r="881" spans="1:11">
      <c r="A881"/>
      <c r="B881"/>
      <c r="C881" s="1"/>
      <c r="D881" s="1"/>
      <c r="E881" s="1"/>
      <c r="F881"/>
      <c r="G881"/>
      <c r="H881" s="1"/>
      <c r="K881" s="3">
        <f t="shared" si="121"/>
        <v>628</v>
      </c>
    </row>
    <row r="882" spans="1:11">
      <c r="A882"/>
      <c r="B882"/>
      <c r="C882" s="1"/>
      <c r="D882" s="1"/>
      <c r="E882" s="1"/>
      <c r="F882"/>
      <c r="G882"/>
      <c r="H882" s="1"/>
      <c r="K882" s="3">
        <f t="shared" si="121"/>
        <v>629</v>
      </c>
    </row>
    <row r="883" spans="1:11">
      <c r="A883"/>
      <c r="B883"/>
      <c r="C883" s="1"/>
      <c r="D883" s="1"/>
      <c r="E883" s="1"/>
      <c r="F883"/>
      <c r="G883"/>
      <c r="H883" s="1"/>
      <c r="K883" s="3"/>
    </row>
    <row r="884" spans="1:11">
      <c r="A884"/>
      <c r="B884"/>
      <c r="C884" s="1"/>
      <c r="D884" s="1"/>
      <c r="E884" s="1"/>
      <c r="F884"/>
      <c r="G884"/>
      <c r="H884" s="1"/>
      <c r="K884" s="3"/>
    </row>
    <row r="885" spans="1:11">
      <c r="A885"/>
      <c r="B885"/>
      <c r="C885" s="1"/>
      <c r="D885" s="1"/>
      <c r="E885" s="1"/>
      <c r="F885"/>
      <c r="G885"/>
      <c r="H885" s="1"/>
      <c r="K885" s="3"/>
    </row>
    <row r="886" spans="1:11">
      <c r="A886"/>
      <c r="B886"/>
      <c r="C886" s="1"/>
      <c r="D886" s="1"/>
      <c r="E886" s="1"/>
      <c r="F886"/>
      <c r="G886"/>
      <c r="H886" s="1"/>
      <c r="K886" s="3">
        <f>K872+10</f>
        <v>630</v>
      </c>
    </row>
    <row r="887" spans="1:11">
      <c r="A887"/>
      <c r="B887"/>
      <c r="C887" s="1"/>
      <c r="D887" s="1"/>
      <c r="E887" s="1"/>
      <c r="F887"/>
      <c r="G887"/>
      <c r="H887" s="1"/>
      <c r="K887" s="3">
        <f>K886</f>
        <v>630</v>
      </c>
    </row>
    <row r="888" spans="1:11">
      <c r="A888"/>
      <c r="B888"/>
      <c r="C888" s="1"/>
      <c r="D888" s="1"/>
      <c r="E888" s="1"/>
      <c r="F888"/>
      <c r="G888"/>
      <c r="H888" s="1"/>
      <c r="K888" s="3">
        <f>K887+1</f>
        <v>631</v>
      </c>
    </row>
    <row r="889" spans="1:11">
      <c r="A889"/>
      <c r="B889"/>
      <c r="C889" s="1"/>
      <c r="D889" s="1"/>
      <c r="E889" s="1"/>
      <c r="F889"/>
      <c r="G889"/>
      <c r="H889" s="1"/>
      <c r="K889" s="3">
        <f t="shared" ref="K889:K896" si="122">K888+1</f>
        <v>632</v>
      </c>
    </row>
    <row r="890" spans="1:11">
      <c r="A890"/>
      <c r="B890"/>
      <c r="C890" s="1"/>
      <c r="D890" s="1"/>
      <c r="E890" s="1"/>
      <c r="F890"/>
      <c r="G890"/>
      <c r="H890" s="1"/>
      <c r="K890" s="3">
        <f t="shared" si="122"/>
        <v>633</v>
      </c>
    </row>
    <row r="891" spans="1:11">
      <c r="A891"/>
      <c r="B891"/>
      <c r="C891" s="1"/>
      <c r="D891" s="1"/>
      <c r="E891" s="1"/>
      <c r="F891"/>
      <c r="G891"/>
      <c r="H891" s="1"/>
      <c r="K891" s="3">
        <f t="shared" si="122"/>
        <v>634</v>
      </c>
    </row>
    <row r="892" spans="1:11">
      <c r="A892"/>
      <c r="B892"/>
      <c r="C892" s="1"/>
      <c r="D892" s="1"/>
      <c r="E892" s="1"/>
      <c r="F892"/>
      <c r="G892"/>
      <c r="H892" s="1"/>
      <c r="K892" s="3">
        <f t="shared" si="122"/>
        <v>635</v>
      </c>
    </row>
    <row r="893" spans="1:11">
      <c r="A893"/>
      <c r="B893"/>
      <c r="C893" s="1"/>
      <c r="D893" s="1"/>
      <c r="E893" s="1"/>
      <c r="F893"/>
      <c r="G893"/>
      <c r="H893" s="1"/>
      <c r="K893" s="3">
        <f t="shared" si="122"/>
        <v>636</v>
      </c>
    </row>
    <row r="894" spans="1:11">
      <c r="A894"/>
      <c r="B894"/>
      <c r="C894" s="1"/>
      <c r="D894" s="1"/>
      <c r="E894" s="1"/>
      <c r="F894"/>
      <c r="G894"/>
      <c r="H894" s="1"/>
      <c r="K894" s="3">
        <f t="shared" si="122"/>
        <v>637</v>
      </c>
    </row>
    <row r="895" spans="1:11">
      <c r="A895"/>
      <c r="B895"/>
      <c r="C895" s="1"/>
      <c r="D895" s="1"/>
      <c r="E895" s="1"/>
      <c r="F895"/>
      <c r="G895"/>
      <c r="H895" s="1"/>
      <c r="K895" s="3">
        <f t="shared" si="122"/>
        <v>638</v>
      </c>
    </row>
    <row r="896" spans="1:11">
      <c r="A896"/>
      <c r="B896"/>
      <c r="C896" s="1"/>
      <c r="D896" s="1"/>
      <c r="E896" s="1"/>
      <c r="F896"/>
      <c r="G896"/>
      <c r="H896" s="1"/>
      <c r="K896" s="3">
        <f t="shared" si="122"/>
        <v>639</v>
      </c>
    </row>
    <row r="897" spans="1:11">
      <c r="A897"/>
      <c r="B897"/>
      <c r="C897" s="1"/>
      <c r="D897" s="1"/>
      <c r="E897" s="1"/>
      <c r="F897"/>
      <c r="G897"/>
      <c r="H897" s="1"/>
      <c r="K897" s="3"/>
    </row>
    <row r="898" spans="1:11">
      <c r="A898"/>
      <c r="B898"/>
      <c r="C898" s="1"/>
      <c r="D898" s="1"/>
      <c r="E898" s="1"/>
      <c r="F898"/>
      <c r="G898"/>
      <c r="H898" s="1"/>
      <c r="K898" s="3"/>
    </row>
    <row r="899" spans="1:11">
      <c r="A899"/>
      <c r="B899"/>
      <c r="C899" s="1"/>
      <c r="D899" s="1"/>
      <c r="E899" s="1"/>
      <c r="F899"/>
      <c r="G899"/>
      <c r="H899" s="1"/>
      <c r="K899" s="3"/>
    </row>
    <row r="900" spans="1:11">
      <c r="A900"/>
      <c r="B900"/>
      <c r="C900" s="1"/>
      <c r="D900" s="1"/>
      <c r="E900" s="1"/>
      <c r="F900"/>
      <c r="G900"/>
      <c r="H900" s="1"/>
      <c r="K900" s="3">
        <f>K886+10</f>
        <v>640</v>
      </c>
    </row>
    <row r="901" spans="1:11">
      <c r="A901"/>
      <c r="B901"/>
      <c r="C901" s="1"/>
      <c r="D901" s="1"/>
      <c r="E901" s="1"/>
      <c r="F901"/>
      <c r="G901"/>
      <c r="H901" s="1"/>
      <c r="K901" s="3">
        <f>K900</f>
        <v>640</v>
      </c>
    </row>
    <row r="902" spans="1:11">
      <c r="A902"/>
      <c r="B902"/>
      <c r="C902" s="1"/>
      <c r="D902" s="1"/>
      <c r="E902" s="1"/>
      <c r="F902"/>
      <c r="G902"/>
      <c r="H902" s="1"/>
      <c r="K902" s="3">
        <f>K901+1</f>
        <v>641</v>
      </c>
    </row>
    <row r="903" spans="1:11">
      <c r="A903"/>
      <c r="B903"/>
      <c r="C903" s="1"/>
      <c r="D903" s="1"/>
      <c r="E903" s="1"/>
      <c r="F903"/>
      <c r="G903"/>
      <c r="H903" s="1"/>
      <c r="K903" s="3">
        <f t="shared" ref="K903:K910" si="123">K902+1</f>
        <v>642</v>
      </c>
    </row>
    <row r="904" spans="1:11">
      <c r="A904"/>
      <c r="B904"/>
      <c r="C904" s="1"/>
      <c r="D904" s="1"/>
      <c r="E904" s="1"/>
      <c r="F904"/>
      <c r="G904"/>
      <c r="H904" s="1"/>
      <c r="K904" s="3">
        <f t="shared" si="123"/>
        <v>643</v>
      </c>
    </row>
    <row r="905" spans="1:11">
      <c r="A905"/>
      <c r="B905"/>
      <c r="C905" s="1"/>
      <c r="D905" s="1"/>
      <c r="E905" s="1"/>
      <c r="F905"/>
      <c r="G905"/>
      <c r="H905" s="1"/>
      <c r="K905" s="3">
        <f t="shared" si="123"/>
        <v>644</v>
      </c>
    </row>
    <row r="906" spans="1:11">
      <c r="A906"/>
      <c r="B906"/>
      <c r="C906" s="1"/>
      <c r="D906" s="1"/>
      <c r="E906" s="1"/>
      <c r="F906"/>
      <c r="G906"/>
      <c r="H906" s="1"/>
      <c r="K906" s="3">
        <f t="shared" si="123"/>
        <v>645</v>
      </c>
    </row>
    <row r="907" spans="1:11">
      <c r="A907"/>
      <c r="B907"/>
      <c r="C907" s="1"/>
      <c r="D907" s="1"/>
      <c r="E907" s="1"/>
      <c r="F907"/>
      <c r="G907"/>
      <c r="H907" s="1"/>
      <c r="K907" s="3">
        <f t="shared" si="123"/>
        <v>646</v>
      </c>
    </row>
    <row r="908" spans="1:11">
      <c r="A908"/>
      <c r="B908"/>
      <c r="C908" s="1"/>
      <c r="D908" s="1"/>
      <c r="E908" s="1"/>
      <c r="F908"/>
      <c r="G908"/>
      <c r="H908" s="1"/>
      <c r="K908" s="3">
        <f t="shared" si="123"/>
        <v>647</v>
      </c>
    </row>
    <row r="909" spans="1:11">
      <c r="A909"/>
      <c r="B909"/>
      <c r="C909" s="1"/>
      <c r="D909" s="1"/>
      <c r="E909" s="1"/>
      <c r="F909"/>
      <c r="G909"/>
      <c r="H909" s="1"/>
      <c r="K909" s="3">
        <f t="shared" si="123"/>
        <v>648</v>
      </c>
    </row>
    <row r="910" spans="1:11">
      <c r="A910"/>
      <c r="B910"/>
      <c r="C910" s="1"/>
      <c r="D910" s="1"/>
      <c r="E910" s="1"/>
      <c r="F910"/>
      <c r="G910"/>
      <c r="H910" s="1"/>
      <c r="K910" s="3">
        <f t="shared" si="123"/>
        <v>649</v>
      </c>
    </row>
    <row r="911" spans="1:11">
      <c r="A911"/>
      <c r="B911"/>
      <c r="C911" s="1"/>
      <c r="D911" s="1"/>
      <c r="E911" s="1"/>
      <c r="F911"/>
      <c r="G911"/>
      <c r="H911" s="1"/>
      <c r="K911" s="3"/>
    </row>
    <row r="912" spans="1:11">
      <c r="A912"/>
      <c r="B912"/>
      <c r="C912" s="1"/>
      <c r="D912" s="1"/>
      <c r="E912" s="1"/>
      <c r="F912"/>
      <c r="G912"/>
      <c r="H912" s="1"/>
      <c r="K912" s="3"/>
    </row>
    <row r="913" spans="1:11">
      <c r="A913"/>
      <c r="B913"/>
      <c r="C913" s="1"/>
      <c r="D913" s="1"/>
      <c r="E913" s="1"/>
      <c r="F913"/>
      <c r="G913"/>
      <c r="H913" s="1"/>
      <c r="K913" s="3"/>
    </row>
    <row r="914" spans="1:11">
      <c r="A914"/>
      <c r="B914"/>
      <c r="C914" s="1"/>
      <c r="D914" s="1"/>
      <c r="E914" s="1"/>
      <c r="F914"/>
      <c r="G914"/>
      <c r="H914" s="1"/>
      <c r="K914" s="3">
        <f>K900+10</f>
        <v>650</v>
      </c>
    </row>
    <row r="915" spans="1:11">
      <c r="A915"/>
      <c r="B915"/>
      <c r="C915" s="1"/>
      <c r="D915" s="1"/>
      <c r="E915" s="1"/>
      <c r="F915"/>
      <c r="G915"/>
      <c r="H915" s="1"/>
      <c r="K915" s="3">
        <f>K914</f>
        <v>650</v>
      </c>
    </row>
    <row r="916" spans="1:11">
      <c r="A916"/>
      <c r="B916"/>
      <c r="C916" s="1"/>
      <c r="D916" s="1"/>
      <c r="E916" s="1"/>
      <c r="F916"/>
      <c r="G916"/>
      <c r="H916" s="1"/>
      <c r="K916" s="3">
        <f>K915+1</f>
        <v>651</v>
      </c>
    </row>
    <row r="917" spans="1:11">
      <c r="A917"/>
      <c r="B917"/>
      <c r="C917" s="1"/>
      <c r="D917" s="1"/>
      <c r="E917" s="1"/>
      <c r="F917"/>
      <c r="G917"/>
      <c r="H917" s="1"/>
      <c r="K917" s="3">
        <f t="shared" ref="K917:K924" si="124">K916+1</f>
        <v>652</v>
      </c>
    </row>
    <row r="918" spans="1:11">
      <c r="A918"/>
      <c r="B918"/>
      <c r="C918" s="1"/>
      <c r="D918" s="1"/>
      <c r="E918" s="1"/>
      <c r="F918"/>
      <c r="G918"/>
      <c r="H918" s="1"/>
      <c r="K918" s="3">
        <f t="shared" si="124"/>
        <v>653</v>
      </c>
    </row>
    <row r="919" spans="1:11">
      <c r="A919"/>
      <c r="B919"/>
      <c r="C919" s="1"/>
      <c r="D919" s="1"/>
      <c r="E919" s="1"/>
      <c r="F919"/>
      <c r="G919"/>
      <c r="H919" s="1"/>
      <c r="K919" s="3">
        <f t="shared" si="124"/>
        <v>654</v>
      </c>
    </row>
    <row r="920" spans="1:11">
      <c r="A920"/>
      <c r="B920"/>
      <c r="C920" s="1"/>
      <c r="D920" s="1"/>
      <c r="E920" s="1"/>
      <c r="F920"/>
      <c r="G920"/>
      <c r="H920" s="1"/>
      <c r="K920" s="3">
        <f t="shared" si="124"/>
        <v>655</v>
      </c>
    </row>
    <row r="921" spans="1:11">
      <c r="A921"/>
      <c r="B921"/>
      <c r="C921" s="1"/>
      <c r="D921" s="1"/>
      <c r="E921" s="1"/>
      <c r="F921"/>
      <c r="G921"/>
      <c r="H921" s="1"/>
      <c r="K921" s="3">
        <f t="shared" si="124"/>
        <v>656</v>
      </c>
    </row>
    <row r="922" spans="1:11">
      <c r="A922"/>
      <c r="B922"/>
      <c r="C922" s="1"/>
      <c r="D922" s="1"/>
      <c r="E922" s="1"/>
      <c r="F922"/>
      <c r="G922"/>
      <c r="H922" s="1"/>
      <c r="K922" s="3">
        <f t="shared" si="124"/>
        <v>657</v>
      </c>
    </row>
    <row r="923" spans="1:11">
      <c r="A923"/>
      <c r="B923"/>
      <c r="C923" s="1"/>
      <c r="D923" s="1"/>
      <c r="E923" s="1"/>
      <c r="F923"/>
      <c r="G923"/>
      <c r="H923" s="1"/>
      <c r="K923" s="3">
        <f t="shared" si="124"/>
        <v>658</v>
      </c>
    </row>
    <row r="924" spans="1:11">
      <c r="A924"/>
      <c r="B924"/>
      <c r="C924" s="1"/>
      <c r="D924" s="1"/>
      <c r="E924" s="1"/>
      <c r="F924"/>
      <c r="G924"/>
      <c r="H924" s="1"/>
      <c r="K924" s="3">
        <f t="shared" si="124"/>
        <v>659</v>
      </c>
    </row>
    <row r="925" spans="1:11">
      <c r="A925"/>
      <c r="B925"/>
      <c r="C925" s="1"/>
      <c r="D925" s="1"/>
      <c r="E925" s="1"/>
      <c r="F925"/>
      <c r="G925"/>
      <c r="H925" s="1"/>
      <c r="K925" s="3"/>
    </row>
    <row r="926" spans="1:11">
      <c r="A926"/>
      <c r="B926"/>
      <c r="C926" s="1"/>
      <c r="D926" s="1"/>
      <c r="E926" s="1"/>
      <c r="F926"/>
      <c r="G926"/>
      <c r="H926" s="1"/>
      <c r="K926" s="3"/>
    </row>
    <row r="927" spans="1:11">
      <c r="A927"/>
      <c r="B927"/>
      <c r="C927" s="1"/>
      <c r="D927" s="1"/>
      <c r="E927" s="1"/>
      <c r="F927"/>
      <c r="G927"/>
      <c r="H927" s="1"/>
      <c r="K927" s="3"/>
    </row>
    <row r="928" spans="1:11">
      <c r="A928"/>
      <c r="B928"/>
      <c r="C928" s="1"/>
      <c r="D928" s="1"/>
      <c r="E928" s="1"/>
      <c r="F928"/>
      <c r="G928"/>
      <c r="H928" s="1"/>
      <c r="K928" s="3">
        <f>K914+10</f>
        <v>660</v>
      </c>
    </row>
    <row r="929" spans="1:11">
      <c r="A929"/>
      <c r="B929"/>
      <c r="C929" s="1"/>
      <c r="D929" s="1"/>
      <c r="E929" s="1"/>
      <c r="F929"/>
      <c r="G929"/>
      <c r="H929" s="1"/>
      <c r="K929" s="3">
        <f>K928</f>
        <v>660</v>
      </c>
    </row>
    <row r="930" spans="1:11">
      <c r="A930"/>
      <c r="B930"/>
      <c r="C930" s="1"/>
      <c r="D930" s="1"/>
      <c r="E930" s="1"/>
      <c r="F930"/>
      <c r="G930"/>
      <c r="H930" s="1"/>
      <c r="K930" s="3">
        <f>K929+1</f>
        <v>661</v>
      </c>
    </row>
    <row r="931" spans="1:11">
      <c r="A931"/>
      <c r="B931"/>
      <c r="C931" s="1"/>
      <c r="D931" s="1"/>
      <c r="E931" s="1"/>
      <c r="F931"/>
      <c r="G931"/>
      <c r="H931" s="1"/>
      <c r="K931" s="3">
        <f t="shared" ref="K931:K938" si="125">K930+1</f>
        <v>662</v>
      </c>
    </row>
    <row r="932" spans="1:11">
      <c r="A932"/>
      <c r="B932"/>
      <c r="C932" s="1"/>
      <c r="D932" s="1"/>
      <c r="E932" s="1"/>
      <c r="F932"/>
      <c r="G932"/>
      <c r="H932" s="1"/>
      <c r="K932" s="3">
        <f t="shared" si="125"/>
        <v>663</v>
      </c>
    </row>
    <row r="933" spans="1:11">
      <c r="A933"/>
      <c r="B933"/>
      <c r="C933" s="1"/>
      <c r="D933" s="1"/>
      <c r="E933" s="1"/>
      <c r="F933"/>
      <c r="G933"/>
      <c r="H933" s="1"/>
      <c r="K933" s="3">
        <f t="shared" si="125"/>
        <v>664</v>
      </c>
    </row>
    <row r="934" spans="1:11">
      <c r="A934"/>
      <c r="B934"/>
      <c r="C934" s="1"/>
      <c r="D934" s="1"/>
      <c r="E934" s="1"/>
      <c r="F934"/>
      <c r="G934"/>
      <c r="H934" s="1"/>
      <c r="K934" s="3">
        <f t="shared" si="125"/>
        <v>665</v>
      </c>
    </row>
    <row r="935" spans="1:11">
      <c r="A935"/>
      <c r="B935"/>
      <c r="C935" s="1"/>
      <c r="D935" s="1"/>
      <c r="E935" s="1"/>
      <c r="F935"/>
      <c r="G935"/>
      <c r="H935" s="1"/>
      <c r="K935" s="3">
        <f t="shared" si="125"/>
        <v>666</v>
      </c>
    </row>
    <row r="936" spans="1:11">
      <c r="A936"/>
      <c r="B936"/>
      <c r="C936" s="1"/>
      <c r="D936" s="1"/>
      <c r="E936" s="1"/>
      <c r="F936"/>
      <c r="G936"/>
      <c r="H936" s="1"/>
      <c r="K936" s="3">
        <f t="shared" si="125"/>
        <v>667</v>
      </c>
    </row>
    <row r="937" spans="1:11">
      <c r="A937"/>
      <c r="B937"/>
      <c r="C937" s="1"/>
      <c r="D937" s="1"/>
      <c r="E937" s="1"/>
      <c r="F937"/>
      <c r="G937"/>
      <c r="H937" s="1"/>
      <c r="K937" s="3">
        <f t="shared" si="125"/>
        <v>668</v>
      </c>
    </row>
    <row r="938" spans="1:11">
      <c r="A938"/>
      <c r="B938"/>
      <c r="C938" s="1"/>
      <c r="D938" s="1"/>
      <c r="E938" s="1"/>
      <c r="F938"/>
      <c r="G938"/>
      <c r="H938" s="1"/>
      <c r="K938" s="3">
        <f t="shared" si="125"/>
        <v>669</v>
      </c>
    </row>
    <row r="939" spans="1:11">
      <c r="A939"/>
      <c r="B939"/>
      <c r="C939" s="1"/>
      <c r="D939" s="1"/>
      <c r="E939" s="1"/>
      <c r="F939"/>
      <c r="G939"/>
      <c r="H939" s="1"/>
      <c r="K939" s="3"/>
    </row>
    <row r="940" spans="1:11">
      <c r="A940"/>
      <c r="B940"/>
      <c r="C940" s="1"/>
      <c r="D940" s="1"/>
      <c r="E940" s="1"/>
      <c r="F940"/>
      <c r="G940"/>
      <c r="H940" s="1"/>
      <c r="K940" s="3"/>
    </row>
    <row r="941" spans="1:11">
      <c r="A941"/>
      <c r="B941"/>
      <c r="C941" s="1"/>
      <c r="D941" s="1"/>
      <c r="E941" s="1"/>
      <c r="F941"/>
      <c r="G941"/>
      <c r="H941" s="1"/>
      <c r="K941" s="3"/>
    </row>
    <row r="942" spans="1:11">
      <c r="A942"/>
      <c r="B942"/>
      <c r="C942" s="1"/>
      <c r="D942" s="1"/>
      <c r="E942" s="1"/>
      <c r="F942"/>
      <c r="G942"/>
      <c r="H942" s="1"/>
      <c r="K942" s="3">
        <f>K928+10</f>
        <v>670</v>
      </c>
    </row>
    <row r="943" spans="1:11">
      <c r="A943"/>
      <c r="B943"/>
      <c r="C943" s="1"/>
      <c r="D943" s="1"/>
      <c r="E943" s="1"/>
      <c r="F943"/>
      <c r="G943"/>
      <c r="H943" s="1"/>
      <c r="K943" s="3">
        <f>K942</f>
        <v>670</v>
      </c>
    </row>
    <row r="944" spans="1:11">
      <c r="A944"/>
      <c r="B944"/>
      <c r="C944" s="1"/>
      <c r="D944" s="1"/>
      <c r="E944" s="1"/>
      <c r="F944"/>
      <c r="G944"/>
      <c r="H944" s="1"/>
      <c r="K944" s="3">
        <f>K943+1</f>
        <v>671</v>
      </c>
    </row>
    <row r="945" spans="1:11">
      <c r="A945"/>
      <c r="B945"/>
      <c r="C945" s="1"/>
      <c r="D945" s="1"/>
      <c r="E945" s="1"/>
      <c r="F945"/>
      <c r="G945"/>
      <c r="H945" s="1"/>
      <c r="K945" s="3">
        <f t="shared" ref="K945:K952" si="126">K944+1</f>
        <v>672</v>
      </c>
    </row>
    <row r="946" spans="1:11">
      <c r="A946"/>
      <c r="B946"/>
      <c r="C946" s="1"/>
      <c r="D946" s="1"/>
      <c r="E946" s="1"/>
      <c r="F946"/>
      <c r="G946"/>
      <c r="H946" s="1"/>
      <c r="K946" s="3">
        <f t="shared" si="126"/>
        <v>673</v>
      </c>
    </row>
    <row r="947" spans="1:11">
      <c r="A947"/>
      <c r="B947"/>
      <c r="C947" s="1"/>
      <c r="D947" s="1"/>
      <c r="E947" s="1"/>
      <c r="F947"/>
      <c r="G947"/>
      <c r="H947" s="1"/>
      <c r="K947" s="3">
        <f t="shared" si="126"/>
        <v>674</v>
      </c>
    </row>
    <row r="948" spans="1:11">
      <c r="A948"/>
      <c r="B948"/>
      <c r="C948" s="1"/>
      <c r="D948" s="1"/>
      <c r="E948" s="1"/>
      <c r="F948"/>
      <c r="G948"/>
      <c r="H948" s="1"/>
      <c r="K948" s="3">
        <f t="shared" si="126"/>
        <v>675</v>
      </c>
    </row>
    <row r="949" spans="1:11">
      <c r="A949"/>
      <c r="B949"/>
      <c r="C949" s="1"/>
      <c r="D949" s="1"/>
      <c r="E949" s="1"/>
      <c r="F949"/>
      <c r="G949"/>
      <c r="H949" s="1"/>
      <c r="K949" s="3">
        <f t="shared" si="126"/>
        <v>676</v>
      </c>
    </row>
    <row r="950" spans="1:11">
      <c r="A950"/>
      <c r="B950"/>
      <c r="C950" s="1"/>
      <c r="D950" s="1"/>
      <c r="E950" s="1"/>
      <c r="F950"/>
      <c r="G950"/>
      <c r="H950" s="1"/>
      <c r="K950" s="3">
        <f t="shared" si="126"/>
        <v>677</v>
      </c>
    </row>
    <row r="951" spans="1:11">
      <c r="A951"/>
      <c r="B951"/>
      <c r="C951" s="1"/>
      <c r="D951" s="1"/>
      <c r="E951" s="1"/>
      <c r="F951"/>
      <c r="G951"/>
      <c r="H951" s="1"/>
      <c r="K951" s="3">
        <f t="shared" si="126"/>
        <v>678</v>
      </c>
    </row>
    <row r="952" spans="1:11">
      <c r="A952"/>
      <c r="B952"/>
      <c r="C952" s="1"/>
      <c r="D952" s="1"/>
      <c r="E952" s="1"/>
      <c r="F952"/>
      <c r="G952"/>
      <c r="H952" s="1"/>
      <c r="K952" s="3">
        <f t="shared" si="126"/>
        <v>679</v>
      </c>
    </row>
    <row r="953" spans="1:11">
      <c r="A953"/>
      <c r="B953"/>
      <c r="C953" s="1"/>
      <c r="D953" s="1"/>
      <c r="E953" s="1"/>
      <c r="F953"/>
      <c r="G953"/>
      <c r="H953" s="1"/>
      <c r="K953" s="3"/>
    </row>
    <row r="954" spans="1:11">
      <c r="A954"/>
      <c r="B954"/>
      <c r="C954" s="1"/>
      <c r="D954" s="1"/>
      <c r="E954" s="1"/>
      <c r="F954"/>
      <c r="G954"/>
      <c r="H954" s="1"/>
      <c r="K954" s="3"/>
    </row>
    <row r="955" spans="1:11">
      <c r="A955"/>
      <c r="B955"/>
      <c r="C955" s="1"/>
      <c r="D955" s="1"/>
      <c r="E955" s="1"/>
      <c r="F955"/>
      <c r="G955"/>
      <c r="H955" s="1"/>
      <c r="K955" s="3"/>
    </row>
    <row r="956" spans="1:11">
      <c r="A956"/>
      <c r="B956"/>
      <c r="C956" s="1"/>
      <c r="D956" s="1"/>
      <c r="E956" s="1"/>
      <c r="F956"/>
      <c r="G956"/>
      <c r="H956" s="1"/>
      <c r="K956" s="3">
        <f>K942+10</f>
        <v>680</v>
      </c>
    </row>
    <row r="957" spans="1:11">
      <c r="A957"/>
      <c r="B957"/>
      <c r="C957" s="1"/>
      <c r="D957" s="1"/>
      <c r="E957" s="1"/>
      <c r="F957"/>
      <c r="G957"/>
      <c r="H957" s="1"/>
      <c r="K957" s="3">
        <f>K956</f>
        <v>680</v>
      </c>
    </row>
    <row r="958" spans="1:11">
      <c r="A958"/>
      <c r="B958"/>
      <c r="C958" s="1"/>
      <c r="D958" s="1"/>
      <c r="E958" s="1"/>
      <c r="F958"/>
      <c r="G958"/>
      <c r="H958" s="1"/>
      <c r="K958" s="3">
        <f>K957+1</f>
        <v>681</v>
      </c>
    </row>
    <row r="959" spans="1:11">
      <c r="A959"/>
      <c r="B959"/>
      <c r="C959" s="1"/>
      <c r="D959" s="1"/>
      <c r="E959" s="1"/>
      <c r="F959"/>
      <c r="G959"/>
      <c r="H959" s="1"/>
      <c r="K959" s="3">
        <f t="shared" ref="K959:K966" si="127">K958+1</f>
        <v>682</v>
      </c>
    </row>
    <row r="960" spans="1:11">
      <c r="A960"/>
      <c r="B960"/>
      <c r="C960" s="1"/>
      <c r="D960" s="1"/>
      <c r="E960" s="1"/>
      <c r="F960"/>
      <c r="G960"/>
      <c r="H960" s="1"/>
      <c r="K960" s="3">
        <f t="shared" si="127"/>
        <v>683</v>
      </c>
    </row>
    <row r="961" spans="1:11">
      <c r="A961"/>
      <c r="B961"/>
      <c r="C961" s="1"/>
      <c r="D961" s="1"/>
      <c r="E961" s="1"/>
      <c r="F961"/>
      <c r="G961"/>
      <c r="H961" s="1"/>
      <c r="K961" s="3">
        <f t="shared" si="127"/>
        <v>684</v>
      </c>
    </row>
    <row r="962" spans="1:11">
      <c r="A962"/>
      <c r="B962"/>
      <c r="C962" s="1"/>
      <c r="D962" s="1"/>
      <c r="E962" s="1"/>
      <c r="F962"/>
      <c r="G962"/>
      <c r="H962" s="1"/>
      <c r="K962" s="3">
        <f t="shared" si="127"/>
        <v>685</v>
      </c>
    </row>
    <row r="963" spans="1:11">
      <c r="A963"/>
      <c r="B963"/>
      <c r="C963" s="1"/>
      <c r="D963" s="1"/>
      <c r="E963" s="1"/>
      <c r="F963"/>
      <c r="G963"/>
      <c r="H963" s="1"/>
      <c r="K963" s="3">
        <f t="shared" si="127"/>
        <v>686</v>
      </c>
    </row>
    <row r="964" spans="1:11">
      <c r="A964"/>
      <c r="B964"/>
      <c r="C964" s="1"/>
      <c r="D964" s="1"/>
      <c r="E964" s="1"/>
      <c r="F964"/>
      <c r="G964"/>
      <c r="H964" s="1"/>
      <c r="K964" s="3">
        <f t="shared" si="127"/>
        <v>687</v>
      </c>
    </row>
    <row r="965" spans="1:11">
      <c r="A965"/>
      <c r="B965"/>
      <c r="C965" s="1"/>
      <c r="D965" s="1"/>
      <c r="E965" s="1"/>
      <c r="F965"/>
      <c r="G965"/>
      <c r="H965" s="1"/>
      <c r="K965" s="3">
        <f t="shared" si="127"/>
        <v>688</v>
      </c>
    </row>
    <row r="966" spans="1:11">
      <c r="A966"/>
      <c r="B966"/>
      <c r="C966" s="1"/>
      <c r="D966" s="1"/>
      <c r="E966" s="1"/>
      <c r="F966"/>
      <c r="G966"/>
      <c r="H966" s="1"/>
      <c r="K966" s="3">
        <f t="shared" si="127"/>
        <v>689</v>
      </c>
    </row>
    <row r="967" spans="1:11">
      <c r="A967"/>
      <c r="B967"/>
      <c r="C967" s="1"/>
      <c r="D967" s="1"/>
      <c r="E967" s="1"/>
      <c r="F967"/>
      <c r="G967"/>
      <c r="H967" s="1"/>
      <c r="K967" s="3"/>
    </row>
    <row r="968" spans="1:11">
      <c r="A968"/>
      <c r="B968"/>
      <c r="C968" s="1"/>
      <c r="D968" s="1"/>
      <c r="E968" s="1"/>
      <c r="F968"/>
      <c r="G968"/>
      <c r="H968" s="1"/>
      <c r="K968" s="3"/>
    </row>
    <row r="969" spans="1:11">
      <c r="A969"/>
      <c r="B969"/>
      <c r="C969" s="1"/>
      <c r="D969" s="1"/>
      <c r="E969" s="1"/>
      <c r="F969"/>
      <c r="G969"/>
      <c r="H969" s="1"/>
      <c r="K969" s="3"/>
    </row>
    <row r="970" spans="1:11">
      <c r="A970"/>
      <c r="B970"/>
      <c r="C970" s="1"/>
      <c r="D970" s="1"/>
      <c r="E970" s="1"/>
      <c r="F970"/>
      <c r="G970"/>
      <c r="H970" s="1"/>
      <c r="K970" s="3">
        <f>K956+10</f>
        <v>690</v>
      </c>
    </row>
    <row r="971" spans="1:11">
      <c r="A971"/>
      <c r="B971"/>
      <c r="C971" s="1"/>
      <c r="D971" s="1"/>
      <c r="E971" s="1"/>
      <c r="F971"/>
      <c r="G971"/>
      <c r="H971" s="1"/>
      <c r="K971" s="3">
        <f>K970</f>
        <v>690</v>
      </c>
    </row>
    <row r="972" spans="1:11">
      <c r="A972"/>
      <c r="B972"/>
      <c r="C972" s="1"/>
      <c r="D972" s="1"/>
      <c r="E972" s="1"/>
      <c r="F972"/>
      <c r="G972"/>
      <c r="H972" s="1"/>
      <c r="K972" s="3">
        <f>K971+1</f>
        <v>691</v>
      </c>
    </row>
    <row r="973" spans="1:11">
      <c r="A973"/>
      <c r="B973"/>
      <c r="C973" s="1"/>
      <c r="D973" s="1"/>
      <c r="E973" s="1"/>
      <c r="F973"/>
      <c r="G973"/>
      <c r="H973" s="1"/>
      <c r="K973" s="3">
        <f t="shared" ref="K973:K980" si="128">K972+1</f>
        <v>692</v>
      </c>
    </row>
    <row r="974" spans="1:11">
      <c r="A974"/>
      <c r="B974"/>
      <c r="C974" s="1"/>
      <c r="D974" s="1"/>
      <c r="E974" s="1"/>
      <c r="F974"/>
      <c r="G974"/>
      <c r="H974" s="1"/>
      <c r="K974" s="3">
        <f t="shared" si="128"/>
        <v>693</v>
      </c>
    </row>
    <row r="975" spans="1:11">
      <c r="A975"/>
      <c r="B975"/>
      <c r="C975" s="1"/>
      <c r="D975" s="1"/>
      <c r="E975" s="1"/>
      <c r="F975"/>
      <c r="G975"/>
      <c r="H975" s="1"/>
      <c r="K975" s="3">
        <f t="shared" si="128"/>
        <v>694</v>
      </c>
    </row>
    <row r="976" spans="1:11">
      <c r="A976"/>
      <c r="B976"/>
      <c r="C976" s="1"/>
      <c r="D976" s="1"/>
      <c r="E976" s="1"/>
      <c r="F976"/>
      <c r="G976"/>
      <c r="H976" s="1"/>
      <c r="K976" s="3">
        <f t="shared" si="128"/>
        <v>695</v>
      </c>
    </row>
    <row r="977" spans="1:11">
      <c r="A977"/>
      <c r="B977"/>
      <c r="C977" s="1"/>
      <c r="D977" s="1"/>
      <c r="E977" s="1"/>
      <c r="F977"/>
      <c r="G977"/>
      <c r="H977" s="1"/>
      <c r="K977" s="3">
        <f t="shared" si="128"/>
        <v>696</v>
      </c>
    </row>
    <row r="978" spans="1:11">
      <c r="A978"/>
      <c r="B978"/>
      <c r="C978" s="1"/>
      <c r="D978" s="1"/>
      <c r="E978" s="1"/>
      <c r="F978"/>
      <c r="G978"/>
      <c r="H978" s="1"/>
      <c r="K978" s="3">
        <f t="shared" si="128"/>
        <v>697</v>
      </c>
    </row>
    <row r="979" spans="1:11">
      <c r="A979"/>
      <c r="B979"/>
      <c r="C979" s="1"/>
      <c r="D979" s="1"/>
      <c r="E979" s="1"/>
      <c r="F979"/>
      <c r="G979"/>
      <c r="H979" s="1"/>
      <c r="K979" s="3">
        <f t="shared" si="128"/>
        <v>698</v>
      </c>
    </row>
    <row r="980" spans="1:11">
      <c r="A980"/>
      <c r="B980"/>
      <c r="C980" s="1"/>
      <c r="D980" s="1"/>
      <c r="E980" s="1"/>
      <c r="F980"/>
      <c r="G980"/>
      <c r="H980" s="1"/>
      <c r="K980" s="3">
        <f t="shared" si="128"/>
        <v>699</v>
      </c>
    </row>
    <row r="981" spans="1:11">
      <c r="A981"/>
      <c r="B981"/>
      <c r="C981" s="1"/>
      <c r="D981" s="1"/>
      <c r="E981" s="1"/>
      <c r="F981"/>
      <c r="G981"/>
      <c r="H981" s="1"/>
      <c r="K981" s="3"/>
    </row>
    <row r="982" spans="1:11">
      <c r="A982"/>
      <c r="B982"/>
      <c r="C982" s="1"/>
      <c r="D982" s="1"/>
      <c r="E982" s="1"/>
      <c r="F982"/>
      <c r="G982"/>
      <c r="H982" s="1"/>
      <c r="K982" s="3"/>
    </row>
    <row r="983" spans="1:11">
      <c r="A983"/>
      <c r="B983"/>
      <c r="C983" s="1"/>
      <c r="D983" s="1"/>
      <c r="E983" s="1"/>
      <c r="F983"/>
      <c r="G983"/>
      <c r="H983" s="1"/>
      <c r="K983" s="3"/>
    </row>
    <row r="984" spans="1:11">
      <c r="A984"/>
      <c r="B984"/>
      <c r="C984" s="1"/>
      <c r="D984" s="1"/>
      <c r="E984" s="1"/>
      <c r="F984"/>
      <c r="G984"/>
      <c r="H984" s="1"/>
      <c r="K984" s="3">
        <f>K970+10</f>
        <v>700</v>
      </c>
    </row>
    <row r="985" spans="1:11">
      <c r="A985"/>
      <c r="B985"/>
      <c r="C985" s="1"/>
      <c r="D985" s="1"/>
      <c r="E985" s="1"/>
      <c r="F985"/>
      <c r="G985"/>
      <c r="H985" s="1"/>
      <c r="K985" s="3">
        <f>K984</f>
        <v>700</v>
      </c>
    </row>
    <row r="986" spans="1:11">
      <c r="A986"/>
      <c r="B986"/>
      <c r="C986" s="1"/>
      <c r="D986" s="1"/>
      <c r="E986" s="1"/>
      <c r="F986"/>
      <c r="G986"/>
      <c r="H986" s="1"/>
      <c r="K986" s="3">
        <f>K985+1</f>
        <v>701</v>
      </c>
    </row>
    <row r="987" spans="1:11">
      <c r="A987"/>
      <c r="B987"/>
      <c r="C987" s="1"/>
      <c r="D987" s="1"/>
      <c r="E987" s="1"/>
      <c r="F987"/>
      <c r="G987"/>
      <c r="H987" s="1"/>
      <c r="K987" s="3">
        <f t="shared" ref="K987:K994" si="129">K986+1</f>
        <v>702</v>
      </c>
    </row>
    <row r="988" spans="1:11">
      <c r="A988"/>
      <c r="B988"/>
      <c r="C988" s="1"/>
      <c r="D988" s="1"/>
      <c r="E988" s="1"/>
      <c r="F988"/>
      <c r="G988"/>
      <c r="H988" s="1"/>
      <c r="K988" s="3">
        <f t="shared" si="129"/>
        <v>703</v>
      </c>
    </row>
    <row r="989" spans="1:11">
      <c r="A989"/>
      <c r="B989"/>
      <c r="C989" s="1"/>
      <c r="D989" s="1"/>
      <c r="E989" s="1"/>
      <c r="F989"/>
      <c r="G989"/>
      <c r="H989" s="1"/>
      <c r="K989" s="3">
        <f t="shared" si="129"/>
        <v>704</v>
      </c>
    </row>
    <row r="990" spans="1:11">
      <c r="A990"/>
      <c r="B990"/>
      <c r="C990" s="1"/>
      <c r="D990" s="1"/>
      <c r="E990" s="1"/>
      <c r="F990"/>
      <c r="G990"/>
      <c r="H990" s="1"/>
      <c r="K990" s="3">
        <f t="shared" si="129"/>
        <v>705</v>
      </c>
    </row>
    <row r="991" spans="1:11">
      <c r="A991"/>
      <c r="B991"/>
      <c r="C991" s="1"/>
      <c r="D991" s="1"/>
      <c r="E991" s="1"/>
      <c r="F991"/>
      <c r="G991"/>
      <c r="H991" s="1"/>
      <c r="K991" s="3">
        <f t="shared" si="129"/>
        <v>706</v>
      </c>
    </row>
    <row r="992" spans="1:11">
      <c r="A992"/>
      <c r="B992"/>
      <c r="C992" s="1"/>
      <c r="D992" s="1"/>
      <c r="E992" s="1"/>
      <c r="F992"/>
      <c r="G992"/>
      <c r="H992" s="1"/>
      <c r="K992" s="3">
        <f t="shared" si="129"/>
        <v>707</v>
      </c>
    </row>
    <row r="993" spans="1:11">
      <c r="A993"/>
      <c r="B993"/>
      <c r="C993" s="1"/>
      <c r="D993" s="1"/>
      <c r="E993" s="1"/>
      <c r="F993"/>
      <c r="G993"/>
      <c r="H993" s="1"/>
      <c r="K993" s="3">
        <f t="shared" si="129"/>
        <v>708</v>
      </c>
    </row>
    <row r="994" spans="1:11">
      <c r="A994"/>
      <c r="B994"/>
      <c r="C994" s="1"/>
      <c r="D994" s="1"/>
      <c r="E994" s="1"/>
      <c r="F994"/>
      <c r="G994"/>
      <c r="H994" s="1"/>
      <c r="K994" s="3">
        <f t="shared" si="129"/>
        <v>709</v>
      </c>
    </row>
    <row r="995" spans="1:11">
      <c r="A995"/>
      <c r="B995"/>
      <c r="C995" s="1"/>
      <c r="D995" s="1"/>
      <c r="E995" s="1"/>
      <c r="F995"/>
      <c r="G995"/>
      <c r="H995" s="1"/>
      <c r="K995" s="3"/>
    </row>
    <row r="996" spans="1:11">
      <c r="A996"/>
      <c r="B996"/>
      <c r="C996" s="1"/>
      <c r="D996" s="1"/>
      <c r="E996" s="1"/>
      <c r="F996"/>
      <c r="G996"/>
      <c r="H996" s="1"/>
      <c r="K996" s="3"/>
    </row>
    <row r="997" spans="1:11">
      <c r="A997"/>
      <c r="B997"/>
      <c r="C997" s="1"/>
      <c r="D997" s="1"/>
      <c r="E997" s="1"/>
      <c r="F997"/>
      <c r="G997"/>
      <c r="H997" s="1"/>
      <c r="K997" s="3"/>
    </row>
    <row r="998" spans="1:11">
      <c r="A998"/>
      <c r="B998"/>
      <c r="C998" s="1"/>
      <c r="D998" s="1"/>
      <c r="E998" s="1"/>
      <c r="F998"/>
      <c r="G998"/>
      <c r="H998" s="1"/>
      <c r="K998" s="3">
        <f>K984+10</f>
        <v>710</v>
      </c>
    </row>
    <row r="999" spans="1:11">
      <c r="A999"/>
      <c r="B999"/>
      <c r="C999" s="1"/>
      <c r="D999" s="1"/>
      <c r="E999" s="1"/>
      <c r="F999"/>
      <c r="G999"/>
      <c r="H999" s="1"/>
      <c r="K999" s="3">
        <f>K998</f>
        <v>710</v>
      </c>
    </row>
    <row r="1000" spans="1:11">
      <c r="A1000"/>
      <c r="B1000"/>
      <c r="C1000" s="1"/>
      <c r="D1000" s="1"/>
      <c r="E1000" s="1"/>
      <c r="F1000"/>
      <c r="G1000"/>
      <c r="H1000" s="1"/>
      <c r="K1000" s="3">
        <f>K999+1</f>
        <v>711</v>
      </c>
    </row>
    <row r="1001" spans="1:11">
      <c r="A1001"/>
      <c r="B1001"/>
      <c r="C1001" s="1"/>
      <c r="D1001" s="1"/>
      <c r="E1001" s="1"/>
      <c r="F1001"/>
      <c r="G1001"/>
      <c r="H1001" s="1"/>
      <c r="K1001" s="3">
        <f t="shared" ref="K1001:K1008" si="130">K1000+1</f>
        <v>712</v>
      </c>
    </row>
    <row r="1002" spans="1:11">
      <c r="A1002"/>
      <c r="B1002"/>
      <c r="C1002" s="1"/>
      <c r="D1002" s="1"/>
      <c r="E1002" s="1"/>
      <c r="F1002"/>
      <c r="G1002"/>
      <c r="H1002" s="1"/>
      <c r="K1002" s="3">
        <f t="shared" si="130"/>
        <v>713</v>
      </c>
    </row>
    <row r="1003" spans="1:11">
      <c r="A1003"/>
      <c r="B1003"/>
      <c r="C1003" s="1"/>
      <c r="D1003" s="1"/>
      <c r="E1003" s="1"/>
      <c r="F1003"/>
      <c r="G1003"/>
      <c r="H1003" s="1"/>
      <c r="K1003" s="3">
        <f t="shared" si="130"/>
        <v>714</v>
      </c>
    </row>
    <row r="1004" spans="1:11">
      <c r="A1004"/>
      <c r="B1004"/>
      <c r="C1004" s="1"/>
      <c r="D1004" s="1"/>
      <c r="E1004" s="1"/>
      <c r="F1004"/>
      <c r="G1004"/>
      <c r="H1004" s="1"/>
      <c r="K1004" s="3">
        <f t="shared" si="130"/>
        <v>715</v>
      </c>
    </row>
    <row r="1005" spans="1:11">
      <c r="A1005"/>
      <c r="B1005"/>
      <c r="C1005" s="1"/>
      <c r="D1005" s="1"/>
      <c r="E1005" s="1"/>
      <c r="F1005"/>
      <c r="G1005"/>
      <c r="H1005" s="1"/>
      <c r="K1005" s="3">
        <f t="shared" si="130"/>
        <v>716</v>
      </c>
    </row>
    <row r="1006" spans="1:11">
      <c r="A1006"/>
      <c r="B1006"/>
      <c r="C1006" s="1"/>
      <c r="D1006" s="1"/>
      <c r="E1006" s="1"/>
      <c r="F1006"/>
      <c r="G1006"/>
      <c r="H1006" s="1"/>
      <c r="K1006" s="3">
        <f t="shared" si="130"/>
        <v>717</v>
      </c>
    </row>
    <row r="1007" spans="1:11">
      <c r="A1007"/>
      <c r="B1007"/>
      <c r="C1007" s="1"/>
      <c r="D1007" s="1"/>
      <c r="E1007" s="1"/>
      <c r="F1007"/>
      <c r="G1007"/>
      <c r="H1007" s="1"/>
      <c r="K1007" s="3">
        <f t="shared" si="130"/>
        <v>718</v>
      </c>
    </row>
    <row r="1008" spans="1:11">
      <c r="A1008"/>
      <c r="B1008"/>
      <c r="C1008" s="1"/>
      <c r="D1008" s="1"/>
      <c r="E1008" s="1"/>
      <c r="F1008"/>
      <c r="G1008"/>
      <c r="H1008" s="1"/>
      <c r="K1008" s="3">
        <f t="shared" si="130"/>
        <v>719</v>
      </c>
    </row>
    <row r="1009" spans="1:11">
      <c r="A1009"/>
      <c r="B1009"/>
      <c r="C1009" s="1"/>
      <c r="D1009" s="1"/>
      <c r="E1009" s="1"/>
      <c r="F1009"/>
      <c r="G1009"/>
      <c r="H1009" s="1"/>
      <c r="K1009" s="3"/>
    </row>
    <row r="1010" spans="1:11">
      <c r="A1010"/>
      <c r="B1010"/>
      <c r="C1010" s="1"/>
      <c r="D1010" s="1"/>
      <c r="E1010" s="1"/>
      <c r="F1010"/>
      <c r="G1010"/>
      <c r="H1010" s="1"/>
      <c r="K1010" s="3"/>
    </row>
    <row r="1011" spans="1:11">
      <c r="A1011"/>
      <c r="B1011"/>
      <c r="C1011" s="1"/>
      <c r="D1011" s="1"/>
      <c r="E1011" s="1"/>
      <c r="F1011"/>
      <c r="G1011"/>
      <c r="H1011" s="1"/>
      <c r="K1011" s="3"/>
    </row>
    <row r="1012" spans="1:11">
      <c r="A1012"/>
      <c r="B1012"/>
      <c r="C1012" s="1"/>
      <c r="D1012" s="1"/>
      <c r="E1012" s="1"/>
      <c r="F1012"/>
      <c r="G1012"/>
      <c r="H1012" s="1"/>
      <c r="K1012" s="3">
        <f>K998+10</f>
        <v>720</v>
      </c>
    </row>
    <row r="1013" spans="1:11">
      <c r="A1013"/>
      <c r="B1013"/>
      <c r="C1013" s="1"/>
      <c r="D1013" s="1"/>
      <c r="E1013" s="1"/>
      <c r="F1013"/>
      <c r="G1013"/>
      <c r="H1013" s="1"/>
      <c r="K1013" s="3">
        <f>K1012</f>
        <v>720</v>
      </c>
    </row>
    <row r="1014" spans="1:11">
      <c r="A1014"/>
      <c r="B1014"/>
      <c r="C1014" s="1"/>
      <c r="D1014" s="1"/>
      <c r="E1014" s="1"/>
      <c r="F1014"/>
      <c r="G1014"/>
      <c r="H1014" s="1"/>
      <c r="K1014" s="3">
        <f>K1013+1</f>
        <v>721</v>
      </c>
    </row>
    <row r="1015" spans="1:11">
      <c r="A1015"/>
      <c r="B1015"/>
      <c r="C1015" s="1"/>
      <c r="D1015" s="1"/>
      <c r="E1015" s="1"/>
      <c r="F1015"/>
      <c r="G1015"/>
      <c r="H1015" s="1"/>
      <c r="K1015" s="3">
        <f t="shared" ref="K1015:K1022" si="131">K1014+1</f>
        <v>722</v>
      </c>
    </row>
    <row r="1016" spans="1:11">
      <c r="A1016"/>
      <c r="B1016"/>
      <c r="C1016" s="1"/>
      <c r="D1016" s="1"/>
      <c r="E1016" s="1"/>
      <c r="F1016"/>
      <c r="G1016"/>
      <c r="H1016" s="1"/>
      <c r="K1016" s="3">
        <f t="shared" si="131"/>
        <v>723</v>
      </c>
    </row>
    <row r="1017" spans="1:11">
      <c r="A1017"/>
      <c r="B1017"/>
      <c r="C1017" s="1"/>
      <c r="D1017" s="1"/>
      <c r="E1017" s="1"/>
      <c r="F1017"/>
      <c r="G1017"/>
      <c r="H1017" s="1"/>
      <c r="K1017" s="3">
        <f t="shared" si="131"/>
        <v>724</v>
      </c>
    </row>
    <row r="1018" spans="1:11">
      <c r="A1018"/>
      <c r="B1018"/>
      <c r="C1018" s="1"/>
      <c r="D1018" s="1"/>
      <c r="E1018" s="1"/>
      <c r="F1018"/>
      <c r="G1018"/>
      <c r="H1018" s="1"/>
      <c r="K1018" s="3">
        <f t="shared" si="131"/>
        <v>725</v>
      </c>
    </row>
    <row r="1019" spans="1:11">
      <c r="A1019"/>
      <c r="B1019"/>
      <c r="C1019" s="1"/>
      <c r="D1019" s="1"/>
      <c r="E1019" s="1"/>
      <c r="F1019"/>
      <c r="G1019"/>
      <c r="H1019" s="1"/>
      <c r="K1019" s="3">
        <f t="shared" si="131"/>
        <v>726</v>
      </c>
    </row>
    <row r="1020" spans="1:11">
      <c r="A1020"/>
      <c r="B1020"/>
      <c r="C1020" s="1"/>
      <c r="D1020" s="1"/>
      <c r="E1020" s="1"/>
      <c r="F1020"/>
      <c r="G1020"/>
      <c r="H1020" s="1"/>
      <c r="K1020" s="3">
        <f t="shared" si="131"/>
        <v>727</v>
      </c>
    </row>
    <row r="1021" spans="1:11">
      <c r="A1021"/>
      <c r="B1021"/>
      <c r="C1021" s="1"/>
      <c r="D1021" s="1"/>
      <c r="E1021" s="1"/>
      <c r="F1021"/>
      <c r="G1021"/>
      <c r="H1021" s="1"/>
      <c r="K1021" s="3">
        <f t="shared" si="131"/>
        <v>728</v>
      </c>
    </row>
    <row r="1022" spans="1:11">
      <c r="A1022"/>
      <c r="B1022"/>
      <c r="C1022" s="1"/>
      <c r="D1022" s="1"/>
      <c r="E1022" s="1"/>
      <c r="F1022"/>
      <c r="G1022"/>
      <c r="H1022" s="1"/>
      <c r="K1022" s="3">
        <f t="shared" si="131"/>
        <v>729</v>
      </c>
    </row>
    <row r="1023" spans="1:11">
      <c r="A1023"/>
      <c r="B1023"/>
      <c r="C1023" s="1"/>
      <c r="D1023" s="1"/>
      <c r="E1023" s="1"/>
      <c r="F1023"/>
      <c r="G1023"/>
      <c r="H1023" s="1"/>
      <c r="K1023" s="3"/>
    </row>
    <row r="1024" spans="1:11">
      <c r="A1024"/>
      <c r="B1024"/>
      <c r="C1024" s="1"/>
      <c r="D1024" s="1"/>
      <c r="E1024" s="1"/>
      <c r="F1024"/>
      <c r="G1024"/>
      <c r="H1024" s="1"/>
      <c r="K1024" s="3"/>
    </row>
    <row r="1025" spans="1:11">
      <c r="A1025"/>
      <c r="B1025"/>
      <c r="C1025" s="1"/>
      <c r="D1025" s="1"/>
      <c r="E1025" s="1"/>
      <c r="F1025"/>
      <c r="G1025"/>
      <c r="H1025" s="1"/>
      <c r="K1025" s="3"/>
    </row>
    <row r="1026" spans="1:11">
      <c r="A1026"/>
      <c r="B1026"/>
      <c r="C1026" s="1"/>
      <c r="D1026" s="1"/>
      <c r="E1026" s="1"/>
      <c r="F1026"/>
      <c r="G1026"/>
      <c r="H1026" s="1"/>
      <c r="K1026" s="3">
        <f>K1012+10</f>
        <v>730</v>
      </c>
    </row>
    <row r="1027" spans="1:11">
      <c r="A1027"/>
      <c r="B1027"/>
      <c r="C1027" s="1"/>
      <c r="D1027" s="1"/>
      <c r="E1027" s="1"/>
      <c r="F1027"/>
      <c r="G1027"/>
      <c r="H1027" s="1"/>
      <c r="K1027" s="3">
        <f>K1026</f>
        <v>730</v>
      </c>
    </row>
    <row r="1028" spans="1:11">
      <c r="A1028"/>
      <c r="B1028"/>
      <c r="C1028" s="1"/>
      <c r="D1028" s="1"/>
      <c r="E1028" s="1"/>
      <c r="F1028"/>
      <c r="G1028"/>
      <c r="H1028" s="1"/>
      <c r="K1028" s="3">
        <f>K1027+1</f>
        <v>731</v>
      </c>
    </row>
    <row r="1029" spans="1:11">
      <c r="A1029"/>
      <c r="B1029"/>
      <c r="C1029" s="1"/>
      <c r="D1029" s="1"/>
      <c r="E1029" s="1"/>
      <c r="F1029"/>
      <c r="G1029"/>
      <c r="H1029" s="1"/>
      <c r="K1029" s="3">
        <f t="shared" ref="K1029:K1036" si="132">K1028+1</f>
        <v>732</v>
      </c>
    </row>
    <row r="1030" spans="1:11">
      <c r="A1030"/>
      <c r="B1030"/>
      <c r="C1030" s="1"/>
      <c r="D1030" s="1"/>
      <c r="E1030" s="1"/>
      <c r="F1030"/>
      <c r="G1030"/>
      <c r="H1030" s="1"/>
      <c r="K1030" s="3">
        <f t="shared" si="132"/>
        <v>733</v>
      </c>
    </row>
    <row r="1031" spans="1:11">
      <c r="A1031"/>
      <c r="B1031"/>
      <c r="C1031" s="1"/>
      <c r="D1031" s="1"/>
      <c r="E1031" s="1"/>
      <c r="F1031"/>
      <c r="G1031"/>
      <c r="H1031" s="1"/>
      <c r="K1031" s="3">
        <f t="shared" si="132"/>
        <v>734</v>
      </c>
    </row>
    <row r="1032" spans="1:11">
      <c r="A1032"/>
      <c r="B1032"/>
      <c r="C1032" s="1"/>
      <c r="D1032" s="1"/>
      <c r="E1032" s="1"/>
      <c r="F1032"/>
      <c r="G1032"/>
      <c r="H1032" s="1"/>
      <c r="K1032" s="3">
        <f t="shared" si="132"/>
        <v>735</v>
      </c>
    </row>
    <row r="1033" spans="1:11">
      <c r="A1033"/>
      <c r="B1033"/>
      <c r="C1033" s="1"/>
      <c r="D1033" s="1"/>
      <c r="E1033" s="1"/>
      <c r="F1033"/>
      <c r="G1033"/>
      <c r="H1033" s="1"/>
      <c r="K1033" s="3">
        <f t="shared" si="132"/>
        <v>736</v>
      </c>
    </row>
    <row r="1034" spans="1:11">
      <c r="A1034"/>
      <c r="B1034"/>
      <c r="C1034" s="1"/>
      <c r="D1034" s="1"/>
      <c r="E1034" s="1"/>
      <c r="F1034"/>
      <c r="G1034"/>
      <c r="H1034" s="1"/>
      <c r="K1034" s="3">
        <f t="shared" si="132"/>
        <v>737</v>
      </c>
    </row>
    <row r="1035" spans="1:11">
      <c r="A1035"/>
      <c r="B1035"/>
      <c r="C1035" s="1"/>
      <c r="D1035" s="1"/>
      <c r="E1035" s="1"/>
      <c r="F1035"/>
      <c r="G1035"/>
      <c r="H1035" s="1"/>
      <c r="K1035" s="3">
        <f t="shared" si="132"/>
        <v>738</v>
      </c>
    </row>
    <row r="1036" spans="1:11">
      <c r="A1036"/>
      <c r="B1036"/>
      <c r="C1036" s="1"/>
      <c r="D1036" s="1"/>
      <c r="E1036" s="1"/>
      <c r="F1036"/>
      <c r="G1036"/>
      <c r="H1036" s="1"/>
      <c r="K1036" s="3">
        <f t="shared" si="132"/>
        <v>739</v>
      </c>
    </row>
    <row r="1037" spans="1:11">
      <c r="A1037"/>
      <c r="B1037"/>
      <c r="C1037" s="1"/>
      <c r="D1037" s="1"/>
      <c r="E1037" s="1"/>
      <c r="F1037"/>
      <c r="G1037"/>
      <c r="H1037" s="1"/>
      <c r="K1037" s="3"/>
    </row>
    <row r="1038" spans="1:11">
      <c r="A1038"/>
      <c r="B1038"/>
      <c r="C1038" s="1"/>
      <c r="D1038" s="1"/>
      <c r="E1038" s="1"/>
      <c r="F1038"/>
      <c r="G1038"/>
      <c r="H1038" s="1"/>
      <c r="K1038" s="3"/>
    </row>
    <row r="1039" spans="1:11">
      <c r="A1039"/>
      <c r="B1039"/>
      <c r="K1039" s="3"/>
    </row>
    <row r="1040" spans="1:11">
      <c r="A1040"/>
      <c r="B1040"/>
      <c r="K1040" s="3">
        <f>K1026+10</f>
        <v>740</v>
      </c>
    </row>
    <row r="1041" spans="1:11">
      <c r="A1041"/>
      <c r="B1041"/>
      <c r="K1041" s="3">
        <f>K1040</f>
        <v>740</v>
      </c>
    </row>
    <row r="1042" spans="1:11">
      <c r="A1042"/>
      <c r="B1042"/>
      <c r="K1042" s="3">
        <f>K1041+1</f>
        <v>741</v>
      </c>
    </row>
    <row r="1043" spans="1:11">
      <c r="A1043"/>
      <c r="B1043"/>
      <c r="K1043" s="3">
        <f t="shared" ref="K1043:K1050" si="133">K1042+1</f>
        <v>742</v>
      </c>
    </row>
    <row r="1044" spans="1:11">
      <c r="A1044"/>
      <c r="B1044"/>
      <c r="K1044" s="3">
        <f t="shared" si="133"/>
        <v>743</v>
      </c>
    </row>
    <row r="1045" spans="1:11">
      <c r="A1045"/>
      <c r="B1045"/>
      <c r="K1045" s="3">
        <f t="shared" si="133"/>
        <v>744</v>
      </c>
    </row>
    <row r="1046" spans="1:11">
      <c r="A1046"/>
      <c r="B1046"/>
      <c r="K1046" s="3">
        <f t="shared" si="133"/>
        <v>745</v>
      </c>
    </row>
    <row r="1047" spans="1:11">
      <c r="A1047"/>
      <c r="B1047"/>
      <c r="K1047" s="3">
        <f t="shared" si="133"/>
        <v>746</v>
      </c>
    </row>
    <row r="1048" spans="1:11">
      <c r="A1048"/>
      <c r="B1048"/>
      <c r="K1048" s="3">
        <f t="shared" si="133"/>
        <v>747</v>
      </c>
    </row>
    <row r="1049" spans="1:11">
      <c r="A1049"/>
      <c r="B1049"/>
      <c r="K1049" s="3">
        <f t="shared" si="133"/>
        <v>748</v>
      </c>
    </row>
    <row r="1050" spans="1:11">
      <c r="A1050"/>
      <c r="B1050"/>
      <c r="K1050" s="3">
        <f t="shared" si="133"/>
        <v>749</v>
      </c>
    </row>
    <row r="1051" spans="1:11">
      <c r="A1051"/>
      <c r="B1051"/>
      <c r="K1051" s="3"/>
    </row>
    <row r="1052" spans="1:11">
      <c r="A1052"/>
      <c r="B1052"/>
      <c r="K1052" s="3"/>
    </row>
    <row r="1053" spans="1:11">
      <c r="A1053"/>
      <c r="B1053"/>
      <c r="K1053" s="3"/>
    </row>
    <row r="1054" spans="1:11">
      <c r="A1054"/>
      <c r="B1054"/>
      <c r="K1054" s="3">
        <f>K1040+10</f>
        <v>750</v>
      </c>
    </row>
    <row r="1055" spans="1:11">
      <c r="A1055"/>
      <c r="B1055"/>
      <c r="K1055" s="3">
        <f>K1054</f>
        <v>750</v>
      </c>
    </row>
    <row r="1056" spans="1:11">
      <c r="A1056"/>
      <c r="B1056"/>
      <c r="K1056" s="3">
        <f>K1055+1</f>
        <v>751</v>
      </c>
    </row>
    <row r="1057" spans="1:11">
      <c r="A1057"/>
      <c r="B1057"/>
      <c r="K1057" s="3">
        <f t="shared" ref="K1057:K1064" si="134">K1056+1</f>
        <v>752</v>
      </c>
    </row>
    <row r="1058" spans="1:11">
      <c r="A1058"/>
      <c r="B1058"/>
      <c r="K1058" s="3">
        <f t="shared" si="134"/>
        <v>753</v>
      </c>
    </row>
    <row r="1059" spans="1:11">
      <c r="A1059"/>
      <c r="B1059"/>
      <c r="K1059" s="3">
        <f t="shared" si="134"/>
        <v>754</v>
      </c>
    </row>
    <row r="1060" spans="1:11">
      <c r="A1060"/>
      <c r="B1060"/>
      <c r="K1060" s="3">
        <f t="shared" si="134"/>
        <v>755</v>
      </c>
    </row>
    <row r="1061" spans="1:11">
      <c r="A1061"/>
      <c r="B1061"/>
      <c r="K1061" s="3">
        <f t="shared" si="134"/>
        <v>756</v>
      </c>
    </row>
    <row r="1062" spans="1:11">
      <c r="A1062"/>
      <c r="B1062"/>
      <c r="K1062" s="3">
        <f t="shared" si="134"/>
        <v>757</v>
      </c>
    </row>
    <row r="1063" spans="1:11">
      <c r="A1063"/>
      <c r="B1063"/>
      <c r="K1063" s="3">
        <f t="shared" si="134"/>
        <v>758</v>
      </c>
    </row>
    <row r="1064" spans="1:11">
      <c r="A1064"/>
      <c r="B1064"/>
      <c r="K1064" s="3">
        <f t="shared" si="134"/>
        <v>759</v>
      </c>
    </row>
    <row r="1065" spans="1:11">
      <c r="A1065"/>
      <c r="B1065"/>
      <c r="K1065" s="3"/>
    </row>
    <row r="1066" spans="1:11">
      <c r="A1066"/>
      <c r="B1066"/>
      <c r="K1066" s="3"/>
    </row>
    <row r="1067" spans="1:11">
      <c r="A1067"/>
      <c r="B1067"/>
      <c r="K1067" s="3"/>
    </row>
    <row r="1068" spans="1:11">
      <c r="A1068"/>
      <c r="B1068"/>
      <c r="K1068" s="3">
        <f>K1054+10</f>
        <v>760</v>
      </c>
    </row>
    <row r="1069" spans="1:11">
      <c r="A1069"/>
      <c r="B1069"/>
      <c r="K1069" s="3">
        <f>K1068</f>
        <v>760</v>
      </c>
    </row>
    <row r="1070" spans="1:11">
      <c r="A1070"/>
      <c r="B1070"/>
      <c r="K1070" s="3">
        <f>K1069+1</f>
        <v>761</v>
      </c>
    </row>
    <row r="1071" spans="1:11">
      <c r="A1071"/>
      <c r="B1071"/>
      <c r="K1071" s="3">
        <f t="shared" ref="K1071:K1078" si="135">K1070+1</f>
        <v>762</v>
      </c>
    </row>
    <row r="1072" spans="1:11">
      <c r="A1072"/>
      <c r="B1072"/>
      <c r="K1072" s="3">
        <f t="shared" si="135"/>
        <v>763</v>
      </c>
    </row>
    <row r="1073" spans="1:11">
      <c r="A1073"/>
      <c r="B1073"/>
      <c r="K1073" s="3">
        <f t="shared" si="135"/>
        <v>764</v>
      </c>
    </row>
    <row r="1074" spans="1:11">
      <c r="A1074"/>
      <c r="B1074"/>
      <c r="K1074" s="3">
        <f t="shared" si="135"/>
        <v>765</v>
      </c>
    </row>
    <row r="1075" spans="1:11">
      <c r="A1075"/>
      <c r="B1075"/>
      <c r="K1075" s="3">
        <f t="shared" si="135"/>
        <v>766</v>
      </c>
    </row>
    <row r="1076" spans="1:11">
      <c r="A1076"/>
      <c r="B1076"/>
      <c r="K1076" s="3">
        <f t="shared" si="135"/>
        <v>767</v>
      </c>
    </row>
    <row r="1077" spans="1:11">
      <c r="A1077"/>
      <c r="B1077"/>
      <c r="K1077" s="3">
        <f t="shared" si="135"/>
        <v>768</v>
      </c>
    </row>
    <row r="1078" spans="1:11">
      <c r="A1078"/>
      <c r="B1078"/>
      <c r="K1078" s="3">
        <f t="shared" si="135"/>
        <v>769</v>
      </c>
    </row>
    <row r="1079" spans="1:11">
      <c r="A1079"/>
      <c r="B1079"/>
      <c r="K1079" s="3"/>
    </row>
    <row r="1080" spans="1:11">
      <c r="A1080"/>
      <c r="B1080"/>
      <c r="K1080" s="3"/>
    </row>
    <row r="1081" spans="1:11">
      <c r="A1081"/>
      <c r="B1081"/>
      <c r="K1081" s="3"/>
    </row>
    <row r="1082" spans="1:11">
      <c r="A1082"/>
      <c r="B1082"/>
      <c r="K1082" s="3">
        <f>K1068+10</f>
        <v>770</v>
      </c>
    </row>
    <row r="1083" spans="1:11">
      <c r="A1083"/>
      <c r="B1083"/>
      <c r="K1083" s="3">
        <f>K1082</f>
        <v>770</v>
      </c>
    </row>
    <row r="1084" spans="1:11">
      <c r="A1084"/>
      <c r="B1084"/>
      <c r="K1084" s="3">
        <f>K1083+1</f>
        <v>771</v>
      </c>
    </row>
    <row r="1085" spans="1:11">
      <c r="A1085"/>
      <c r="B1085"/>
      <c r="K1085" s="3">
        <f t="shared" ref="K1085:K1092" si="136">K1084+1</f>
        <v>772</v>
      </c>
    </row>
    <row r="1086" spans="1:11">
      <c r="A1086"/>
      <c r="B1086"/>
      <c r="K1086" s="3">
        <f t="shared" si="136"/>
        <v>773</v>
      </c>
    </row>
    <row r="1087" spans="1:11">
      <c r="A1087"/>
      <c r="B1087"/>
      <c r="K1087" s="3">
        <f t="shared" si="136"/>
        <v>774</v>
      </c>
    </row>
    <row r="1088" spans="1:11">
      <c r="A1088"/>
      <c r="B1088"/>
      <c r="K1088" s="3">
        <f t="shared" si="136"/>
        <v>775</v>
      </c>
    </row>
    <row r="1089" spans="1:11">
      <c r="A1089"/>
      <c r="B1089"/>
      <c r="K1089" s="3">
        <f t="shared" si="136"/>
        <v>776</v>
      </c>
    </row>
    <row r="1090" spans="1:11">
      <c r="A1090"/>
      <c r="B1090"/>
      <c r="K1090" s="3">
        <f t="shared" si="136"/>
        <v>777</v>
      </c>
    </row>
    <row r="1091" spans="1:11">
      <c r="A1091"/>
      <c r="B1091"/>
      <c r="K1091" s="3">
        <f t="shared" si="136"/>
        <v>778</v>
      </c>
    </row>
    <row r="1092" spans="1:11">
      <c r="A1092"/>
      <c r="B1092"/>
      <c r="K1092" s="3">
        <f t="shared" si="136"/>
        <v>779</v>
      </c>
    </row>
    <row r="1093" spans="1:11">
      <c r="A1093"/>
      <c r="B1093"/>
      <c r="K1093" s="3"/>
    </row>
    <row r="1094" spans="1:11">
      <c r="A1094"/>
      <c r="B1094"/>
      <c r="K1094" s="3"/>
    </row>
    <row r="1095" spans="1:11">
      <c r="A1095"/>
      <c r="B1095"/>
      <c r="K1095" s="3"/>
    </row>
    <row r="1096" spans="1:11">
      <c r="A1096"/>
      <c r="B1096"/>
      <c r="K1096" s="3">
        <f>K1082+10</f>
        <v>780</v>
      </c>
    </row>
    <row r="1097" spans="1:11">
      <c r="A1097"/>
      <c r="B1097"/>
      <c r="K1097" s="3">
        <f>K1096</f>
        <v>780</v>
      </c>
    </row>
    <row r="1098" spans="1:11">
      <c r="A1098"/>
      <c r="B1098"/>
      <c r="K1098" s="3">
        <f>K1097+1</f>
        <v>781</v>
      </c>
    </row>
    <row r="1099" spans="1:11">
      <c r="A1099"/>
      <c r="B1099"/>
      <c r="K1099" s="3">
        <f t="shared" ref="K1099:K1106" si="137">K1098+1</f>
        <v>782</v>
      </c>
    </row>
    <row r="1100" spans="1:11">
      <c r="A1100"/>
      <c r="B1100"/>
      <c r="K1100" s="3">
        <f t="shared" si="137"/>
        <v>783</v>
      </c>
    </row>
    <row r="1101" spans="1:11">
      <c r="A1101"/>
      <c r="B1101"/>
      <c r="K1101" s="3">
        <f t="shared" si="137"/>
        <v>784</v>
      </c>
    </row>
    <row r="1102" spans="1:11">
      <c r="A1102"/>
      <c r="B1102"/>
      <c r="K1102" s="3">
        <f t="shared" si="137"/>
        <v>785</v>
      </c>
    </row>
    <row r="1103" spans="1:11">
      <c r="A1103"/>
      <c r="B1103"/>
      <c r="K1103" s="3">
        <f t="shared" si="137"/>
        <v>786</v>
      </c>
    </row>
    <row r="1104" spans="1:11">
      <c r="A1104"/>
      <c r="B1104"/>
      <c r="K1104" s="3">
        <f t="shared" si="137"/>
        <v>787</v>
      </c>
    </row>
    <row r="1105" spans="1:11">
      <c r="A1105"/>
      <c r="B1105"/>
      <c r="K1105" s="3">
        <f t="shared" si="137"/>
        <v>788</v>
      </c>
    </row>
    <row r="1106" spans="1:11">
      <c r="A1106"/>
      <c r="B1106"/>
      <c r="K1106" s="3">
        <f t="shared" si="137"/>
        <v>789</v>
      </c>
    </row>
    <row r="1107" spans="1:11">
      <c r="A1107"/>
      <c r="B1107"/>
      <c r="K1107" s="3"/>
    </row>
    <row r="1108" spans="1:11">
      <c r="A1108"/>
      <c r="B1108"/>
      <c r="K1108" s="3"/>
    </row>
    <row r="1109" spans="1:11">
      <c r="A1109"/>
      <c r="B1109"/>
      <c r="K1109" s="3"/>
    </row>
    <row r="1110" spans="1:11">
      <c r="A1110"/>
      <c r="B1110"/>
      <c r="K1110" s="3">
        <f>K1096+10</f>
        <v>790</v>
      </c>
    </row>
    <row r="1111" spans="1:11">
      <c r="A1111"/>
      <c r="B1111"/>
      <c r="K1111" s="3">
        <f>K1110</f>
        <v>790</v>
      </c>
    </row>
    <row r="1112" spans="1:11">
      <c r="A1112"/>
      <c r="B1112"/>
      <c r="K1112" s="3">
        <f>K1111+1</f>
        <v>791</v>
      </c>
    </row>
    <row r="1113" spans="1:11">
      <c r="A1113"/>
      <c r="B1113"/>
      <c r="K1113" s="3">
        <f t="shared" ref="K1113:K1120" si="138">K1112+1</f>
        <v>792</v>
      </c>
    </row>
    <row r="1114" spans="1:11">
      <c r="A1114"/>
      <c r="B1114"/>
      <c r="K1114" s="3">
        <f t="shared" si="138"/>
        <v>793</v>
      </c>
    </row>
    <row r="1115" spans="1:11">
      <c r="A1115"/>
      <c r="B1115"/>
      <c r="K1115" s="3">
        <f t="shared" si="138"/>
        <v>794</v>
      </c>
    </row>
    <row r="1116" spans="1:11">
      <c r="A1116"/>
      <c r="B1116"/>
      <c r="K1116" s="3">
        <f t="shared" si="138"/>
        <v>795</v>
      </c>
    </row>
    <row r="1117" spans="1:11">
      <c r="A1117"/>
      <c r="B1117"/>
      <c r="K1117" s="3">
        <f t="shared" si="138"/>
        <v>796</v>
      </c>
    </row>
    <row r="1118" spans="1:11">
      <c r="A1118"/>
      <c r="B1118"/>
      <c r="K1118" s="3">
        <f t="shared" si="138"/>
        <v>797</v>
      </c>
    </row>
    <row r="1119" spans="1:11">
      <c r="A1119"/>
      <c r="B1119"/>
      <c r="K1119" s="3">
        <f t="shared" si="138"/>
        <v>798</v>
      </c>
    </row>
    <row r="1120" spans="1:11">
      <c r="A1120"/>
      <c r="B1120"/>
      <c r="K1120" s="3">
        <f t="shared" si="138"/>
        <v>799</v>
      </c>
    </row>
    <row r="1121" spans="1:11">
      <c r="A1121"/>
      <c r="B1121"/>
      <c r="K1121" s="3"/>
    </row>
    <row r="1122" spans="1:11">
      <c r="A1122"/>
      <c r="B1122"/>
      <c r="K1122" s="3"/>
    </row>
    <row r="1123" spans="1:11">
      <c r="A1123"/>
      <c r="B1123"/>
      <c r="K1123" s="3"/>
    </row>
    <row r="1124" spans="1:11">
      <c r="A1124"/>
      <c r="B1124"/>
      <c r="K1124" s="3">
        <f>K1110+10</f>
        <v>800</v>
      </c>
    </row>
    <row r="1125" spans="1:11">
      <c r="A1125"/>
      <c r="B1125"/>
      <c r="K1125" s="3">
        <f>K1124</f>
        <v>800</v>
      </c>
    </row>
    <row r="1126" spans="1:11">
      <c r="A1126"/>
      <c r="B1126"/>
      <c r="K1126" s="3">
        <f>K1125+1</f>
        <v>801</v>
      </c>
    </row>
    <row r="1127" spans="1:11">
      <c r="A1127"/>
      <c r="B1127"/>
      <c r="K1127" s="3">
        <f t="shared" ref="K1127:K1134" si="139">K1126+1</f>
        <v>802</v>
      </c>
    </row>
    <row r="1128" spans="1:11">
      <c r="A1128"/>
      <c r="B1128"/>
      <c r="K1128" s="3">
        <f t="shared" si="139"/>
        <v>803</v>
      </c>
    </row>
    <row r="1129" spans="1:11">
      <c r="A1129"/>
      <c r="B1129"/>
      <c r="K1129" s="3">
        <f t="shared" si="139"/>
        <v>804</v>
      </c>
    </row>
    <row r="1130" spans="1:11">
      <c r="A1130"/>
      <c r="B1130"/>
      <c r="K1130" s="3">
        <f t="shared" si="139"/>
        <v>805</v>
      </c>
    </row>
    <row r="1131" spans="1:11">
      <c r="A1131"/>
      <c r="B1131"/>
      <c r="K1131" s="3">
        <f t="shared" si="139"/>
        <v>806</v>
      </c>
    </row>
    <row r="1132" spans="1:11">
      <c r="A1132"/>
      <c r="B1132"/>
      <c r="K1132" s="3">
        <f t="shared" si="139"/>
        <v>807</v>
      </c>
    </row>
    <row r="1133" spans="1:11">
      <c r="A1133"/>
      <c r="B1133"/>
      <c r="K1133" s="3">
        <f t="shared" si="139"/>
        <v>808</v>
      </c>
    </row>
    <row r="1134" spans="1:11">
      <c r="A1134"/>
      <c r="B1134"/>
      <c r="K1134" s="3">
        <f t="shared" si="139"/>
        <v>809</v>
      </c>
    </row>
    <row r="1135" spans="1:11">
      <c r="A1135"/>
      <c r="B1135"/>
      <c r="K1135" s="3"/>
    </row>
    <row r="1136" spans="1:11">
      <c r="A1136"/>
      <c r="B1136"/>
      <c r="K1136" s="3"/>
    </row>
    <row r="1137" spans="1:11">
      <c r="A1137"/>
      <c r="B1137"/>
      <c r="K1137" s="3"/>
    </row>
    <row r="1138" spans="1:11">
      <c r="A1138"/>
      <c r="B1138"/>
      <c r="K1138" s="3">
        <f>K1124+10</f>
        <v>810</v>
      </c>
    </row>
    <row r="1139" spans="1:11">
      <c r="A1139"/>
      <c r="B1139"/>
      <c r="K1139" s="3">
        <f>K1138</f>
        <v>810</v>
      </c>
    </row>
    <row r="1140" spans="1:11">
      <c r="A1140"/>
      <c r="B1140"/>
      <c r="K1140" s="3">
        <f>K1139+1</f>
        <v>811</v>
      </c>
    </row>
    <row r="1141" spans="1:11">
      <c r="A1141"/>
      <c r="B1141"/>
      <c r="K1141" s="3">
        <f t="shared" ref="K1141:K1148" si="140">K1140+1</f>
        <v>812</v>
      </c>
    </row>
    <row r="1142" spans="1:11">
      <c r="A1142"/>
      <c r="B1142"/>
      <c r="K1142" s="3">
        <f t="shared" si="140"/>
        <v>813</v>
      </c>
    </row>
    <row r="1143" spans="1:11">
      <c r="A1143"/>
      <c r="B1143"/>
      <c r="K1143" s="3">
        <f t="shared" si="140"/>
        <v>814</v>
      </c>
    </row>
    <row r="1144" spans="1:11">
      <c r="A1144"/>
      <c r="B1144"/>
      <c r="K1144" s="3">
        <f t="shared" si="140"/>
        <v>815</v>
      </c>
    </row>
    <row r="1145" spans="1:11">
      <c r="A1145"/>
      <c r="B1145"/>
      <c r="K1145" s="3">
        <f t="shared" si="140"/>
        <v>816</v>
      </c>
    </row>
    <row r="1146" spans="1:11">
      <c r="A1146"/>
      <c r="B1146"/>
      <c r="K1146" s="3">
        <f t="shared" si="140"/>
        <v>817</v>
      </c>
    </row>
    <row r="1147" spans="1:11">
      <c r="A1147"/>
      <c r="B1147"/>
      <c r="K1147" s="3">
        <f t="shared" si="140"/>
        <v>818</v>
      </c>
    </row>
    <row r="1148" spans="1:11">
      <c r="A1148"/>
      <c r="B1148"/>
      <c r="K1148" s="3">
        <f t="shared" si="140"/>
        <v>819</v>
      </c>
    </row>
    <row r="1149" spans="1:11">
      <c r="A1149"/>
      <c r="B1149"/>
      <c r="K1149" s="3"/>
    </row>
    <row r="1150" spans="1:11">
      <c r="A1150"/>
      <c r="B1150"/>
      <c r="K1150" s="3"/>
    </row>
    <row r="1151" spans="1:11">
      <c r="A1151"/>
      <c r="B1151"/>
      <c r="K1151" s="3"/>
    </row>
    <row r="1152" spans="1:11">
      <c r="A1152"/>
      <c r="B1152"/>
      <c r="K1152" s="3">
        <f>K1138+10</f>
        <v>820</v>
      </c>
    </row>
    <row r="1153" spans="1:11">
      <c r="A1153"/>
      <c r="B1153"/>
      <c r="K1153" s="3">
        <f>K1152</f>
        <v>820</v>
      </c>
    </row>
    <row r="1154" spans="1:11">
      <c r="A1154"/>
      <c r="B1154"/>
      <c r="K1154" s="3">
        <f>K1153+1</f>
        <v>821</v>
      </c>
    </row>
    <row r="1155" spans="1:11">
      <c r="A1155"/>
      <c r="B1155"/>
      <c r="K1155" s="3">
        <f t="shared" ref="K1155:K1162" si="141">K1154+1</f>
        <v>822</v>
      </c>
    </row>
    <row r="1156" spans="1:11">
      <c r="A1156"/>
      <c r="B1156"/>
      <c r="K1156" s="3">
        <f t="shared" si="141"/>
        <v>823</v>
      </c>
    </row>
    <row r="1157" spans="1:11">
      <c r="A1157"/>
      <c r="B1157"/>
      <c r="K1157" s="3">
        <f t="shared" si="141"/>
        <v>824</v>
      </c>
    </row>
    <row r="1158" spans="1:11">
      <c r="A1158"/>
      <c r="B1158"/>
      <c r="K1158" s="3">
        <f t="shared" si="141"/>
        <v>825</v>
      </c>
    </row>
    <row r="1159" spans="1:11">
      <c r="A1159"/>
      <c r="B1159"/>
      <c r="K1159" s="3">
        <f t="shared" si="141"/>
        <v>826</v>
      </c>
    </row>
    <row r="1160" spans="1:11">
      <c r="A1160"/>
      <c r="B1160"/>
      <c r="K1160" s="3">
        <f t="shared" si="141"/>
        <v>827</v>
      </c>
    </row>
    <row r="1161" spans="1:11">
      <c r="A1161"/>
      <c r="B1161"/>
      <c r="K1161" s="3">
        <f t="shared" si="141"/>
        <v>828</v>
      </c>
    </row>
    <row r="1162" spans="1:11">
      <c r="A1162"/>
      <c r="B1162"/>
      <c r="K1162" s="3">
        <f t="shared" si="141"/>
        <v>829</v>
      </c>
    </row>
    <row r="1163" spans="1:11">
      <c r="A1163"/>
      <c r="B1163"/>
      <c r="K1163" s="3"/>
    </row>
    <row r="1164" spans="1:11">
      <c r="A1164"/>
      <c r="B1164"/>
      <c r="K1164" s="3"/>
    </row>
    <row r="1165" spans="1:11">
      <c r="A1165"/>
      <c r="B1165"/>
      <c r="K1165" s="3"/>
    </row>
    <row r="1166" spans="1:11">
      <c r="A1166"/>
      <c r="B1166"/>
      <c r="K1166" s="3">
        <f>K1152+10</f>
        <v>830</v>
      </c>
    </row>
    <row r="1167" spans="1:11">
      <c r="A1167"/>
      <c r="B1167"/>
      <c r="K1167" s="3">
        <f>K1166</f>
        <v>830</v>
      </c>
    </row>
    <row r="1168" spans="1:11">
      <c r="A1168"/>
      <c r="B1168"/>
      <c r="K1168" s="3">
        <f>K1167+1</f>
        <v>831</v>
      </c>
    </row>
    <row r="1169" spans="1:11">
      <c r="A1169"/>
      <c r="B1169"/>
      <c r="K1169" s="3">
        <f t="shared" ref="K1169:K1176" si="142">K1168+1</f>
        <v>832</v>
      </c>
    </row>
    <row r="1170" spans="1:11">
      <c r="A1170"/>
      <c r="B1170"/>
      <c r="K1170" s="3">
        <f t="shared" si="142"/>
        <v>833</v>
      </c>
    </row>
    <row r="1171" spans="1:11">
      <c r="A1171"/>
      <c r="B1171"/>
      <c r="K1171" s="3">
        <f t="shared" si="142"/>
        <v>834</v>
      </c>
    </row>
    <row r="1172" spans="1:11">
      <c r="A1172"/>
      <c r="B1172"/>
      <c r="K1172" s="3">
        <f t="shared" si="142"/>
        <v>835</v>
      </c>
    </row>
    <row r="1173" spans="1:11">
      <c r="A1173"/>
      <c r="B1173"/>
      <c r="K1173" s="3">
        <f t="shared" si="142"/>
        <v>836</v>
      </c>
    </row>
    <row r="1174" spans="1:11">
      <c r="A1174"/>
      <c r="B1174"/>
      <c r="K1174" s="3">
        <f t="shared" si="142"/>
        <v>837</v>
      </c>
    </row>
    <row r="1175" spans="1:11">
      <c r="A1175"/>
      <c r="B1175"/>
      <c r="K1175" s="3">
        <f t="shared" si="142"/>
        <v>838</v>
      </c>
    </row>
    <row r="1176" spans="1:11">
      <c r="A1176"/>
      <c r="B1176"/>
      <c r="K1176" s="3">
        <f t="shared" si="142"/>
        <v>839</v>
      </c>
    </row>
    <row r="1177" spans="1:11">
      <c r="A1177"/>
      <c r="B1177"/>
      <c r="K1177" s="3"/>
    </row>
    <row r="1178" spans="1:11">
      <c r="A1178"/>
      <c r="B1178"/>
      <c r="K1178" s="3"/>
    </row>
    <row r="1179" spans="1:11">
      <c r="A1179"/>
      <c r="B1179"/>
      <c r="K1179" s="3"/>
    </row>
    <row r="1180" spans="1:11">
      <c r="A1180"/>
      <c r="B1180"/>
      <c r="K1180" s="3">
        <f>K1166+10</f>
        <v>840</v>
      </c>
    </row>
    <row r="1181" spans="1:11">
      <c r="A1181"/>
      <c r="B1181"/>
      <c r="K1181" s="3">
        <f>K1180</f>
        <v>840</v>
      </c>
    </row>
    <row r="1182" spans="1:11">
      <c r="A1182"/>
      <c r="B1182"/>
      <c r="K1182" s="3">
        <f>K1181+1</f>
        <v>841</v>
      </c>
    </row>
    <row r="1183" spans="1:11">
      <c r="A1183"/>
      <c r="B1183"/>
      <c r="K1183" s="3">
        <f t="shared" ref="K1183:K1190" si="143">K1182+1</f>
        <v>842</v>
      </c>
    </row>
    <row r="1184" spans="1:11">
      <c r="A1184"/>
      <c r="B1184"/>
      <c r="K1184" s="3">
        <f t="shared" si="143"/>
        <v>843</v>
      </c>
    </row>
    <row r="1185" spans="1:11">
      <c r="A1185"/>
      <c r="B1185"/>
      <c r="K1185" s="3">
        <f t="shared" si="143"/>
        <v>844</v>
      </c>
    </row>
    <row r="1186" spans="1:11">
      <c r="A1186"/>
      <c r="B1186"/>
      <c r="K1186" s="3">
        <f t="shared" si="143"/>
        <v>845</v>
      </c>
    </row>
    <row r="1187" spans="1:11">
      <c r="A1187"/>
      <c r="B1187"/>
      <c r="K1187" s="3">
        <f t="shared" si="143"/>
        <v>846</v>
      </c>
    </row>
    <row r="1188" spans="1:11">
      <c r="A1188"/>
      <c r="B1188"/>
      <c r="K1188" s="3">
        <f t="shared" si="143"/>
        <v>847</v>
      </c>
    </row>
    <row r="1189" spans="1:11">
      <c r="A1189"/>
      <c r="B1189"/>
      <c r="K1189" s="3">
        <f t="shared" si="143"/>
        <v>848</v>
      </c>
    </row>
    <row r="1190" spans="1:11">
      <c r="A1190"/>
      <c r="B1190"/>
      <c r="K1190" s="3">
        <f t="shared" si="143"/>
        <v>849</v>
      </c>
    </row>
    <row r="1191" spans="1:11">
      <c r="A1191"/>
      <c r="B1191"/>
      <c r="K1191" s="3"/>
    </row>
    <row r="1192" spans="1:11">
      <c r="A1192"/>
      <c r="B1192"/>
      <c r="K1192" s="3"/>
    </row>
    <row r="1193" spans="1:11">
      <c r="A1193"/>
      <c r="B1193"/>
      <c r="K1193" s="3"/>
    </row>
    <row r="1194" spans="1:11">
      <c r="A1194"/>
      <c r="B1194"/>
      <c r="K1194" s="3">
        <f>K1180+10</f>
        <v>850</v>
      </c>
    </row>
    <row r="1195" spans="1:11">
      <c r="A1195"/>
      <c r="B1195"/>
      <c r="K1195" s="3">
        <f>K1194</f>
        <v>850</v>
      </c>
    </row>
    <row r="1196" spans="1:11">
      <c r="A1196"/>
      <c r="B1196"/>
      <c r="K1196" s="3">
        <f>K1195+1</f>
        <v>851</v>
      </c>
    </row>
    <row r="1197" spans="1:11">
      <c r="A1197"/>
      <c r="B1197"/>
      <c r="K1197" s="3">
        <f t="shared" ref="K1197:K1204" si="144">K1196+1</f>
        <v>852</v>
      </c>
    </row>
    <row r="1198" spans="1:11">
      <c r="A1198"/>
      <c r="B1198"/>
      <c r="K1198" s="3">
        <f t="shared" si="144"/>
        <v>853</v>
      </c>
    </row>
    <row r="1199" spans="1:11">
      <c r="A1199"/>
      <c r="B1199"/>
      <c r="K1199" s="3">
        <f t="shared" si="144"/>
        <v>854</v>
      </c>
    </row>
    <row r="1200" spans="1:11">
      <c r="A1200"/>
      <c r="B1200"/>
      <c r="K1200" s="3">
        <f t="shared" si="144"/>
        <v>855</v>
      </c>
    </row>
    <row r="1201" spans="1:11">
      <c r="A1201"/>
      <c r="B1201"/>
      <c r="K1201" s="3">
        <f t="shared" si="144"/>
        <v>856</v>
      </c>
    </row>
    <row r="1202" spans="1:11">
      <c r="A1202"/>
      <c r="B1202"/>
      <c r="K1202" s="3">
        <f t="shared" si="144"/>
        <v>857</v>
      </c>
    </row>
    <row r="1203" spans="1:11">
      <c r="A1203"/>
      <c r="B1203"/>
      <c r="K1203" s="3">
        <f t="shared" si="144"/>
        <v>858</v>
      </c>
    </row>
    <row r="1204" spans="1:11">
      <c r="A1204"/>
      <c r="B1204"/>
      <c r="K1204" s="3">
        <f t="shared" si="144"/>
        <v>859</v>
      </c>
    </row>
    <row r="1205" spans="1:11">
      <c r="A1205"/>
      <c r="B1205"/>
      <c r="K1205" s="3"/>
    </row>
    <row r="1206" spans="1:11">
      <c r="A1206"/>
      <c r="B1206"/>
      <c r="K1206" s="3"/>
    </row>
    <row r="1207" spans="1:11">
      <c r="A1207"/>
      <c r="B1207"/>
      <c r="K1207" s="3"/>
    </row>
    <row r="1208" spans="1:11">
      <c r="A1208"/>
      <c r="B1208"/>
      <c r="K1208" s="3">
        <f>K1194+10</f>
        <v>860</v>
      </c>
    </row>
    <row r="1209" spans="1:11">
      <c r="A1209"/>
      <c r="B1209"/>
      <c r="K1209" s="3">
        <f>K1208</f>
        <v>860</v>
      </c>
    </row>
    <row r="1210" spans="1:11">
      <c r="A1210"/>
      <c r="B1210"/>
      <c r="K1210" s="3">
        <f>K1209+1</f>
        <v>861</v>
      </c>
    </row>
    <row r="1211" spans="1:11">
      <c r="A1211"/>
      <c r="B1211"/>
      <c r="K1211" s="3">
        <f t="shared" ref="K1211:K1218" si="145">K1210+1</f>
        <v>862</v>
      </c>
    </row>
    <row r="1212" spans="1:11">
      <c r="A1212"/>
      <c r="B1212"/>
      <c r="K1212" s="3">
        <f t="shared" si="145"/>
        <v>863</v>
      </c>
    </row>
    <row r="1213" spans="1:11">
      <c r="A1213"/>
      <c r="B1213"/>
      <c r="K1213" s="3">
        <f t="shared" si="145"/>
        <v>864</v>
      </c>
    </row>
    <row r="1214" spans="1:11">
      <c r="A1214"/>
      <c r="B1214"/>
      <c r="K1214" s="3">
        <f t="shared" si="145"/>
        <v>865</v>
      </c>
    </row>
    <row r="1215" spans="1:11">
      <c r="A1215"/>
      <c r="B1215"/>
      <c r="K1215" s="3">
        <f t="shared" si="145"/>
        <v>866</v>
      </c>
    </row>
    <row r="1216" spans="1:11">
      <c r="A1216"/>
      <c r="B1216"/>
      <c r="K1216" s="3">
        <f t="shared" si="145"/>
        <v>867</v>
      </c>
    </row>
    <row r="1217" spans="1:11">
      <c r="A1217"/>
      <c r="B1217"/>
      <c r="K1217" s="3">
        <f t="shared" si="145"/>
        <v>868</v>
      </c>
    </row>
    <row r="1218" spans="1:11">
      <c r="A1218"/>
      <c r="B1218"/>
      <c r="K1218" s="3">
        <f t="shared" si="145"/>
        <v>869</v>
      </c>
    </row>
    <row r="1219" spans="1:11">
      <c r="A1219"/>
      <c r="B1219"/>
      <c r="K1219" s="3"/>
    </row>
    <row r="1220" spans="1:11">
      <c r="A1220"/>
      <c r="B1220"/>
      <c r="K1220" s="3"/>
    </row>
    <row r="1221" spans="1:11">
      <c r="A1221"/>
      <c r="B1221"/>
      <c r="K1221" s="3"/>
    </row>
    <row r="1222" spans="1:11">
      <c r="A1222"/>
      <c r="B1222"/>
      <c r="K1222" s="3">
        <f>K1208+10</f>
        <v>870</v>
      </c>
    </row>
    <row r="1223" spans="1:11">
      <c r="A1223"/>
      <c r="B1223"/>
      <c r="K1223" s="3">
        <f>K1222</f>
        <v>870</v>
      </c>
    </row>
    <row r="1224" spans="1:11">
      <c r="A1224"/>
      <c r="B1224"/>
      <c r="K1224" s="3">
        <f>K1223+1</f>
        <v>871</v>
      </c>
    </row>
    <row r="1225" spans="1:11">
      <c r="A1225"/>
      <c r="B1225"/>
      <c r="K1225" s="3">
        <f t="shared" ref="K1225:K1232" si="146">K1224+1</f>
        <v>872</v>
      </c>
    </row>
    <row r="1226" spans="1:11">
      <c r="A1226"/>
      <c r="B1226"/>
      <c r="K1226" s="3">
        <f t="shared" si="146"/>
        <v>873</v>
      </c>
    </row>
    <row r="1227" spans="1:11">
      <c r="A1227"/>
      <c r="B1227"/>
      <c r="K1227" s="3">
        <f t="shared" si="146"/>
        <v>874</v>
      </c>
    </row>
    <row r="1228" spans="1:11">
      <c r="A1228"/>
      <c r="B1228"/>
      <c r="K1228" s="3">
        <f t="shared" si="146"/>
        <v>875</v>
      </c>
    </row>
    <row r="1229" spans="1:11">
      <c r="A1229"/>
      <c r="B1229"/>
      <c r="K1229" s="3">
        <f t="shared" si="146"/>
        <v>876</v>
      </c>
    </row>
    <row r="1230" spans="1:11">
      <c r="A1230"/>
      <c r="B1230"/>
      <c r="K1230" s="3">
        <f t="shared" si="146"/>
        <v>877</v>
      </c>
    </row>
    <row r="1231" spans="1:11">
      <c r="A1231"/>
      <c r="B1231"/>
      <c r="K1231" s="3">
        <f t="shared" si="146"/>
        <v>878</v>
      </c>
    </row>
    <row r="1232" spans="1:11">
      <c r="A1232"/>
      <c r="B1232"/>
      <c r="K1232" s="3">
        <f t="shared" si="146"/>
        <v>879</v>
      </c>
    </row>
    <row r="1233" spans="1:11">
      <c r="A1233"/>
      <c r="B1233"/>
      <c r="K1233" s="3"/>
    </row>
    <row r="1234" spans="1:11">
      <c r="A1234"/>
      <c r="B1234"/>
      <c r="K1234" s="3"/>
    </row>
    <row r="1235" spans="1:11">
      <c r="A1235"/>
      <c r="B1235"/>
      <c r="K1235" s="3"/>
    </row>
    <row r="1236" spans="1:11">
      <c r="A1236"/>
      <c r="B1236"/>
      <c r="K1236" s="3">
        <f>K1222+10</f>
        <v>880</v>
      </c>
    </row>
    <row r="1237" spans="1:11">
      <c r="A1237"/>
      <c r="B1237"/>
      <c r="K1237" s="3">
        <f>K1236</f>
        <v>880</v>
      </c>
    </row>
    <row r="1238" spans="1:11">
      <c r="A1238"/>
      <c r="B1238"/>
      <c r="K1238" s="3">
        <f>K1237+1</f>
        <v>881</v>
      </c>
    </row>
    <row r="1239" spans="1:11">
      <c r="A1239"/>
      <c r="B1239"/>
      <c r="K1239" s="3">
        <f t="shared" ref="K1239:K1246" si="147">K1238+1</f>
        <v>882</v>
      </c>
    </row>
    <row r="1240" spans="1:11">
      <c r="A1240"/>
      <c r="B1240"/>
      <c r="K1240" s="3">
        <f t="shared" si="147"/>
        <v>883</v>
      </c>
    </row>
    <row r="1241" spans="1:11">
      <c r="A1241"/>
      <c r="B1241"/>
      <c r="K1241" s="3">
        <f t="shared" si="147"/>
        <v>884</v>
      </c>
    </row>
    <row r="1242" spans="1:11">
      <c r="A1242"/>
      <c r="B1242"/>
      <c r="K1242" s="3">
        <f t="shared" si="147"/>
        <v>885</v>
      </c>
    </row>
    <row r="1243" spans="1:11">
      <c r="A1243"/>
      <c r="B1243"/>
      <c r="K1243" s="3">
        <f t="shared" si="147"/>
        <v>886</v>
      </c>
    </row>
    <row r="1244" spans="1:11">
      <c r="A1244"/>
      <c r="B1244"/>
      <c r="K1244" s="3">
        <f t="shared" si="147"/>
        <v>887</v>
      </c>
    </row>
    <row r="1245" spans="1:11">
      <c r="A1245"/>
      <c r="B1245"/>
      <c r="K1245" s="3">
        <f t="shared" si="147"/>
        <v>888</v>
      </c>
    </row>
    <row r="1246" spans="1:11">
      <c r="A1246"/>
      <c r="B1246"/>
      <c r="K1246" s="3">
        <f t="shared" si="147"/>
        <v>889</v>
      </c>
    </row>
    <row r="1247" spans="1:11">
      <c r="A1247"/>
      <c r="B1247"/>
      <c r="K1247" s="3"/>
    </row>
    <row r="1248" spans="1:11">
      <c r="A1248"/>
      <c r="B1248"/>
      <c r="K1248" s="3"/>
    </row>
    <row r="1249" spans="1:11">
      <c r="A1249"/>
      <c r="B1249"/>
      <c r="K1249" s="3"/>
    </row>
    <row r="1250" spans="1:11">
      <c r="A1250"/>
      <c r="B1250"/>
      <c r="K1250" s="3">
        <f>K1236+10</f>
        <v>890</v>
      </c>
    </row>
    <row r="1251" spans="1:11">
      <c r="A1251"/>
      <c r="B1251"/>
      <c r="K1251" s="3">
        <f>K1250</f>
        <v>890</v>
      </c>
    </row>
    <row r="1252" spans="1:11">
      <c r="A1252"/>
      <c r="B1252"/>
      <c r="K1252" s="3">
        <f>K1251+1</f>
        <v>891</v>
      </c>
    </row>
    <row r="1253" spans="1:11">
      <c r="A1253"/>
      <c r="B1253"/>
      <c r="K1253" s="3">
        <f t="shared" ref="K1253:K1260" si="148">K1252+1</f>
        <v>892</v>
      </c>
    </row>
    <row r="1254" spans="1:11">
      <c r="A1254"/>
      <c r="B1254"/>
      <c r="K1254" s="3">
        <f t="shared" si="148"/>
        <v>893</v>
      </c>
    </row>
    <row r="1255" spans="1:11">
      <c r="A1255"/>
      <c r="B1255"/>
      <c r="K1255" s="3">
        <f t="shared" si="148"/>
        <v>894</v>
      </c>
    </row>
    <row r="1256" spans="1:11">
      <c r="A1256"/>
      <c r="B1256"/>
      <c r="K1256" s="3">
        <f t="shared" si="148"/>
        <v>895</v>
      </c>
    </row>
    <row r="1257" spans="1:11">
      <c r="A1257"/>
      <c r="B1257"/>
      <c r="K1257" s="3">
        <f t="shared" si="148"/>
        <v>896</v>
      </c>
    </row>
    <row r="1258" spans="1:11">
      <c r="A1258"/>
      <c r="B1258"/>
      <c r="K1258" s="3">
        <f t="shared" si="148"/>
        <v>897</v>
      </c>
    </row>
    <row r="1259" spans="1:11">
      <c r="A1259"/>
      <c r="B1259"/>
      <c r="K1259" s="3">
        <f t="shared" si="148"/>
        <v>898</v>
      </c>
    </row>
    <row r="1260" spans="1:11">
      <c r="A1260"/>
      <c r="B1260"/>
      <c r="K1260" s="3">
        <f t="shared" si="148"/>
        <v>899</v>
      </c>
    </row>
    <row r="1261" spans="1:11">
      <c r="A1261"/>
      <c r="B1261"/>
      <c r="K1261" s="3"/>
    </row>
    <row r="1262" spans="1:11">
      <c r="A1262"/>
      <c r="B1262"/>
      <c r="K1262" s="3"/>
    </row>
    <row r="1263" spans="1:11">
      <c r="A1263"/>
      <c r="B1263"/>
      <c r="K1263" s="3"/>
    </row>
    <row r="1264" spans="1:11">
      <c r="A1264"/>
      <c r="B1264"/>
      <c r="K1264" s="3">
        <f>K1250+10</f>
        <v>900</v>
      </c>
    </row>
    <row r="1265" spans="1:11">
      <c r="A1265"/>
      <c r="B1265"/>
      <c r="K1265" s="3">
        <f>K1264</f>
        <v>900</v>
      </c>
    </row>
    <row r="1266" spans="1:11">
      <c r="A1266"/>
      <c r="B1266"/>
      <c r="K1266" s="3">
        <f>K1265+1</f>
        <v>901</v>
      </c>
    </row>
    <row r="1267" spans="1:11">
      <c r="A1267"/>
      <c r="B1267"/>
      <c r="K1267" s="3">
        <f t="shared" ref="K1267:K1274" si="149">K1266+1</f>
        <v>902</v>
      </c>
    </row>
    <row r="1268" spans="1:11">
      <c r="A1268"/>
      <c r="B1268"/>
      <c r="K1268" s="3">
        <f t="shared" si="149"/>
        <v>903</v>
      </c>
    </row>
    <row r="1269" spans="1:11">
      <c r="A1269"/>
      <c r="B1269"/>
      <c r="K1269" s="3">
        <f t="shared" si="149"/>
        <v>904</v>
      </c>
    </row>
    <row r="1270" spans="1:11">
      <c r="A1270"/>
      <c r="B1270"/>
      <c r="K1270" s="3">
        <f t="shared" si="149"/>
        <v>905</v>
      </c>
    </row>
    <row r="1271" spans="1:11">
      <c r="A1271"/>
      <c r="B1271"/>
      <c r="K1271" s="3">
        <f t="shared" si="149"/>
        <v>906</v>
      </c>
    </row>
    <row r="1272" spans="1:11">
      <c r="A1272"/>
      <c r="B1272"/>
      <c r="K1272" s="3">
        <f t="shared" si="149"/>
        <v>907</v>
      </c>
    </row>
    <row r="1273" spans="1:11">
      <c r="A1273"/>
      <c r="B1273"/>
      <c r="K1273" s="3">
        <f t="shared" si="149"/>
        <v>908</v>
      </c>
    </row>
    <row r="1274" spans="1:11">
      <c r="A1274"/>
      <c r="B1274"/>
      <c r="K1274" s="3">
        <f t="shared" si="149"/>
        <v>909</v>
      </c>
    </row>
    <row r="1275" spans="1:11">
      <c r="A1275"/>
      <c r="B1275"/>
      <c r="K1275" s="3"/>
    </row>
    <row r="1276" spans="1:11">
      <c r="A1276"/>
      <c r="B1276"/>
      <c r="K1276" s="3"/>
    </row>
    <row r="1277" spans="1:11">
      <c r="A1277"/>
      <c r="B1277"/>
      <c r="K1277" s="3"/>
    </row>
    <row r="1278" spans="1:11">
      <c r="A1278"/>
      <c r="B1278"/>
      <c r="K1278" s="3">
        <f>K1264+10</f>
        <v>910</v>
      </c>
    </row>
    <row r="1279" spans="1:11">
      <c r="A1279"/>
      <c r="B1279"/>
      <c r="K1279" s="3">
        <f>K1278</f>
        <v>910</v>
      </c>
    </row>
    <row r="1280" spans="1:11">
      <c r="A1280"/>
      <c r="B1280"/>
      <c r="K1280" s="3">
        <f>K1279+1</f>
        <v>911</v>
      </c>
    </row>
    <row r="1281" spans="1:11">
      <c r="A1281"/>
      <c r="B1281"/>
      <c r="K1281" s="3">
        <f t="shared" ref="K1281:K1288" si="150">K1280+1</f>
        <v>912</v>
      </c>
    </row>
    <row r="1282" spans="1:11">
      <c r="A1282"/>
      <c r="B1282"/>
      <c r="K1282" s="3">
        <f t="shared" si="150"/>
        <v>913</v>
      </c>
    </row>
    <row r="1283" spans="1:11">
      <c r="A1283"/>
      <c r="B1283"/>
      <c r="K1283" s="3">
        <f t="shared" si="150"/>
        <v>914</v>
      </c>
    </row>
    <row r="1284" spans="1:11">
      <c r="A1284"/>
      <c r="B1284"/>
      <c r="K1284" s="3">
        <f t="shared" si="150"/>
        <v>915</v>
      </c>
    </row>
    <row r="1285" spans="1:11">
      <c r="A1285"/>
      <c r="B1285"/>
      <c r="K1285" s="3">
        <f t="shared" si="150"/>
        <v>916</v>
      </c>
    </row>
    <row r="1286" spans="1:11">
      <c r="A1286"/>
      <c r="B1286"/>
      <c r="K1286" s="3">
        <f t="shared" si="150"/>
        <v>917</v>
      </c>
    </row>
    <row r="1287" spans="1:11">
      <c r="A1287"/>
      <c r="B1287"/>
      <c r="K1287" s="3">
        <f t="shared" si="150"/>
        <v>918</v>
      </c>
    </row>
    <row r="1288" spans="1:11">
      <c r="A1288"/>
      <c r="B1288"/>
      <c r="K1288" s="3">
        <f t="shared" si="150"/>
        <v>919</v>
      </c>
    </row>
    <row r="1289" spans="1:11">
      <c r="A1289"/>
      <c r="B1289"/>
      <c r="K1289" s="3"/>
    </row>
    <row r="1290" spans="1:11">
      <c r="A1290"/>
      <c r="B1290"/>
      <c r="K1290" s="3"/>
    </row>
    <row r="1291" spans="1:11">
      <c r="A1291"/>
      <c r="B1291"/>
      <c r="K1291" s="3"/>
    </row>
    <row r="1292" spans="1:11">
      <c r="A1292"/>
      <c r="B1292"/>
      <c r="K1292" s="3">
        <f>K1278+10</f>
        <v>920</v>
      </c>
    </row>
    <row r="1293" spans="1:11">
      <c r="A1293"/>
      <c r="B1293"/>
      <c r="K1293" s="3">
        <f>K1292</f>
        <v>920</v>
      </c>
    </row>
    <row r="1294" spans="1:11">
      <c r="A1294"/>
      <c r="B1294"/>
      <c r="K1294" s="3">
        <f>K1293+1</f>
        <v>921</v>
      </c>
    </row>
    <row r="1295" spans="1:11">
      <c r="A1295"/>
      <c r="B1295"/>
      <c r="K1295" s="3">
        <f t="shared" ref="K1295:K1302" si="151">K1294+1</f>
        <v>922</v>
      </c>
    </row>
    <row r="1296" spans="1:11">
      <c r="A1296"/>
      <c r="B1296"/>
      <c r="K1296" s="3">
        <f t="shared" si="151"/>
        <v>923</v>
      </c>
    </row>
    <row r="1297" spans="1:11">
      <c r="A1297"/>
      <c r="B1297"/>
      <c r="K1297" s="3">
        <f t="shared" si="151"/>
        <v>924</v>
      </c>
    </row>
    <row r="1298" spans="1:11">
      <c r="A1298"/>
      <c r="B1298"/>
      <c r="K1298" s="3">
        <f t="shared" si="151"/>
        <v>925</v>
      </c>
    </row>
    <row r="1299" spans="1:11">
      <c r="A1299"/>
      <c r="B1299"/>
      <c r="K1299" s="3">
        <f t="shared" si="151"/>
        <v>926</v>
      </c>
    </row>
    <row r="1300" spans="1:11">
      <c r="A1300"/>
      <c r="B1300"/>
      <c r="K1300" s="3">
        <f t="shared" si="151"/>
        <v>927</v>
      </c>
    </row>
    <row r="1301" spans="1:11">
      <c r="A1301"/>
      <c r="B1301"/>
      <c r="K1301" s="3">
        <f t="shared" si="151"/>
        <v>928</v>
      </c>
    </row>
    <row r="1302" spans="1:11">
      <c r="A1302"/>
      <c r="B1302"/>
      <c r="K1302" s="3">
        <f t="shared" si="151"/>
        <v>929</v>
      </c>
    </row>
    <row r="1303" spans="1:11">
      <c r="A1303"/>
      <c r="B1303"/>
      <c r="K1303" s="3"/>
    </row>
    <row r="1304" spans="1:11">
      <c r="A1304"/>
      <c r="B1304"/>
      <c r="K1304" s="3"/>
    </row>
    <row r="1305" spans="1:11">
      <c r="A1305"/>
      <c r="B1305"/>
      <c r="K1305" s="3"/>
    </row>
    <row r="1306" spans="1:11">
      <c r="A1306"/>
      <c r="B1306"/>
      <c r="K1306" s="3">
        <f>K1292+10</f>
        <v>930</v>
      </c>
    </row>
    <row r="1307" spans="1:11">
      <c r="A1307"/>
      <c r="B1307"/>
      <c r="K1307" s="3">
        <f>K1306</f>
        <v>930</v>
      </c>
    </row>
    <row r="1308" spans="1:11">
      <c r="A1308"/>
      <c r="B1308"/>
      <c r="K1308" s="3">
        <f>K1307+1</f>
        <v>931</v>
      </c>
    </row>
    <row r="1309" spans="1:11">
      <c r="A1309"/>
      <c r="B1309"/>
      <c r="K1309" s="3">
        <f t="shared" ref="K1309:K1316" si="152">K1308+1</f>
        <v>932</v>
      </c>
    </row>
    <row r="1310" spans="1:11">
      <c r="A1310"/>
      <c r="B1310"/>
      <c r="K1310" s="3">
        <f t="shared" si="152"/>
        <v>933</v>
      </c>
    </row>
    <row r="1311" spans="1:11">
      <c r="A1311"/>
      <c r="B1311"/>
      <c r="K1311" s="3">
        <f t="shared" si="152"/>
        <v>934</v>
      </c>
    </row>
    <row r="1312" spans="1:11">
      <c r="A1312"/>
      <c r="B1312"/>
      <c r="K1312" s="3">
        <f t="shared" si="152"/>
        <v>935</v>
      </c>
    </row>
    <row r="1313" spans="1:11">
      <c r="A1313"/>
      <c r="B1313"/>
      <c r="K1313" s="3">
        <f t="shared" si="152"/>
        <v>936</v>
      </c>
    </row>
    <row r="1314" spans="1:11">
      <c r="A1314"/>
      <c r="B1314"/>
      <c r="K1314" s="3">
        <f t="shared" si="152"/>
        <v>937</v>
      </c>
    </row>
    <row r="1315" spans="1:11">
      <c r="A1315"/>
      <c r="B1315"/>
      <c r="K1315" s="3">
        <f t="shared" si="152"/>
        <v>938</v>
      </c>
    </row>
    <row r="1316" spans="1:11">
      <c r="A1316"/>
      <c r="B1316"/>
      <c r="K1316" s="3">
        <f t="shared" si="152"/>
        <v>939</v>
      </c>
    </row>
    <row r="1317" spans="1:11">
      <c r="A1317"/>
      <c r="B1317"/>
      <c r="K1317" s="3"/>
    </row>
    <row r="1318" spans="1:11">
      <c r="A1318"/>
      <c r="B1318"/>
      <c r="K1318" s="3"/>
    </row>
    <row r="1319" spans="1:11">
      <c r="A1319"/>
      <c r="B1319"/>
      <c r="K1319" s="3"/>
    </row>
    <row r="1320" spans="1:11">
      <c r="A1320"/>
      <c r="B1320"/>
      <c r="K1320" s="3">
        <f>K1306+10</f>
        <v>940</v>
      </c>
    </row>
    <row r="1321" spans="1:11">
      <c r="A1321"/>
      <c r="B1321"/>
      <c r="K1321" s="3">
        <f>K1320</f>
        <v>940</v>
      </c>
    </row>
    <row r="1322" spans="1:11">
      <c r="A1322"/>
      <c r="B1322"/>
      <c r="K1322" s="3">
        <f>K1321+1</f>
        <v>941</v>
      </c>
    </row>
    <row r="1323" spans="1:11">
      <c r="A1323"/>
      <c r="B1323"/>
      <c r="K1323" s="3">
        <f t="shared" ref="K1323:K1330" si="153">K1322+1</f>
        <v>942</v>
      </c>
    </row>
    <row r="1324" spans="1:11">
      <c r="A1324"/>
      <c r="B1324"/>
      <c r="K1324" s="3">
        <f t="shared" si="153"/>
        <v>943</v>
      </c>
    </row>
    <row r="1325" spans="1:11">
      <c r="A1325"/>
      <c r="B1325"/>
      <c r="K1325" s="3">
        <f t="shared" si="153"/>
        <v>944</v>
      </c>
    </row>
    <row r="1326" spans="1:11">
      <c r="A1326"/>
      <c r="B1326"/>
      <c r="K1326" s="3">
        <f t="shared" si="153"/>
        <v>945</v>
      </c>
    </row>
    <row r="1327" spans="1:11">
      <c r="A1327"/>
      <c r="B1327"/>
      <c r="K1327" s="3">
        <f t="shared" si="153"/>
        <v>946</v>
      </c>
    </row>
    <row r="1328" spans="1:11">
      <c r="A1328"/>
      <c r="B1328"/>
      <c r="K1328" s="3">
        <f t="shared" si="153"/>
        <v>947</v>
      </c>
    </row>
    <row r="1329" spans="1:11">
      <c r="A1329"/>
      <c r="B1329"/>
      <c r="K1329" s="3">
        <f t="shared" si="153"/>
        <v>948</v>
      </c>
    </row>
    <row r="1330" spans="1:11">
      <c r="A1330"/>
      <c r="B1330"/>
      <c r="K1330" s="3">
        <f t="shared" si="153"/>
        <v>949</v>
      </c>
    </row>
    <row r="1331" spans="1:11">
      <c r="A1331"/>
      <c r="B1331"/>
      <c r="K1331" s="3"/>
    </row>
    <row r="1332" spans="1:11">
      <c r="A1332"/>
      <c r="B1332"/>
      <c r="K1332" s="3"/>
    </row>
    <row r="1333" spans="1:11">
      <c r="A1333"/>
      <c r="B1333"/>
      <c r="K1333" s="3"/>
    </row>
    <row r="1334" spans="1:11">
      <c r="A1334"/>
      <c r="B1334"/>
      <c r="K1334" s="3">
        <f>K1320+10</f>
        <v>950</v>
      </c>
    </row>
    <row r="1335" spans="1:11">
      <c r="A1335"/>
      <c r="B1335"/>
      <c r="K1335" s="3">
        <f>K1334</f>
        <v>950</v>
      </c>
    </row>
    <row r="1336" spans="1:11">
      <c r="A1336"/>
      <c r="B1336"/>
      <c r="K1336" s="3">
        <f>K1335+1</f>
        <v>951</v>
      </c>
    </row>
    <row r="1337" spans="1:11">
      <c r="A1337"/>
      <c r="B1337"/>
      <c r="K1337" s="3">
        <f t="shared" ref="K1337:K1344" si="154">K1336+1</f>
        <v>952</v>
      </c>
    </row>
    <row r="1338" spans="1:11">
      <c r="A1338"/>
      <c r="B1338"/>
      <c r="K1338" s="3">
        <f t="shared" si="154"/>
        <v>953</v>
      </c>
    </row>
    <row r="1339" spans="1:11">
      <c r="A1339"/>
      <c r="B1339"/>
      <c r="K1339" s="3">
        <f t="shared" si="154"/>
        <v>954</v>
      </c>
    </row>
    <row r="1340" spans="1:11">
      <c r="A1340"/>
      <c r="B1340"/>
      <c r="K1340" s="3">
        <f t="shared" si="154"/>
        <v>955</v>
      </c>
    </row>
    <row r="1341" spans="1:11">
      <c r="A1341"/>
      <c r="B1341"/>
      <c r="K1341" s="3">
        <f t="shared" si="154"/>
        <v>956</v>
      </c>
    </row>
    <row r="1342" spans="1:11">
      <c r="A1342"/>
      <c r="B1342"/>
      <c r="K1342" s="3">
        <f t="shared" si="154"/>
        <v>957</v>
      </c>
    </row>
    <row r="1343" spans="1:11">
      <c r="A1343"/>
      <c r="B1343"/>
      <c r="K1343" s="3">
        <f t="shared" si="154"/>
        <v>958</v>
      </c>
    </row>
    <row r="1344" spans="1:11">
      <c r="A1344"/>
      <c r="B1344"/>
      <c r="K1344" s="3">
        <f t="shared" si="154"/>
        <v>959</v>
      </c>
    </row>
    <row r="1345" spans="1:11">
      <c r="A1345"/>
      <c r="B1345"/>
      <c r="K1345" s="3"/>
    </row>
    <row r="1346" spans="1:11">
      <c r="A1346"/>
      <c r="B1346"/>
      <c r="K1346" s="3"/>
    </row>
    <row r="1347" spans="1:11">
      <c r="A1347"/>
      <c r="B1347"/>
      <c r="K1347" s="3"/>
    </row>
    <row r="1348" spans="1:11">
      <c r="A1348"/>
      <c r="B1348"/>
      <c r="K1348" s="3">
        <f>K1334+10</f>
        <v>960</v>
      </c>
    </row>
    <row r="1349" spans="1:11">
      <c r="A1349"/>
      <c r="B1349"/>
      <c r="K1349" s="3">
        <f>K1348</f>
        <v>960</v>
      </c>
    </row>
    <row r="1350" spans="1:11">
      <c r="A1350"/>
      <c r="B1350"/>
      <c r="K1350" s="3">
        <f>K1349+1</f>
        <v>961</v>
      </c>
    </row>
    <row r="1351" spans="1:11">
      <c r="A1351"/>
      <c r="B1351"/>
      <c r="K1351" s="3">
        <f t="shared" ref="K1351:K1358" si="155">K1350+1</f>
        <v>962</v>
      </c>
    </row>
    <row r="1352" spans="1:11">
      <c r="A1352"/>
      <c r="B1352"/>
      <c r="K1352" s="3">
        <f t="shared" si="155"/>
        <v>963</v>
      </c>
    </row>
    <row r="1353" spans="1:11">
      <c r="A1353"/>
      <c r="B1353"/>
      <c r="K1353" s="3">
        <f t="shared" si="155"/>
        <v>964</v>
      </c>
    </row>
    <row r="1354" spans="1:11">
      <c r="A1354"/>
      <c r="B1354"/>
      <c r="K1354" s="3">
        <f t="shared" si="155"/>
        <v>965</v>
      </c>
    </row>
    <row r="1355" spans="1:11">
      <c r="A1355"/>
      <c r="B1355"/>
      <c r="K1355" s="3">
        <f t="shared" si="155"/>
        <v>966</v>
      </c>
    </row>
    <row r="1356" spans="1:11">
      <c r="A1356"/>
      <c r="B1356"/>
      <c r="K1356" s="3">
        <f t="shared" si="155"/>
        <v>967</v>
      </c>
    </row>
    <row r="1357" spans="1:11">
      <c r="A1357"/>
      <c r="B1357"/>
      <c r="K1357" s="3">
        <f t="shared" si="155"/>
        <v>968</v>
      </c>
    </row>
    <row r="1358" spans="1:11">
      <c r="A1358"/>
      <c r="B1358"/>
      <c r="K1358" s="3">
        <f t="shared" si="155"/>
        <v>969</v>
      </c>
    </row>
    <row r="1359" spans="1:11">
      <c r="A1359"/>
      <c r="B1359"/>
      <c r="K1359" s="3"/>
    </row>
    <row r="1360" spans="1:11">
      <c r="A1360"/>
      <c r="B1360"/>
      <c r="K1360" s="3"/>
    </row>
    <row r="1361" spans="1:11">
      <c r="A1361"/>
      <c r="B1361"/>
      <c r="K1361" s="3"/>
    </row>
    <row r="1362" spans="1:11">
      <c r="A1362"/>
      <c r="B1362"/>
      <c r="K1362" s="3">
        <f>K1348+10</f>
        <v>970</v>
      </c>
    </row>
    <row r="1363" spans="1:11">
      <c r="A1363"/>
      <c r="B1363"/>
      <c r="K1363" s="3">
        <f>K1362</f>
        <v>970</v>
      </c>
    </row>
    <row r="1364" spans="1:11">
      <c r="A1364"/>
      <c r="B1364"/>
      <c r="K1364" s="3">
        <f>K1363+1</f>
        <v>971</v>
      </c>
    </row>
    <row r="1365" spans="1:11">
      <c r="A1365"/>
      <c r="B1365"/>
      <c r="K1365" s="3">
        <f t="shared" ref="K1365:K1372" si="156">K1364+1</f>
        <v>972</v>
      </c>
    </row>
    <row r="1366" spans="1:11">
      <c r="A1366"/>
      <c r="B1366"/>
      <c r="K1366" s="3">
        <f t="shared" si="156"/>
        <v>973</v>
      </c>
    </row>
    <row r="1367" spans="1:11">
      <c r="A1367"/>
      <c r="B1367"/>
      <c r="K1367" s="3">
        <f t="shared" si="156"/>
        <v>974</v>
      </c>
    </row>
    <row r="1368" spans="1:11">
      <c r="A1368"/>
      <c r="B1368"/>
      <c r="K1368" s="3">
        <f t="shared" si="156"/>
        <v>975</v>
      </c>
    </row>
    <row r="1369" spans="1:11">
      <c r="A1369"/>
      <c r="B1369"/>
      <c r="K1369" s="3">
        <f t="shared" si="156"/>
        <v>976</v>
      </c>
    </row>
    <row r="1370" spans="1:11">
      <c r="A1370"/>
      <c r="B1370"/>
      <c r="K1370" s="3">
        <f t="shared" si="156"/>
        <v>977</v>
      </c>
    </row>
    <row r="1371" spans="1:11">
      <c r="A1371"/>
      <c r="B1371"/>
      <c r="K1371" s="3">
        <f t="shared" si="156"/>
        <v>978</v>
      </c>
    </row>
    <row r="1372" spans="1:11">
      <c r="A1372"/>
      <c r="B1372"/>
      <c r="K1372" s="3">
        <f t="shared" si="156"/>
        <v>979</v>
      </c>
    </row>
    <row r="1373" spans="1:11">
      <c r="A1373"/>
      <c r="B1373"/>
      <c r="K1373" s="3"/>
    </row>
    <row r="1374" spans="1:11">
      <c r="A1374"/>
      <c r="B1374"/>
      <c r="K1374" s="3"/>
    </row>
    <row r="1375" spans="1:11">
      <c r="A1375"/>
      <c r="B1375"/>
      <c r="K1375" s="3"/>
    </row>
    <row r="1376" spans="1:11">
      <c r="A1376"/>
      <c r="B1376"/>
      <c r="K1376" s="3">
        <f>K1362+10</f>
        <v>980</v>
      </c>
    </row>
    <row r="1377" spans="1:11">
      <c r="A1377"/>
      <c r="B1377"/>
      <c r="K1377" s="3">
        <f>K1376</f>
        <v>980</v>
      </c>
    </row>
    <row r="1378" spans="1:11">
      <c r="A1378"/>
      <c r="B1378"/>
      <c r="K1378" s="3">
        <f>K1377+1</f>
        <v>981</v>
      </c>
    </row>
    <row r="1379" spans="1:11">
      <c r="A1379"/>
      <c r="B1379"/>
      <c r="K1379" s="3">
        <f t="shared" ref="K1379:K1386" si="157">K1378+1</f>
        <v>982</v>
      </c>
    </row>
    <row r="1380" spans="1:11">
      <c r="A1380"/>
      <c r="B1380"/>
      <c r="K1380" s="3">
        <f t="shared" si="157"/>
        <v>983</v>
      </c>
    </row>
    <row r="1381" spans="1:11">
      <c r="A1381"/>
      <c r="B1381"/>
      <c r="K1381" s="3">
        <f t="shared" si="157"/>
        <v>984</v>
      </c>
    </row>
    <row r="1382" spans="1:11">
      <c r="A1382"/>
      <c r="B1382"/>
      <c r="K1382" s="3">
        <f t="shared" si="157"/>
        <v>985</v>
      </c>
    </row>
    <row r="1383" spans="1:11">
      <c r="A1383"/>
      <c r="B1383"/>
      <c r="K1383" s="3">
        <f t="shared" si="157"/>
        <v>986</v>
      </c>
    </row>
    <row r="1384" spans="1:11">
      <c r="A1384"/>
      <c r="B1384"/>
      <c r="K1384" s="3">
        <f t="shared" si="157"/>
        <v>987</v>
      </c>
    </row>
    <row r="1385" spans="1:11">
      <c r="A1385"/>
      <c r="B1385"/>
      <c r="K1385" s="3">
        <f t="shared" si="157"/>
        <v>988</v>
      </c>
    </row>
    <row r="1386" spans="1:11">
      <c r="A1386"/>
      <c r="B1386"/>
      <c r="K1386" s="3">
        <f t="shared" si="157"/>
        <v>989</v>
      </c>
    </row>
    <row r="1387" spans="1:11">
      <c r="A1387"/>
      <c r="B1387"/>
      <c r="K1387" s="3"/>
    </row>
    <row r="1388" spans="1:11">
      <c r="A1388"/>
      <c r="B1388"/>
      <c r="K1388" s="3"/>
    </row>
    <row r="1389" spans="1:11">
      <c r="A1389"/>
      <c r="B1389"/>
      <c r="K1389" s="3"/>
    </row>
    <row r="1390" spans="1:11">
      <c r="A1390"/>
      <c r="B1390"/>
      <c r="K1390" s="3">
        <f>K1376+10</f>
        <v>990</v>
      </c>
    </row>
    <row r="1391" spans="1:11">
      <c r="A1391"/>
      <c r="B1391"/>
      <c r="K1391" s="3">
        <f>K1390</f>
        <v>990</v>
      </c>
    </row>
    <row r="1392" spans="1:11">
      <c r="A1392"/>
      <c r="B1392"/>
      <c r="K1392" s="3">
        <f>K1391+1</f>
        <v>991</v>
      </c>
    </row>
    <row r="1393" spans="1:11">
      <c r="A1393"/>
      <c r="B1393"/>
      <c r="K1393" s="3">
        <f t="shared" ref="K1393:K1400" si="158">K1392+1</f>
        <v>992</v>
      </c>
    </row>
    <row r="1394" spans="1:11">
      <c r="A1394"/>
      <c r="B1394"/>
      <c r="K1394" s="3">
        <f t="shared" si="158"/>
        <v>993</v>
      </c>
    </row>
    <row r="1395" spans="1:11">
      <c r="A1395"/>
      <c r="B1395"/>
      <c r="K1395" s="3">
        <f t="shared" si="158"/>
        <v>994</v>
      </c>
    </row>
    <row r="1396" spans="1:11">
      <c r="A1396"/>
      <c r="B1396"/>
      <c r="K1396" s="3">
        <f t="shared" si="158"/>
        <v>995</v>
      </c>
    </row>
    <row r="1397" spans="1:11">
      <c r="A1397"/>
      <c r="B1397"/>
      <c r="K1397" s="3">
        <f t="shared" si="158"/>
        <v>996</v>
      </c>
    </row>
    <row r="1398" spans="1:11">
      <c r="A1398"/>
      <c r="B1398"/>
      <c r="K1398" s="3">
        <f t="shared" si="158"/>
        <v>997</v>
      </c>
    </row>
    <row r="1399" spans="1:11">
      <c r="A1399"/>
      <c r="B1399"/>
      <c r="K1399" s="3">
        <f t="shared" si="158"/>
        <v>998</v>
      </c>
    </row>
    <row r="1400" spans="1:11">
      <c r="A1400"/>
      <c r="B1400"/>
      <c r="K1400" s="3">
        <f t="shared" si="158"/>
        <v>999</v>
      </c>
    </row>
    <row r="1401" spans="1:11">
      <c r="A1401"/>
      <c r="B1401"/>
      <c r="K1401" s="3"/>
    </row>
    <row r="1402" spans="1:11">
      <c r="A1402"/>
      <c r="B1402"/>
      <c r="K1402" s="3"/>
    </row>
    <row r="1403" spans="1:11">
      <c r="A1403"/>
      <c r="B1403"/>
      <c r="K1403" s="3"/>
    </row>
    <row r="1404" spans="1:11">
      <c r="A1404"/>
      <c r="B1404"/>
      <c r="K1404" s="3">
        <f>K1390+10</f>
        <v>1000</v>
      </c>
    </row>
    <row r="1405" spans="1:11">
      <c r="A1405"/>
      <c r="B1405"/>
      <c r="K1405" s="3">
        <f>K1404</f>
        <v>1000</v>
      </c>
    </row>
    <row r="1406" spans="1:11">
      <c r="A1406"/>
      <c r="B1406"/>
      <c r="K1406" s="3">
        <f>K1405+1</f>
        <v>1001</v>
      </c>
    </row>
    <row r="1407" spans="1:11">
      <c r="A1407"/>
      <c r="B1407"/>
      <c r="K1407" s="3">
        <f t="shared" ref="K1407:K1414" si="159">K1406+1</f>
        <v>1002</v>
      </c>
    </row>
    <row r="1408" spans="1:11">
      <c r="A1408"/>
      <c r="B1408"/>
      <c r="K1408" s="3">
        <f t="shared" si="159"/>
        <v>1003</v>
      </c>
    </row>
    <row r="1409" spans="1:11">
      <c r="A1409"/>
      <c r="B1409"/>
      <c r="K1409" s="3">
        <f t="shared" si="159"/>
        <v>1004</v>
      </c>
    </row>
    <row r="1410" spans="1:11">
      <c r="A1410"/>
      <c r="B1410"/>
      <c r="K1410" s="3">
        <f t="shared" si="159"/>
        <v>1005</v>
      </c>
    </row>
    <row r="1411" spans="1:11">
      <c r="A1411"/>
      <c r="B1411"/>
      <c r="K1411" s="3">
        <f t="shared" si="159"/>
        <v>1006</v>
      </c>
    </row>
    <row r="1412" spans="1:11">
      <c r="A1412"/>
      <c r="B1412"/>
      <c r="K1412" s="3">
        <f t="shared" si="159"/>
        <v>1007</v>
      </c>
    </row>
    <row r="1413" spans="1:11">
      <c r="A1413"/>
      <c r="B1413"/>
      <c r="K1413" s="3">
        <f t="shared" si="159"/>
        <v>1008</v>
      </c>
    </row>
    <row r="1414" spans="1:11">
      <c r="A1414"/>
      <c r="B1414"/>
      <c r="K1414" s="3">
        <f t="shared" si="159"/>
        <v>1009</v>
      </c>
    </row>
    <row r="1415" spans="1:11">
      <c r="A1415"/>
      <c r="B1415"/>
      <c r="K1415" s="3"/>
    </row>
    <row r="1416" spans="1:11">
      <c r="A1416"/>
      <c r="B1416"/>
      <c r="K1416" s="3"/>
    </row>
    <row r="1417" spans="1:11">
      <c r="A1417"/>
      <c r="B1417"/>
      <c r="K1417" s="3"/>
    </row>
    <row r="1418" spans="1:11">
      <c r="A1418"/>
      <c r="B1418"/>
      <c r="K1418" s="3">
        <f>K1404+10</f>
        <v>1010</v>
      </c>
    </row>
    <row r="1419" spans="1:11">
      <c r="A1419"/>
      <c r="B1419"/>
      <c r="K1419" s="3">
        <f>K1418</f>
        <v>1010</v>
      </c>
    </row>
    <row r="1420" spans="1:11">
      <c r="A1420"/>
      <c r="B1420"/>
      <c r="K1420" s="3">
        <f>K1419+1</f>
        <v>1011</v>
      </c>
    </row>
    <row r="1421" spans="1:11">
      <c r="A1421"/>
      <c r="B1421"/>
      <c r="K1421" s="3">
        <f t="shared" ref="K1421:K1428" si="160">K1420+1</f>
        <v>1012</v>
      </c>
    </row>
    <row r="1422" spans="1:11">
      <c r="A1422"/>
      <c r="B1422"/>
      <c r="K1422" s="3">
        <f t="shared" si="160"/>
        <v>1013</v>
      </c>
    </row>
    <row r="1423" spans="1:11">
      <c r="A1423"/>
      <c r="B1423"/>
      <c r="K1423" s="3">
        <f t="shared" si="160"/>
        <v>1014</v>
      </c>
    </row>
    <row r="1424" spans="1:11">
      <c r="A1424"/>
      <c r="B1424"/>
      <c r="K1424" s="3">
        <f t="shared" si="160"/>
        <v>1015</v>
      </c>
    </row>
    <row r="1425" spans="1:11">
      <c r="A1425"/>
      <c r="B1425"/>
      <c r="K1425" s="3">
        <f t="shared" si="160"/>
        <v>1016</v>
      </c>
    </row>
    <row r="1426" spans="1:11">
      <c r="A1426"/>
      <c r="B1426"/>
      <c r="K1426" s="3">
        <f t="shared" si="160"/>
        <v>1017</v>
      </c>
    </row>
    <row r="1427" spans="1:11">
      <c r="A1427"/>
      <c r="B1427"/>
      <c r="K1427" s="3">
        <f t="shared" si="160"/>
        <v>1018</v>
      </c>
    </row>
    <row r="1428" spans="1:11">
      <c r="A1428"/>
      <c r="B1428"/>
      <c r="K1428" s="3">
        <f t="shared" si="160"/>
        <v>1019</v>
      </c>
    </row>
    <row r="1429" spans="1:11">
      <c r="A1429"/>
      <c r="B1429"/>
      <c r="K1429" s="3"/>
    </row>
    <row r="1430" spans="1:11">
      <c r="A1430"/>
      <c r="B1430"/>
      <c r="K1430" s="3"/>
    </row>
    <row r="1431" spans="1:11">
      <c r="A1431"/>
      <c r="B1431"/>
      <c r="K1431" s="3"/>
    </row>
    <row r="1432" spans="1:11">
      <c r="A1432"/>
      <c r="B1432"/>
      <c r="K1432" s="3">
        <f>K1418+10</f>
        <v>1020</v>
      </c>
    </row>
    <row r="1433" spans="1:11">
      <c r="A1433"/>
      <c r="B1433"/>
      <c r="K1433" s="3">
        <f>K1432</f>
        <v>1020</v>
      </c>
    </row>
    <row r="1434" spans="1:11">
      <c r="A1434"/>
      <c r="B1434"/>
      <c r="K1434" s="3">
        <f>K1433+1</f>
        <v>1021</v>
      </c>
    </row>
    <row r="1435" spans="1:11">
      <c r="A1435"/>
      <c r="B1435"/>
      <c r="K1435" s="3">
        <f t="shared" ref="K1435:K1442" si="161">K1434+1</f>
        <v>1022</v>
      </c>
    </row>
    <row r="1436" spans="1:11">
      <c r="A1436"/>
      <c r="B1436"/>
      <c r="K1436" s="3">
        <f t="shared" si="161"/>
        <v>1023</v>
      </c>
    </row>
    <row r="1437" spans="1:11">
      <c r="A1437"/>
      <c r="B1437"/>
      <c r="K1437" s="3">
        <f t="shared" si="161"/>
        <v>1024</v>
      </c>
    </row>
    <row r="1438" spans="1:11">
      <c r="A1438"/>
      <c r="B1438"/>
      <c r="K1438" s="3">
        <f t="shared" si="161"/>
        <v>1025</v>
      </c>
    </row>
    <row r="1439" spans="1:11">
      <c r="A1439"/>
      <c r="B1439"/>
      <c r="K1439" s="3">
        <f t="shared" si="161"/>
        <v>1026</v>
      </c>
    </row>
    <row r="1440" spans="1:11">
      <c r="A1440"/>
      <c r="B1440"/>
      <c r="K1440" s="3">
        <f t="shared" si="161"/>
        <v>1027</v>
      </c>
    </row>
    <row r="1441" spans="1:11">
      <c r="A1441"/>
      <c r="B1441"/>
      <c r="K1441" s="3">
        <f t="shared" si="161"/>
        <v>1028</v>
      </c>
    </row>
    <row r="1442" spans="1:11">
      <c r="A1442"/>
      <c r="B1442"/>
      <c r="K1442" s="3">
        <f t="shared" si="161"/>
        <v>1029</v>
      </c>
    </row>
    <row r="1443" spans="1:11">
      <c r="A1443"/>
      <c r="B1443"/>
      <c r="K1443" s="3"/>
    </row>
    <row r="1444" spans="1:11">
      <c r="A1444"/>
      <c r="B1444"/>
      <c r="K1444" s="3"/>
    </row>
    <row r="1445" spans="1:11">
      <c r="A1445"/>
      <c r="B1445"/>
      <c r="K1445" s="3"/>
    </row>
    <row r="1446" spans="1:11">
      <c r="A1446"/>
      <c r="B1446"/>
      <c r="K1446" s="3"/>
    </row>
    <row r="1447" spans="1:11">
      <c r="A1447"/>
      <c r="B1447"/>
      <c r="K1447" s="3"/>
    </row>
    <row r="1448" spans="1:11">
      <c r="A1448"/>
      <c r="B1448"/>
      <c r="K1448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BF94-6F72-49C5-B877-78071D7CE3C4}">
  <sheetPr codeName="Blad1"/>
  <dimension ref="A1:AE517"/>
  <sheetViews>
    <sheetView topLeftCell="D1" workbookViewId="0">
      <selection activeCell="D1" sqref="D1"/>
    </sheetView>
  </sheetViews>
  <sheetFormatPr defaultRowHeight="15"/>
  <cols>
    <col min="1" max="1" width="10.28515625" style="41" hidden="1" customWidth="1"/>
    <col min="2" max="2" width="31.5703125" hidden="1" customWidth="1"/>
    <col min="3" max="3" width="32.28515625" hidden="1" customWidth="1"/>
    <col min="4" max="4" width="3.28515625" style="31" customWidth="1"/>
    <col min="5" max="5" width="142" style="43" customWidth="1"/>
    <col min="6" max="8" width="0" hidden="1" customWidth="1"/>
    <col min="10" max="11" width="36" style="45" bestFit="1" customWidth="1"/>
    <col min="12" max="12" width="31" style="45" bestFit="1" customWidth="1"/>
    <col min="13" max="13" width="30" style="45" bestFit="1" customWidth="1"/>
    <col min="14" max="14" width="36" style="45" bestFit="1" customWidth="1"/>
    <col min="15" max="15" width="20.85546875" style="45" bestFit="1" customWidth="1"/>
    <col min="16" max="17" width="28.7109375" style="45" bestFit="1" customWidth="1"/>
    <col min="18" max="18" width="3.85546875" customWidth="1"/>
    <col min="19" max="19" width="10.7109375" style="46" customWidth="1"/>
    <col min="20" max="21" width="10.5703125" style="46" customWidth="1"/>
    <col min="22" max="23" width="10.7109375" style="46" customWidth="1"/>
    <col min="24" max="25" width="10.5703125" style="46" customWidth="1"/>
    <col min="26" max="26" width="10.7109375" style="46" customWidth="1"/>
    <col min="28" max="28" width="29.7109375" style="52" customWidth="1"/>
  </cols>
  <sheetData>
    <row r="1" spans="1:31" ht="15.75" thickBot="1">
      <c r="D1" s="31" t="s">
        <v>893</v>
      </c>
      <c r="E1" s="67" t="s">
        <v>1312</v>
      </c>
      <c r="F1" t="s">
        <v>893</v>
      </c>
      <c r="J1" s="71"/>
      <c r="K1" s="71"/>
      <c r="L1" s="71"/>
      <c r="M1" s="71"/>
      <c r="N1" s="71"/>
      <c r="O1" s="71"/>
      <c r="P1" s="71"/>
      <c r="Q1" s="71"/>
      <c r="R1" s="61" t="s">
        <v>914</v>
      </c>
    </row>
    <row r="2" spans="1:31" ht="15.75" thickBot="1">
      <c r="D2" s="31" t="s">
        <v>893</v>
      </c>
      <c r="F2" t="s">
        <v>893</v>
      </c>
      <c r="J2" s="72" t="s">
        <v>890</v>
      </c>
      <c r="K2" s="72"/>
      <c r="L2" s="72"/>
      <c r="M2" s="72"/>
      <c r="N2" s="73" t="s">
        <v>897</v>
      </c>
      <c r="O2" s="73"/>
      <c r="P2" s="73"/>
      <c r="Q2" s="73"/>
      <c r="S2" s="74" t="s">
        <v>890</v>
      </c>
      <c r="T2" s="74"/>
      <c r="U2" s="74"/>
      <c r="V2" s="74"/>
      <c r="W2" s="70" t="s">
        <v>897</v>
      </c>
      <c r="X2" s="70"/>
      <c r="Y2" s="70"/>
      <c r="Z2" s="70"/>
    </row>
    <row r="3" spans="1:31">
      <c r="A3" s="40" t="s">
        <v>896</v>
      </c>
      <c r="B3" s="39" t="s">
        <v>891</v>
      </c>
      <c r="C3" s="39" t="s">
        <v>892</v>
      </c>
      <c r="D3" s="31" t="s">
        <v>893</v>
      </c>
      <c r="E3" s="44" t="s">
        <v>1394</v>
      </c>
      <c r="F3" t="s">
        <v>893</v>
      </c>
      <c r="J3" s="63" t="s">
        <v>1285</v>
      </c>
      <c r="K3" s="63" t="s">
        <v>1286</v>
      </c>
      <c r="L3" s="63" t="s">
        <v>1287</v>
      </c>
      <c r="M3" s="63" t="s">
        <v>1288</v>
      </c>
      <c r="N3" s="64" t="s">
        <v>1289</v>
      </c>
      <c r="O3" s="64" t="s">
        <v>1290</v>
      </c>
      <c r="P3" s="64" t="s">
        <v>1291</v>
      </c>
      <c r="Q3" s="64" t="s">
        <v>1292</v>
      </c>
      <c r="S3" s="65" t="s">
        <v>1285</v>
      </c>
      <c r="T3" s="65" t="s">
        <v>1286</v>
      </c>
      <c r="U3" s="65" t="s">
        <v>1287</v>
      </c>
      <c r="V3" s="65" t="s">
        <v>1288</v>
      </c>
      <c r="W3" s="66" t="s">
        <v>1289</v>
      </c>
      <c r="X3" s="66" t="s">
        <v>1290</v>
      </c>
      <c r="Y3" s="66" t="s">
        <v>1291</v>
      </c>
      <c r="Z3" s="66" t="s">
        <v>1292</v>
      </c>
      <c r="AB3" s="62" t="s">
        <v>1283</v>
      </c>
    </row>
    <row r="4" spans="1:31">
      <c r="A4" s="41">
        <f>preset_Names!A4</f>
        <v>0</v>
      </c>
      <c r="B4" t="str">
        <f>$F$4&amp;$J$3&amp;$G$4&amp;J4&amp;$H$4&amp;$F$4&amp;$K$3&amp;$G$4&amp;K4&amp;$H$4&amp;$F$4&amp;$L$3&amp;$G$4&amp;L4&amp;$H$4&amp;$F$4&amp;$M$3&amp;$G$4&amp;M4&amp;$H$4</f>
        <v xml:space="preserve">strcpy(AMP1_A,("Not Used")); strcpy(AMP1_B,("Not Used")); strcpy(AMP1_C,("Not Used")); strcpy(AMP1_D,("Not Used")); </v>
      </c>
      <c r="C4" t="str">
        <f>$F$4&amp;$N$3&amp;$G$4&amp;N4&amp;$H$4&amp;$F$4&amp;$O$3&amp;$G$4&amp;O4&amp;$H$4&amp;$F$4&amp;$P$3&amp;$G$4&amp;P4&amp;$H$4&amp;$F$4&amp;$Q$3&amp;$G$4&amp;Q4&amp;$H$4</f>
        <v xml:space="preserve">strcpy(AMP2_A,("JP IIC+ Green (Mesa/Boogie JP-2C)")); strcpy(AMP2_B,("Morgan AC20 Deluxe")); strcpy(AMP2_C,("FRIEDMAN BEV3")); strcpy(AMP2_D,("1987X TREBLE")); </v>
      </c>
      <c r="D4" s="31" t="s">
        <v>893</v>
      </c>
      <c r="E4" s="42" t="str">
        <f xml:space="preserve"> "case " &amp; A4 &amp; ": " &amp; B4 &amp; C4 &amp; " break;"</f>
        <v>case 0: strcpy(AMP1_A,("Not Used")); strcpy(AMP1_B,("Not Used")); strcpy(AMP1_C,("Not Used")); strcpy(AMP1_D,("Not Used")); strcpy(AMP2_A,("JP IIC+ Green (Mesa/Boogie JP-2C)")); strcpy(AMP2_B,("Morgan AC20 Deluxe")); strcpy(AMP2_C,("FRIEDMAN BEV3")); strcpy(AMP2_D,("1987X TREBLE"));  break;</v>
      </c>
      <c r="F4" t="s">
        <v>18</v>
      </c>
      <c r="G4" t="s">
        <v>894</v>
      </c>
      <c r="H4" t="s">
        <v>895</v>
      </c>
      <c r="I4" t="s">
        <v>893</v>
      </c>
      <c r="J4" s="45" t="str">
        <f>VLOOKUP(S4,'AMP models AxeFxIII'!$D$2:$H$299,2,FALSE)</f>
        <v>Not Used</v>
      </c>
      <c r="K4" s="45" t="str">
        <f>VLOOKUP(T4,'AMP models AxeFxIII'!$D$2:$H$299,2,FALSE)</f>
        <v>Not Used</v>
      </c>
      <c r="L4" s="45" t="str">
        <f>VLOOKUP(U4,'AMP models AxeFxIII'!$D$2:$H$299,2,FALSE)</f>
        <v>Not Used</v>
      </c>
      <c r="M4" s="45" t="str">
        <f>VLOOKUP(V4,'AMP models AxeFxIII'!$D$2:$H$299,2,FALSE)</f>
        <v>Not Used</v>
      </c>
      <c r="N4" s="45" t="str">
        <f>VLOOKUP(W4,'AMP models AxeFxIII'!$D$2:$H$299,2,FALSE)</f>
        <v>JP IIC+ Green (Mesa/Boogie JP-2C)</v>
      </c>
      <c r="O4" s="45" t="str">
        <f>VLOOKUP(X4,'AMP models AxeFxIII'!$D$2:$H$299,2,FALSE)</f>
        <v>Morgan AC20 Deluxe</v>
      </c>
      <c r="P4" s="45" t="str">
        <f>VLOOKUP(Y4,'AMP models AxeFxIII'!$D$2:$H$299,2,FALSE)</f>
        <v>FRIEDMAN BEV3</v>
      </c>
      <c r="Q4" s="45" t="str">
        <f>VLOOKUP(Z4,'AMP models AxeFxIII'!$D$2:$H$299,2,FALSE)</f>
        <v>1987X TREBLE</v>
      </c>
      <c r="R4" s="4">
        <v>0</v>
      </c>
      <c r="S4" s="46" t="s">
        <v>555</v>
      </c>
      <c r="T4" s="46" t="s">
        <v>555</v>
      </c>
      <c r="U4" s="46" t="s">
        <v>555</v>
      </c>
      <c r="V4" s="46" t="s">
        <v>555</v>
      </c>
      <c r="W4" s="46">
        <v>270</v>
      </c>
      <c r="X4" s="46">
        <v>23</v>
      </c>
      <c r="Y4" s="46">
        <v>146</v>
      </c>
      <c r="Z4" s="46">
        <v>6</v>
      </c>
      <c r="AC4" s="47"/>
      <c r="AD4" s="47"/>
      <c r="AE4" s="47"/>
    </row>
    <row r="5" spans="1:31">
      <c r="A5" s="41">
        <f>preset_Names!A5</f>
        <v>1</v>
      </c>
      <c r="B5" t="str">
        <f>$F$4&amp;$J$3&amp;$G$4&amp;J5&amp;$H$4&amp;$F$4&amp;$K$3&amp;$G$4&amp;K5&amp;$H$4&amp;$F$4&amp;$L$3&amp;$G$4&amp;L5&amp;$H$4&amp;$F$4&amp;$M$3&amp;$G$4&amp;M5&amp;$H$4</f>
        <v xml:space="preserve">strcpy(AMP1_A,("JP IIC+ Green (Mesa/Boogie JP-2C)")); strcpy(AMP1_B,("JP IIC+ Yellow")); strcpy(AMP1_C,("JP IIC+ Red")); strcpy(AMP1_D,("JP IIC+ Red")); </v>
      </c>
      <c r="C5" t="str">
        <f>$F$4&amp;$N$3&amp;$G$4&amp;N5&amp;$H$4&amp;$F$4&amp;$O$3&amp;$G$4&amp;O5&amp;$H$4&amp;$F$4&amp;$P$3&amp;$G$4&amp;P5&amp;$H$4&amp;$F$4&amp;$Q$3&amp;$G$4&amp;Q5&amp;$H$4</f>
        <v xml:space="preserve">strcpy(AMP2_A,("Not Used")); strcpy(AMP2_B,("Not Used")); strcpy(AMP2_C,("Not Used")); strcpy(AMP2_D,("Not Used")); </v>
      </c>
      <c r="D5" s="31" t="s">
        <v>893</v>
      </c>
      <c r="E5" s="42" t="str">
        <f t="shared" ref="E5:E68" si="0" xml:space="preserve"> "case " &amp; A5 &amp; ": " &amp; B5 &amp; C5 &amp; " break;"</f>
        <v>case 1: strcpy(AMP1_A,("JP IIC+ Green (Mesa/Boogie JP-2C)")); strcpy(AMP1_B,("JP IIC+ Yellow")); strcpy(AMP1_C,("JP IIC+ Red")); strcpy(AMP1_D,("JP IIC+ Red")); strcpy(AMP2_A,("Not Used")); strcpy(AMP2_B,("Not Used")); strcpy(AMP2_C,("Not Used")); strcpy(AMP2_D,("Not Used"));  break;</v>
      </c>
      <c r="F5" t="s">
        <v>893</v>
      </c>
      <c r="I5" t="s">
        <v>893</v>
      </c>
      <c r="J5" s="45" t="str">
        <f>VLOOKUP(S5,'AMP models AxeFxIII'!$D$2:$H$299,2,FALSE)</f>
        <v>JP IIC+ Green (Mesa/Boogie JP-2C)</v>
      </c>
      <c r="K5" s="45" t="str">
        <f>VLOOKUP(T5,'AMP models AxeFxIII'!$D$2:$H$299,2,FALSE)</f>
        <v>JP IIC+ Yellow</v>
      </c>
      <c r="L5" s="45" t="str">
        <f>VLOOKUP(U5,'AMP models AxeFxIII'!$D$2:$H$299,2,FALSE)</f>
        <v>JP IIC+ Red</v>
      </c>
      <c r="M5" s="45" t="str">
        <f>VLOOKUP(V5,'AMP models AxeFxIII'!$D$2:$H$299,2,FALSE)</f>
        <v>JP IIC+ Red</v>
      </c>
      <c r="N5" s="45" t="str">
        <f>VLOOKUP(W5,'AMP models AxeFxIII'!$D$2:$H$299,2,FALSE)</f>
        <v>Not Used</v>
      </c>
      <c r="O5" s="45" t="str">
        <f>VLOOKUP(X5,'AMP models AxeFxIII'!$D$2:$H$299,2,FALSE)</f>
        <v>Not Used</v>
      </c>
      <c r="P5" s="45" t="str">
        <f>VLOOKUP(Y5,'AMP models AxeFxIII'!$D$2:$H$299,2,FALSE)</f>
        <v>Not Used</v>
      </c>
      <c r="Q5" s="45" t="str">
        <f>VLOOKUP(Z5,'AMP models AxeFxIII'!$D$2:$H$299,2,FALSE)</f>
        <v>Not Used</v>
      </c>
      <c r="R5" s="4">
        <v>1</v>
      </c>
      <c r="S5" s="46">
        <v>270</v>
      </c>
      <c r="T5" s="46">
        <v>273</v>
      </c>
      <c r="U5" s="46">
        <v>271</v>
      </c>
      <c r="V5" s="46">
        <v>271</v>
      </c>
      <c r="W5" s="46" t="s">
        <v>555</v>
      </c>
      <c r="X5" s="46" t="s">
        <v>555</v>
      </c>
      <c r="Y5" s="46" t="s">
        <v>555</v>
      </c>
      <c r="Z5" s="46" t="s">
        <v>555</v>
      </c>
    </row>
    <row r="6" spans="1:31">
      <c r="A6" s="41">
        <f>preset_Names!A6</f>
        <v>2</v>
      </c>
      <c r="B6" t="str">
        <f t="shared" ref="B6:B69" si="1">$F$4&amp;$J$3&amp;$G$4&amp;J6&amp;$H$4&amp;$F$4&amp;$K$3&amp;$G$4&amp;K6&amp;$H$4&amp;$F$4&amp;$L$3&amp;$G$4&amp;L6&amp;$H$4&amp;$F$4&amp;$M$3&amp;$G$4&amp;M6&amp;$H$4</f>
        <v xml:space="preserve">strcpy(AMP1_A,("IIC+ Mesa/Boogie Mark IIC+")); strcpy(AMP1_B,("IIC+ Mesa/Boogie Mark IIC+")); strcpy(AMP1_C,("CLEAN Mesa/Boogie MarkIV")); strcpy(AMP1_D,("USA IIC++ (custom model)")); </v>
      </c>
      <c r="C6" t="str">
        <f t="shared" ref="C6:C69" si="2">$F$4&amp;$N$3&amp;$G$4&amp;N6&amp;$H$4&amp;$F$4&amp;$O$3&amp;$G$4&amp;O6&amp;$H$4&amp;$F$4&amp;$P$3&amp;$G$4&amp;P6&amp;$H$4&amp;$F$4&amp;$Q$3&amp;$G$4&amp;Q6&amp;$H$4</f>
        <v xml:space="preserve">strcpy(AMP2_A,("Not Used")); strcpy(AMP2_B,("Not Used")); strcpy(AMP2_C,("Not Used")); strcpy(AMP2_D,("Not Used")); </v>
      </c>
      <c r="D6" s="31" t="s">
        <v>893</v>
      </c>
      <c r="E6" s="42" t="str">
        <f t="shared" si="0"/>
        <v>case 2: strcpy(AMP1_A,("IIC+ Mesa/Boogie Mark IIC+")); strcpy(AMP1_B,("IIC+ Mesa/Boogie Mark IIC+")); strcpy(AMP1_C,("CLEAN Mesa/Boogie MarkIV")); strcpy(AMP1_D,("USA IIC++ (custom model)")); strcpy(AMP2_A,("Not Used")); strcpy(AMP2_B,("Not Used")); strcpy(AMP2_C,("Not Used")); strcpy(AMP2_D,("Not Used"));  break;</v>
      </c>
      <c r="F6" t="s">
        <v>893</v>
      </c>
      <c r="I6" t="s">
        <v>893</v>
      </c>
      <c r="J6" s="45" t="str">
        <f>VLOOKUP(S6,'AMP models AxeFxIII'!$D$2:$H$299,2,FALSE)</f>
        <v>IIC+ Mesa/Boogie Mark IIC+</v>
      </c>
      <c r="K6" s="45" t="str">
        <f>VLOOKUP(T6,'AMP models AxeFxIII'!$D$2:$H$299,2,FALSE)</f>
        <v>IIC+ Mesa/Boogie Mark IIC+</v>
      </c>
      <c r="L6" s="45" t="str">
        <f>VLOOKUP(U6,'AMP models AxeFxIII'!$D$2:$H$299,2,FALSE)</f>
        <v>CLEAN Mesa/Boogie MarkIV</v>
      </c>
      <c r="M6" s="45" t="str">
        <f>VLOOKUP(V6,'AMP models AxeFxIII'!$D$2:$H$299,2,FALSE)</f>
        <v>USA IIC++ (custom model)</v>
      </c>
      <c r="N6" s="45" t="str">
        <f>VLOOKUP(W6,'AMP models AxeFxIII'!$D$2:$H$299,2,FALSE)</f>
        <v>Not Used</v>
      </c>
      <c r="O6" s="45" t="str">
        <f>VLOOKUP(X6,'AMP models AxeFxIII'!$D$2:$H$299,2,FALSE)</f>
        <v>Not Used</v>
      </c>
      <c r="P6" s="45" t="str">
        <f>VLOOKUP(Y6,'AMP models AxeFxIII'!$D$2:$H$299,2,FALSE)</f>
        <v>Not Used</v>
      </c>
      <c r="Q6" s="45" t="str">
        <f>VLOOKUP(Z6,'AMP models AxeFxIII'!$D$2:$H$299,2,FALSE)</f>
        <v>Not Used</v>
      </c>
      <c r="R6" s="4">
        <v>2</v>
      </c>
      <c r="S6" s="46">
        <v>265</v>
      </c>
      <c r="T6" s="46">
        <v>265</v>
      </c>
      <c r="U6" s="46">
        <v>264</v>
      </c>
      <c r="V6" s="46">
        <v>269</v>
      </c>
      <c r="W6" s="46" t="s">
        <v>555</v>
      </c>
      <c r="X6" s="46" t="s">
        <v>555</v>
      </c>
      <c r="Y6" s="46" t="s">
        <v>555</v>
      </c>
      <c r="Z6" s="46" t="s">
        <v>555</v>
      </c>
    </row>
    <row r="7" spans="1:31">
      <c r="A7" s="41">
        <f>preset_Names!A7</f>
        <v>3</v>
      </c>
      <c r="B7" t="str">
        <f t="shared" si="1"/>
        <v xml:space="preserve">strcpy(AMP1_A,("JP IIC+ Green (Mesa/Boogie JP-2C)")); strcpy(AMP1_B,("JP IIC+ Yellow")); strcpy(AMP1_C,("JP IIC+ Red")); strcpy(AMP1_D,("JP IIC+ YellowShred")); </v>
      </c>
      <c r="C7" t="str">
        <f t="shared" si="2"/>
        <v xml:space="preserve">strcpy(AMP2_A,("Not Used")); strcpy(AMP2_B,("Not Used")); strcpy(AMP2_C,("Not Used")); strcpy(AMP2_D,("Not Used")); </v>
      </c>
      <c r="D7" s="31" t="s">
        <v>893</v>
      </c>
      <c r="E7" s="42" t="str">
        <f t="shared" si="0"/>
        <v>case 3: strcpy(AMP1_A,("JP IIC+ Green (Mesa/Boogie JP-2C)")); strcpy(AMP1_B,("JP IIC+ Yellow")); strcpy(AMP1_C,("JP IIC+ Red")); strcpy(AMP1_D,("JP IIC+ YellowShred")); strcpy(AMP2_A,("Not Used")); strcpy(AMP2_B,("Not Used")); strcpy(AMP2_C,("Not Used")); strcpy(AMP2_D,("Not Used"));  break;</v>
      </c>
      <c r="F7" t="s">
        <v>893</v>
      </c>
      <c r="I7" t="s">
        <v>893</v>
      </c>
      <c r="J7" s="45" t="str">
        <f>VLOOKUP(S7,'AMP models AxeFxIII'!$D$2:$H$299,2,FALSE)</f>
        <v>JP IIC+ Green (Mesa/Boogie JP-2C)</v>
      </c>
      <c r="K7" s="45" t="str">
        <f>VLOOKUP(T7,'AMP models AxeFxIII'!$D$2:$H$299,2,FALSE)</f>
        <v>JP IIC+ Yellow</v>
      </c>
      <c r="L7" s="45" t="str">
        <f>VLOOKUP(U7,'AMP models AxeFxIII'!$D$2:$H$299,2,FALSE)</f>
        <v>JP IIC+ Red</v>
      </c>
      <c r="M7" s="45" t="str">
        <f>VLOOKUP(V7,'AMP models AxeFxIII'!$D$2:$H$299,2,FALSE)</f>
        <v>JP IIC+ YellowShred</v>
      </c>
      <c r="N7" s="45" t="str">
        <f>VLOOKUP(W7,'AMP models AxeFxIII'!$D$2:$H$299,2,FALSE)</f>
        <v>Not Used</v>
      </c>
      <c r="O7" s="45" t="str">
        <f>VLOOKUP(X7,'AMP models AxeFxIII'!$D$2:$H$299,2,FALSE)</f>
        <v>Not Used</v>
      </c>
      <c r="P7" s="45" t="str">
        <f>VLOOKUP(Y7,'AMP models AxeFxIII'!$D$2:$H$299,2,FALSE)</f>
        <v>Not Used</v>
      </c>
      <c r="Q7" s="45" t="str">
        <f>VLOOKUP(Z7,'AMP models AxeFxIII'!$D$2:$H$299,2,FALSE)</f>
        <v>Not Used</v>
      </c>
      <c r="R7" s="4">
        <v>3</v>
      </c>
      <c r="S7" s="46">
        <v>270</v>
      </c>
      <c r="T7" s="46">
        <v>273</v>
      </c>
      <c r="U7" s="46">
        <v>271</v>
      </c>
      <c r="V7" s="46">
        <v>274</v>
      </c>
      <c r="W7" s="46" t="s">
        <v>555</v>
      </c>
      <c r="X7" s="46" t="s">
        <v>555</v>
      </c>
      <c r="Y7" s="46" t="s">
        <v>555</v>
      </c>
      <c r="Z7" s="46" t="s">
        <v>555</v>
      </c>
    </row>
    <row r="8" spans="1:31">
      <c r="A8" s="41">
        <f>preset_Names!A8</f>
        <v>4</v>
      </c>
      <c r="B8" t="str">
        <f t="shared" si="1"/>
        <v xml:space="preserve">strcpy(AMP1_A,("JP IIC+ Green (Mesa/Boogie JP-2C)")); strcpy(AMP1_B,("JP IIC+ Yellow")); strcpy(AMP1_C,("JP IIC+ Red")); strcpy(AMP1_D,("USA IIC+ DEEPBRIGHT")); </v>
      </c>
      <c r="C8" t="str">
        <f t="shared" si="2"/>
        <v xml:space="preserve">strcpy(AMP2_A,("Not Used")); strcpy(AMP2_B,("Not Used")); strcpy(AMP2_C,("Not Used")); strcpy(AMP2_D,("Not Used")); </v>
      </c>
      <c r="D8" s="31" t="s">
        <v>893</v>
      </c>
      <c r="E8" s="42" t="str">
        <f t="shared" si="0"/>
        <v>case 4: strcpy(AMP1_A,("JP IIC+ Green (Mesa/Boogie JP-2C)")); strcpy(AMP1_B,("JP IIC+ Yellow")); strcpy(AMP1_C,("JP IIC+ Red")); strcpy(AMP1_D,("USA IIC+ DEEPBRIGHT")); strcpy(AMP2_A,("Not Used")); strcpy(AMP2_B,("Not Used")); strcpy(AMP2_C,("Not Used")); strcpy(AMP2_D,("Not Used"));  break;</v>
      </c>
      <c r="F8" t="s">
        <v>893</v>
      </c>
      <c r="I8" t="s">
        <v>893</v>
      </c>
      <c r="J8" s="45" t="str">
        <f>VLOOKUP(S8,'AMP models AxeFxIII'!$D$2:$H$299,2,FALSE)</f>
        <v>JP IIC+ Green (Mesa/Boogie JP-2C)</v>
      </c>
      <c r="K8" s="45" t="str">
        <f>VLOOKUP(T8,'AMP models AxeFxIII'!$D$2:$H$299,2,FALSE)</f>
        <v>JP IIC+ Yellow</v>
      </c>
      <c r="L8" s="45" t="str">
        <f>VLOOKUP(U8,'AMP models AxeFxIII'!$D$2:$H$299,2,FALSE)</f>
        <v>JP IIC+ Red</v>
      </c>
      <c r="M8" s="45" t="str">
        <f>VLOOKUP(V8,'AMP models AxeFxIII'!$D$2:$H$299,2,FALSE)</f>
        <v>USA IIC+ DEEPBRIGHT</v>
      </c>
      <c r="N8" s="45" t="str">
        <f>VLOOKUP(W8,'AMP models AxeFxIII'!$D$2:$H$299,2,FALSE)</f>
        <v>Not Used</v>
      </c>
      <c r="O8" s="45" t="str">
        <f>VLOOKUP(X8,'AMP models AxeFxIII'!$D$2:$H$299,2,FALSE)</f>
        <v>Not Used</v>
      </c>
      <c r="P8" s="45" t="str">
        <f>VLOOKUP(Y8,'AMP models AxeFxIII'!$D$2:$H$299,2,FALSE)</f>
        <v>Not Used</v>
      </c>
      <c r="Q8" s="45" t="str">
        <f>VLOOKUP(Z8,'AMP models AxeFxIII'!$D$2:$H$299,2,FALSE)</f>
        <v>Not Used</v>
      </c>
      <c r="R8" s="4">
        <v>4</v>
      </c>
      <c r="S8" s="46">
        <v>270</v>
      </c>
      <c r="T8" s="46">
        <v>273</v>
      </c>
      <c r="U8" s="46">
        <v>271</v>
      </c>
      <c r="V8" s="46">
        <v>268</v>
      </c>
      <c r="W8" s="46" t="s">
        <v>555</v>
      </c>
      <c r="X8" s="46" t="s">
        <v>555</v>
      </c>
      <c r="Y8" s="46" t="s">
        <v>555</v>
      </c>
      <c r="Z8" s="46" t="s">
        <v>555</v>
      </c>
    </row>
    <row r="9" spans="1:31">
      <c r="A9" s="41">
        <f>preset_Names!A9</f>
        <v>5</v>
      </c>
      <c r="B9" t="str">
        <f t="shared" si="1"/>
        <v xml:space="preserve">strcpy(AMP1_A,("JP IIC+ Green (Mesa/Boogie JP-2C)")); strcpy(AMP1_B,("JP IIC+ Green (Mesa/Boogie JP-2C)")); strcpy(AMP1_C,("JP IIC+ Yellow")); strcpy(AMP1_D,("JP IIC+ Yellow")); </v>
      </c>
      <c r="C9" t="str">
        <f t="shared" si="2"/>
        <v xml:space="preserve">strcpy(AMP2_A,("JP IIC+ Yellow")); strcpy(AMP2_B,("JP IIC+ Red")); strcpy(AMP2_C,("JP IIC+ Red")); strcpy(AMP2_D,("JP IIC+ Red")); </v>
      </c>
      <c r="D9" s="31" t="s">
        <v>893</v>
      </c>
      <c r="E9" s="42" t="str">
        <f t="shared" si="0"/>
        <v>case 5: strcpy(AMP1_A,("JP IIC+ Green (Mesa/Boogie JP-2C)")); strcpy(AMP1_B,("JP IIC+ Green (Mesa/Boogie JP-2C)")); strcpy(AMP1_C,("JP IIC+ Yellow")); strcpy(AMP1_D,("JP IIC+ Yellow")); strcpy(AMP2_A,("JP IIC+ Yellow")); strcpy(AMP2_B,("JP IIC+ Red")); strcpy(AMP2_C,("JP IIC+ Red")); strcpy(AMP2_D,("JP IIC+ Red"));  break;</v>
      </c>
      <c r="F9" t="s">
        <v>893</v>
      </c>
      <c r="I9" t="s">
        <v>893</v>
      </c>
      <c r="J9" s="45" t="str">
        <f>VLOOKUP(S9,'AMP models AxeFxIII'!$D$2:$H$299,2,FALSE)</f>
        <v>JP IIC+ Green (Mesa/Boogie JP-2C)</v>
      </c>
      <c r="K9" s="45" t="str">
        <f>VLOOKUP(T9,'AMP models AxeFxIII'!$D$2:$H$299,2,FALSE)</f>
        <v>JP IIC+ Green (Mesa/Boogie JP-2C)</v>
      </c>
      <c r="L9" s="45" t="str">
        <f>VLOOKUP(U9,'AMP models AxeFxIII'!$D$2:$H$299,2,FALSE)</f>
        <v>JP IIC+ Yellow</v>
      </c>
      <c r="M9" s="45" t="str">
        <f>VLOOKUP(V9,'AMP models AxeFxIII'!$D$2:$H$299,2,FALSE)</f>
        <v>JP IIC+ Yellow</v>
      </c>
      <c r="N9" s="45" t="str">
        <f>VLOOKUP(W9,'AMP models AxeFxIII'!$D$2:$H$299,2,FALSE)</f>
        <v>JP IIC+ Yellow</v>
      </c>
      <c r="O9" s="45" t="str">
        <f>VLOOKUP(X9,'AMP models AxeFxIII'!$D$2:$H$299,2,FALSE)</f>
        <v>JP IIC+ Red</v>
      </c>
      <c r="P9" s="45" t="str">
        <f>VLOOKUP(Y9,'AMP models AxeFxIII'!$D$2:$H$299,2,FALSE)</f>
        <v>JP IIC+ Red</v>
      </c>
      <c r="Q9" s="45" t="str">
        <f>VLOOKUP(Z9,'AMP models AxeFxIII'!$D$2:$H$299,2,FALSE)</f>
        <v>JP IIC+ Red</v>
      </c>
      <c r="R9" s="4">
        <v>5</v>
      </c>
      <c r="S9" s="46">
        <v>270</v>
      </c>
      <c r="T9" s="46">
        <v>270</v>
      </c>
      <c r="U9" s="46">
        <v>273</v>
      </c>
      <c r="V9" s="46">
        <v>273</v>
      </c>
      <c r="W9" s="46">
        <v>273</v>
      </c>
      <c r="X9" s="46">
        <v>271</v>
      </c>
      <c r="Y9" s="46">
        <v>271</v>
      </c>
      <c r="Z9" s="46">
        <v>271</v>
      </c>
    </row>
    <row r="10" spans="1:31">
      <c r="A10" s="41">
        <f>preset_Names!A10</f>
        <v>6</v>
      </c>
      <c r="B10" t="str">
        <f t="shared" si="1"/>
        <v xml:space="preserve">strcpy(AMP1_A,("JP IIC+ Green (Mesa/Boogie JP-2C)")); strcpy(AMP1_B,("JP IIC+ Yellow")); strcpy(AMP1_C,("JP IIC+ Red")); strcpy(AMP1_D,("JP IIC+ YellowShred")); </v>
      </c>
      <c r="C10" t="str">
        <f t="shared" si="2"/>
        <v xml:space="preserve">strcpy(AMP2_A,("Not Used")); strcpy(AMP2_B,("Not Used")); strcpy(AMP2_C,("Not Used")); strcpy(AMP2_D,("Not Used")); </v>
      </c>
      <c r="D10" s="31" t="s">
        <v>893</v>
      </c>
      <c r="E10" s="42" t="str">
        <f t="shared" si="0"/>
        <v>case 6: strcpy(AMP1_A,("JP IIC+ Green (Mesa/Boogie JP-2C)")); strcpy(AMP1_B,("JP IIC+ Yellow")); strcpy(AMP1_C,("JP IIC+ Red")); strcpy(AMP1_D,("JP IIC+ YellowShred")); strcpy(AMP2_A,("Not Used")); strcpy(AMP2_B,("Not Used")); strcpy(AMP2_C,("Not Used")); strcpy(AMP2_D,("Not Used"));  break;</v>
      </c>
      <c r="F10" t="s">
        <v>893</v>
      </c>
      <c r="I10" t="s">
        <v>893</v>
      </c>
      <c r="J10" s="45" t="str">
        <f>VLOOKUP(S10,'AMP models AxeFxIII'!$D$2:$H$299,2,FALSE)</f>
        <v>JP IIC+ Green (Mesa/Boogie JP-2C)</v>
      </c>
      <c r="K10" s="45" t="str">
        <f>VLOOKUP(T10,'AMP models AxeFxIII'!$D$2:$H$299,2,FALSE)</f>
        <v>JP IIC+ Yellow</v>
      </c>
      <c r="L10" s="45" t="str">
        <f>VLOOKUP(U10,'AMP models AxeFxIII'!$D$2:$H$299,2,FALSE)</f>
        <v>JP IIC+ Red</v>
      </c>
      <c r="M10" s="45" t="str">
        <f>VLOOKUP(V10,'AMP models AxeFxIII'!$D$2:$H$299,2,FALSE)</f>
        <v>JP IIC+ YellowShred</v>
      </c>
      <c r="N10" s="45" t="str">
        <f>VLOOKUP(W10,'AMP models AxeFxIII'!$D$2:$H$299,2,FALSE)</f>
        <v>Not Used</v>
      </c>
      <c r="O10" s="45" t="str">
        <f>VLOOKUP(X10,'AMP models AxeFxIII'!$D$2:$H$299,2,FALSE)</f>
        <v>Not Used</v>
      </c>
      <c r="P10" s="45" t="str">
        <f>VLOOKUP(Y10,'AMP models AxeFxIII'!$D$2:$H$299,2,FALSE)</f>
        <v>Not Used</v>
      </c>
      <c r="Q10" s="45" t="str">
        <f>VLOOKUP(Z10,'AMP models AxeFxIII'!$D$2:$H$299,2,FALSE)</f>
        <v>Not Used</v>
      </c>
      <c r="R10" s="4">
        <v>6</v>
      </c>
      <c r="S10" s="46">
        <v>270</v>
      </c>
      <c r="T10" s="46">
        <v>273</v>
      </c>
      <c r="U10" s="46">
        <v>271</v>
      </c>
      <c r="V10" s="46">
        <v>274</v>
      </c>
      <c r="W10" s="46" t="s">
        <v>555</v>
      </c>
      <c r="X10" s="46" t="s">
        <v>555</v>
      </c>
      <c r="Y10" s="46" t="s">
        <v>555</v>
      </c>
      <c r="Z10" s="46" t="s">
        <v>555</v>
      </c>
    </row>
    <row r="11" spans="1:31">
      <c r="A11" s="41">
        <f>preset_Names!A11</f>
        <v>7</v>
      </c>
      <c r="B11" t="str">
        <f t="shared" si="1"/>
        <v xml:space="preserve">strcpy(AMP1_A,("USA LEAD Mesa / Boogie Mark IV)")); strcpy(AMP1_B,("CLEAN Mesa/Boogie MarkIV")); strcpy(AMP1_C,("RECTO1 RED")); strcpy(AMP1_D,("RECTO1 RED")); </v>
      </c>
      <c r="C11" t="str">
        <f t="shared" si="2"/>
        <v xml:space="preserve">strcpy(AMP2_A,("Not Used")); strcpy(AMP2_B,("Not Used")); strcpy(AMP2_C,("Not Used")); strcpy(AMP2_D,("Not Used")); </v>
      </c>
      <c r="D11" s="31" t="s">
        <v>893</v>
      </c>
      <c r="E11" s="42" t="str">
        <f t="shared" si="0"/>
        <v>case 7: strcpy(AMP1_A,("USA LEAD Mesa / Boogie Mark IV)")); strcpy(AMP1_B,("CLEAN Mesa/Boogie MarkIV")); strcpy(AMP1_C,("RECTO1 RED")); strcpy(AMP1_D,("RECTO1 RED")); strcpy(AMP2_A,("Not Used")); strcpy(AMP2_B,("Not Used")); strcpy(AMP2_C,("Not Used")); strcpy(AMP2_D,("Not Used"));  break;</v>
      </c>
      <c r="F11" t="s">
        <v>893</v>
      </c>
      <c r="I11" t="s">
        <v>893</v>
      </c>
      <c r="J11" s="45" t="str">
        <f>VLOOKUP(S11,'AMP models AxeFxIII'!$D$2:$H$299,2,FALSE)</f>
        <v>USA LEAD Mesa / Boogie Mark IV)</v>
      </c>
      <c r="K11" s="45" t="str">
        <f>VLOOKUP(T11,'AMP models AxeFxIII'!$D$2:$H$299,2,FALSE)</f>
        <v>CLEAN Mesa/Boogie MarkIV</v>
      </c>
      <c r="L11" s="45" t="str">
        <f>VLOOKUP(U11,'AMP models AxeFxIII'!$D$2:$H$299,2,FALSE)</f>
        <v>RECTO1 RED</v>
      </c>
      <c r="M11" s="45" t="str">
        <f>VLOOKUP(V11,'AMP models AxeFxIII'!$D$2:$H$299,2,FALSE)</f>
        <v>RECTO1 RED</v>
      </c>
      <c r="N11" s="45" t="str">
        <f>VLOOKUP(W11,'AMP models AxeFxIII'!$D$2:$H$299,2,FALSE)</f>
        <v>Not Used</v>
      </c>
      <c r="O11" s="45" t="str">
        <f>VLOOKUP(X11,'AMP models AxeFxIII'!$D$2:$H$299,2,FALSE)</f>
        <v>Not Used</v>
      </c>
      <c r="P11" s="45" t="str">
        <f>VLOOKUP(Y11,'AMP models AxeFxIII'!$D$2:$H$299,2,FALSE)</f>
        <v>Not Used</v>
      </c>
      <c r="Q11" s="45" t="str">
        <f>VLOOKUP(Z11,'AMP models AxeFxIII'!$D$2:$H$299,2,FALSE)</f>
        <v>Not Used</v>
      </c>
      <c r="R11" s="4">
        <v>7</v>
      </c>
      <c r="S11" s="46">
        <v>275</v>
      </c>
      <c r="T11" s="46">
        <v>264</v>
      </c>
      <c r="U11" s="46">
        <v>218</v>
      </c>
      <c r="V11" s="46">
        <v>218</v>
      </c>
      <c r="W11" s="46" t="s">
        <v>555</v>
      </c>
      <c r="X11" s="46" t="s">
        <v>555</v>
      </c>
      <c r="Y11" s="46" t="s">
        <v>555</v>
      </c>
      <c r="Z11" s="46" t="s">
        <v>555</v>
      </c>
    </row>
    <row r="12" spans="1:31">
      <c r="A12" s="41">
        <f>preset_Names!A12</f>
        <v>8</v>
      </c>
      <c r="B12" t="str">
        <f t="shared" si="1"/>
        <v xml:space="preserve">strcpy(AMP1_A,("USA PRE-LD2 YELLOW")); strcpy(AMP1_B,("Mesa/Boogie TriAxis preamp")); strcpy(AMP1_C,("RECTO1 RED")); strcpy(AMP1_D,("RECTO1 RED")); </v>
      </c>
      <c r="C12" t="str">
        <f t="shared" si="2"/>
        <v xml:space="preserve">strcpy(AMP2_A,("Not Used")); strcpy(AMP2_B,("Not Used")); strcpy(AMP2_C,("Not Used")); strcpy(AMP2_D,("Not Used")); </v>
      </c>
      <c r="D12" s="31" t="s">
        <v>893</v>
      </c>
      <c r="E12" s="42" t="str">
        <f t="shared" si="0"/>
        <v>case 8: strcpy(AMP1_A,("USA PRE-LD2 YELLOW")); strcpy(AMP1_B,("Mesa/Boogie TriAxis preamp")); strcpy(AMP1_C,("RECTO1 RED")); strcpy(AMP1_D,("RECTO1 RED")); strcpy(AMP2_A,("Not Used")); strcpy(AMP2_B,("Not Used")); strcpy(AMP2_C,("Not Used")); strcpy(AMP2_D,("Not Used"));  break;</v>
      </c>
      <c r="F12" t="s">
        <v>893</v>
      </c>
      <c r="I12" t="s">
        <v>893</v>
      </c>
      <c r="J12" s="45" t="str">
        <f>VLOOKUP(S12,'AMP models AxeFxIII'!$D$2:$H$299,2,FALSE)</f>
        <v>USA PRE-LD2 YELLOW</v>
      </c>
      <c r="K12" s="45" t="str">
        <f>VLOOKUP(T12,'AMP models AxeFxIII'!$D$2:$H$299,2,FALSE)</f>
        <v>Mesa/Boogie TriAxis preamp</v>
      </c>
      <c r="L12" s="45" t="str">
        <f>VLOOKUP(U12,'AMP models AxeFxIII'!$D$2:$H$299,2,FALSE)</f>
        <v>RECTO1 RED</v>
      </c>
      <c r="M12" s="45" t="str">
        <f>VLOOKUP(V12,'AMP models AxeFxIII'!$D$2:$H$299,2,FALSE)</f>
        <v>RECTO1 RED</v>
      </c>
      <c r="N12" s="45" t="str">
        <f>VLOOKUP(W12,'AMP models AxeFxIII'!$D$2:$H$299,2,FALSE)</f>
        <v>Not Used</v>
      </c>
      <c r="O12" s="45" t="str">
        <f>VLOOKUP(X12,'AMP models AxeFxIII'!$D$2:$H$299,2,FALSE)</f>
        <v>Not Used</v>
      </c>
      <c r="P12" s="45" t="str">
        <f>VLOOKUP(Y12,'AMP models AxeFxIII'!$D$2:$H$299,2,FALSE)</f>
        <v>Not Used</v>
      </c>
      <c r="Q12" s="45" t="str">
        <f>VLOOKUP(Z12,'AMP models AxeFxIII'!$D$2:$H$299,2,FALSE)</f>
        <v>Not Used</v>
      </c>
      <c r="R12" s="4">
        <v>8</v>
      </c>
      <c r="S12" s="46">
        <v>283</v>
      </c>
      <c r="T12" s="46">
        <v>279</v>
      </c>
      <c r="U12" s="46">
        <v>218</v>
      </c>
      <c r="V12" s="46">
        <v>218</v>
      </c>
      <c r="W12" s="46" t="s">
        <v>555</v>
      </c>
      <c r="X12" s="46" t="s">
        <v>555</v>
      </c>
      <c r="Y12" s="46" t="s">
        <v>555</v>
      </c>
      <c r="Z12" s="46" t="s">
        <v>555</v>
      </c>
    </row>
    <row r="13" spans="1:31" ht="30">
      <c r="A13" s="41">
        <f>preset_Names!A13</f>
        <v>9</v>
      </c>
      <c r="B13" t="str">
        <f t="shared" si="1"/>
        <v xml:space="preserve">strcpy(AMP1_A,("CLEAN Mesa/Boogie MarkIV")); strcpy(AMP1_B,("JP IIC+ Yellow")); strcpy(AMP1_C,("JP IIC+ Red")); strcpy(AMP1_D,("1959 FenderTweed Bassman, 5F6-A")); </v>
      </c>
      <c r="C13" t="str">
        <f t="shared" si="2"/>
        <v xml:space="preserve">strcpy(AMP2_A,("Not Used")); strcpy(AMP2_B,("Not Used")); strcpy(AMP2_C,("Not Used")); strcpy(AMP2_D,("Not Used")); </v>
      </c>
      <c r="D13" s="31" t="s">
        <v>893</v>
      </c>
      <c r="E13" s="42" t="str">
        <f t="shared" si="0"/>
        <v>case 9: strcpy(AMP1_A,("CLEAN Mesa/Boogie MarkIV")); strcpy(AMP1_B,("JP IIC+ Yellow")); strcpy(AMP1_C,("JP IIC+ Red")); strcpy(AMP1_D,("1959 FenderTweed Bassman, 5F6-A")); strcpy(AMP2_A,("Not Used")); strcpy(AMP2_B,("Not Used")); strcpy(AMP2_C,("Not Used")); strcpy(AMP2_D,("Not Used"));  break;</v>
      </c>
      <c r="F13" t="s">
        <v>893</v>
      </c>
      <c r="I13" t="s">
        <v>893</v>
      </c>
      <c r="J13" s="45" t="str">
        <f>VLOOKUP(S13,'AMP models AxeFxIII'!$D$2:$H$299,2,FALSE)</f>
        <v>CLEAN Mesa/Boogie MarkIV</v>
      </c>
      <c r="K13" s="45" t="str">
        <f>VLOOKUP(T13,'AMP models AxeFxIII'!$D$2:$H$299,2,FALSE)</f>
        <v>JP IIC+ Yellow</v>
      </c>
      <c r="L13" s="45" t="str">
        <f>VLOOKUP(U13,'AMP models AxeFxIII'!$D$2:$H$299,2,FALSE)</f>
        <v>JP IIC+ Red</v>
      </c>
      <c r="M13" s="45" t="str">
        <f>VLOOKUP(V13,'AMP models AxeFxIII'!$D$2:$H$299,2,FALSE)</f>
        <v>1959 FenderTweed Bassman, 5F6-A</v>
      </c>
      <c r="N13" s="45" t="str">
        <f>VLOOKUP(W13,'AMP models AxeFxIII'!$D$2:$H$299,2,FALSE)</f>
        <v>Not Used</v>
      </c>
      <c r="O13" s="45" t="str">
        <f>VLOOKUP(X13,'AMP models AxeFxIII'!$D$2:$H$299,2,FALSE)</f>
        <v>Not Used</v>
      </c>
      <c r="P13" s="45" t="str">
        <f>VLOOKUP(Y13,'AMP models AxeFxIII'!$D$2:$H$299,2,FALSE)</f>
        <v>Not Used</v>
      </c>
      <c r="Q13" s="45" t="str">
        <f>VLOOKUP(Z13,'AMP models AxeFxIII'!$D$2:$H$299,2,FALSE)</f>
        <v>Not Used</v>
      </c>
      <c r="R13" s="4">
        <v>9</v>
      </c>
      <c r="S13" s="46">
        <v>264</v>
      </c>
      <c r="T13" s="46">
        <v>273</v>
      </c>
      <c r="U13" s="46">
        <v>271</v>
      </c>
      <c r="V13" s="46">
        <v>11</v>
      </c>
      <c r="W13" s="46" t="s">
        <v>555</v>
      </c>
      <c r="X13" s="46" t="s">
        <v>555</v>
      </c>
      <c r="Y13" s="46" t="s">
        <v>555</v>
      </c>
      <c r="Z13" s="46" t="s">
        <v>555</v>
      </c>
    </row>
    <row r="14" spans="1:31">
      <c r="A14" s="41">
        <f>preset_Names!A14</f>
        <v>10</v>
      </c>
      <c r="B14" t="str">
        <f t="shared" si="1"/>
        <v xml:space="preserve">strcpy(AMP1_A,("USA PRE-LD2 YELLOW")); strcpy(AMP1_B,("USA PRE-LD2 YELLOW")); strcpy(AMP1_C,("PRE-LD1 RED TX-4_board")); strcpy(AMP1_D,("USA PRE-LD2 YELLOW")); </v>
      </c>
      <c r="C14" t="str">
        <f t="shared" si="2"/>
        <v xml:space="preserve">strcpy(AMP2_A,("PRE-LD1 RED TX-4_board")); strcpy(AMP2_B,("USA PRE-LD2 YELLOW")); strcpy(AMP2_C,("PRE-LD1 RED TX-4_board")); strcpy(AMP2_D,("PRE-LD1 RED TX-4_board")); </v>
      </c>
      <c r="D14" s="31" t="s">
        <v>893</v>
      </c>
      <c r="E14" s="42" t="str">
        <f t="shared" si="0"/>
        <v>case 10: strcpy(AMP1_A,("USA PRE-LD2 YELLOW")); strcpy(AMP1_B,("USA PRE-LD2 YELLOW")); strcpy(AMP1_C,("PRE-LD1 RED TX-4_board")); strcpy(AMP1_D,("USA PRE-LD2 YELLOW")); strcpy(AMP2_A,("PRE-LD1 RED TX-4_board")); strcpy(AMP2_B,("USA PRE-LD2 YELLOW")); strcpy(AMP2_C,("PRE-LD1 RED TX-4_board")); strcpy(AMP2_D,("PRE-LD1 RED TX-4_board"));  break;</v>
      </c>
      <c r="F14" t="s">
        <v>893</v>
      </c>
      <c r="I14" t="s">
        <v>893</v>
      </c>
      <c r="J14" s="45" t="str">
        <f>VLOOKUP(S14,'AMP models AxeFxIII'!$D$2:$H$299,2,FALSE)</f>
        <v>USA PRE-LD2 YELLOW</v>
      </c>
      <c r="K14" s="45" t="str">
        <f>VLOOKUP(T14,'AMP models AxeFxIII'!$D$2:$H$299,2,FALSE)</f>
        <v>USA PRE-LD2 YELLOW</v>
      </c>
      <c r="L14" s="45" t="str">
        <f>VLOOKUP(U14,'AMP models AxeFxIII'!$D$2:$H$299,2,FALSE)</f>
        <v>PRE-LD1 RED TX-4_board</v>
      </c>
      <c r="M14" s="45" t="str">
        <f>VLOOKUP(V14,'AMP models AxeFxIII'!$D$2:$H$299,2,FALSE)</f>
        <v>USA PRE-LD2 YELLOW</v>
      </c>
      <c r="N14" s="45" t="str">
        <f>VLOOKUP(W14,'AMP models AxeFxIII'!$D$2:$H$299,2,FALSE)</f>
        <v>PRE-LD1 RED TX-4_board</v>
      </c>
      <c r="O14" s="45" t="str">
        <f>VLOOKUP(X14,'AMP models AxeFxIII'!$D$2:$H$299,2,FALSE)</f>
        <v>USA PRE-LD2 YELLOW</v>
      </c>
      <c r="P14" s="45" t="str">
        <f>VLOOKUP(Y14,'AMP models AxeFxIII'!$D$2:$H$299,2,FALSE)</f>
        <v>PRE-LD1 RED TX-4_board</v>
      </c>
      <c r="Q14" s="45" t="str">
        <f>VLOOKUP(Z14,'AMP models AxeFxIII'!$D$2:$H$299,2,FALSE)</f>
        <v>PRE-LD1 RED TX-4_board</v>
      </c>
      <c r="R14" s="4">
        <v>10</v>
      </c>
      <c r="S14" s="46">
        <v>283</v>
      </c>
      <c r="T14" s="46">
        <v>283</v>
      </c>
      <c r="U14" s="46">
        <v>280</v>
      </c>
      <c r="V14" s="46">
        <v>283</v>
      </c>
      <c r="W14" s="46">
        <v>280</v>
      </c>
      <c r="X14" s="46">
        <v>283</v>
      </c>
      <c r="Y14" s="46">
        <v>280</v>
      </c>
      <c r="Z14" s="46">
        <v>280</v>
      </c>
    </row>
    <row r="15" spans="1:31">
      <c r="A15" s="41">
        <f>preset_Names!A15</f>
        <v>11</v>
      </c>
      <c r="B15" t="str">
        <f t="shared" si="1"/>
        <v xml:space="preserve">strcpy(AMP1_A,("RECTO1 RED")); strcpy(AMP1_B,("CA3+ CLEAN")); strcpy(AMP1_C,("CAPT HOOK 1B")); strcpy(AMP1_D,("CAPT HOOK 2B")); </v>
      </c>
      <c r="C15" t="str">
        <f t="shared" si="2"/>
        <v xml:space="preserve">strcpy(AMP2_A,("Not Used")); strcpy(AMP2_B,("Not Used")); strcpy(AMP2_C,("Not Used")); strcpy(AMP2_D,("Not Used")); </v>
      </c>
      <c r="D15" s="31" t="s">
        <v>893</v>
      </c>
      <c r="E15" s="42" t="str">
        <f t="shared" si="0"/>
        <v>case 11: strcpy(AMP1_A,("RECTO1 RED")); strcpy(AMP1_B,("CA3+ CLEAN")); strcpy(AMP1_C,("CAPT HOOK 1B")); strcpy(AMP1_D,("CAPT HOOK 2B")); strcpy(AMP2_A,("Not Used")); strcpy(AMP2_B,("Not Used")); strcpy(AMP2_C,("Not Used")); strcpy(AMP2_D,("Not Used"));  break;</v>
      </c>
      <c r="F15" t="s">
        <v>893</v>
      </c>
      <c r="I15" t="s">
        <v>893</v>
      </c>
      <c r="J15" s="45" t="str">
        <f>VLOOKUP(S15,'AMP models AxeFxIII'!$D$2:$H$299,2,FALSE)</f>
        <v>RECTO1 RED</v>
      </c>
      <c r="K15" s="45" t="str">
        <f>VLOOKUP(T15,'AMP models AxeFxIII'!$D$2:$H$299,2,FALSE)</f>
        <v>CA3+ CLEAN</v>
      </c>
      <c r="L15" s="45" t="str">
        <f>VLOOKUP(U15,'AMP models AxeFxIII'!$D$2:$H$299,2,FALSE)</f>
        <v>CAPT HOOK 1B</v>
      </c>
      <c r="M15" s="45" t="str">
        <f>VLOOKUP(V15,'AMP models AxeFxIII'!$D$2:$H$299,2,FALSE)</f>
        <v>CAPT HOOK 2B</v>
      </c>
      <c r="N15" s="45" t="str">
        <f>VLOOKUP(W15,'AMP models AxeFxIII'!$D$2:$H$299,2,FALSE)</f>
        <v>Not Used</v>
      </c>
      <c r="O15" s="45" t="str">
        <f>VLOOKUP(X15,'AMP models AxeFxIII'!$D$2:$H$299,2,FALSE)</f>
        <v>Not Used</v>
      </c>
      <c r="P15" s="45" t="str">
        <f>VLOOKUP(Y15,'AMP models AxeFxIII'!$D$2:$H$299,2,FALSE)</f>
        <v>Not Used</v>
      </c>
      <c r="Q15" s="45" t="str">
        <f>VLOOKUP(Z15,'AMP models AxeFxIII'!$D$2:$H$299,2,FALSE)</f>
        <v>Not Used</v>
      </c>
      <c r="R15" s="4">
        <v>11</v>
      </c>
      <c r="S15" s="46">
        <v>218</v>
      </c>
      <c r="T15" s="46">
        <v>60</v>
      </c>
      <c r="U15" s="46">
        <v>70</v>
      </c>
      <c r="V15" s="46">
        <v>72</v>
      </c>
      <c r="W15" s="46" t="s">
        <v>555</v>
      </c>
      <c r="X15" s="46" t="s">
        <v>555</v>
      </c>
      <c r="Y15" s="46" t="s">
        <v>555</v>
      </c>
      <c r="Z15" s="46" t="s">
        <v>555</v>
      </c>
    </row>
    <row r="16" spans="1:31">
      <c r="A16" s="41">
        <f>preset_Names!A16</f>
        <v>12</v>
      </c>
      <c r="B16" t="str">
        <f t="shared" si="1"/>
        <v xml:space="preserve">strcpy(AMP1_A,("RECTO1 RED")); strcpy(AMP1_B,("CA3+ CLEAN")); strcpy(AMP1_C,("RECTO1 RED")); strcpy(AMP1_D,("RECTO1 RED")); </v>
      </c>
      <c r="C16" t="str">
        <f t="shared" si="2"/>
        <v xml:space="preserve">strcpy(AMP2_A,("Not Used")); strcpy(AMP2_B,("Not Used")); strcpy(AMP2_C,("Not Used")); strcpy(AMP2_D,("Not Used")); </v>
      </c>
      <c r="D16" s="31" t="s">
        <v>893</v>
      </c>
      <c r="E16" s="42" t="str">
        <f t="shared" si="0"/>
        <v>case 12: strcpy(AMP1_A,("RECTO1 RED")); strcpy(AMP1_B,("CA3+ CLEAN")); strcpy(AMP1_C,("RECTO1 RED")); strcpy(AMP1_D,("RECTO1 RED")); strcpy(AMP2_A,("Not Used")); strcpy(AMP2_B,("Not Used")); strcpy(AMP2_C,("Not Used")); strcpy(AMP2_D,("Not Used"));  break;</v>
      </c>
      <c r="F16" t="s">
        <v>893</v>
      </c>
      <c r="I16" t="s">
        <v>893</v>
      </c>
      <c r="J16" s="45" t="str">
        <f>VLOOKUP(S16,'AMP models AxeFxIII'!$D$2:$H$299,2,FALSE)</f>
        <v>RECTO1 RED</v>
      </c>
      <c r="K16" s="45" t="str">
        <f>VLOOKUP(T16,'AMP models AxeFxIII'!$D$2:$H$299,2,FALSE)</f>
        <v>CA3+ CLEAN</v>
      </c>
      <c r="L16" s="45" t="str">
        <f>VLOOKUP(U16,'AMP models AxeFxIII'!$D$2:$H$299,2,FALSE)</f>
        <v>RECTO1 RED</v>
      </c>
      <c r="M16" s="45" t="str">
        <f>VLOOKUP(V16,'AMP models AxeFxIII'!$D$2:$H$299,2,FALSE)</f>
        <v>RECTO1 RED</v>
      </c>
      <c r="N16" s="45" t="str">
        <f>VLOOKUP(W16,'AMP models AxeFxIII'!$D$2:$H$299,2,FALSE)</f>
        <v>Not Used</v>
      </c>
      <c r="O16" s="45" t="str">
        <f>VLOOKUP(X16,'AMP models AxeFxIII'!$D$2:$H$299,2,FALSE)</f>
        <v>Not Used</v>
      </c>
      <c r="P16" s="45" t="str">
        <f>VLOOKUP(Y16,'AMP models AxeFxIII'!$D$2:$H$299,2,FALSE)</f>
        <v>Not Used</v>
      </c>
      <c r="Q16" s="45" t="str">
        <f>VLOOKUP(Z16,'AMP models AxeFxIII'!$D$2:$H$299,2,FALSE)</f>
        <v>Not Used</v>
      </c>
      <c r="R16" s="4">
        <v>12</v>
      </c>
      <c r="S16" s="46">
        <v>218</v>
      </c>
      <c r="T16" s="46">
        <v>60</v>
      </c>
      <c r="U16" s="46">
        <v>218</v>
      </c>
      <c r="V16" s="46">
        <v>218</v>
      </c>
      <c r="W16" s="46" t="s">
        <v>555</v>
      </c>
      <c r="X16" s="46" t="s">
        <v>555</v>
      </c>
      <c r="Y16" s="46" t="s">
        <v>555</v>
      </c>
      <c r="Z16" s="46" t="s">
        <v>555</v>
      </c>
    </row>
    <row r="17" spans="1:26">
      <c r="A17" s="41">
        <f>preset_Names!A17</f>
        <v>13</v>
      </c>
      <c r="B17" t="str">
        <f t="shared" si="1"/>
        <v xml:space="preserve">strcpy(AMP1_A,("RECTO1 RED")); strcpy(AMP1_B,("blackface Fender Tremolux, AA763")); strcpy(AMP1_C,("1971 silverface TwinReverb")); strcpy(AMP1_D,("RECTO1 RED")); </v>
      </c>
      <c r="C17" t="str">
        <f t="shared" si="2"/>
        <v xml:space="preserve">strcpy(AMP2_A,("Not Used")); strcpy(AMP2_B,("Not Used")); strcpy(AMP2_C,("Not Used")); strcpy(AMP2_D,("Not Used")); </v>
      </c>
      <c r="D17" s="31" t="s">
        <v>893</v>
      </c>
      <c r="E17" s="42" t="str">
        <f t="shared" si="0"/>
        <v>case 13: strcpy(AMP1_A,("RECTO1 RED")); strcpy(AMP1_B,("blackface Fender Tremolux, AA763")); strcpy(AMP1_C,("1971 silverface TwinReverb")); strcpy(AMP1_D,("RECTO1 RED")); strcpy(AMP2_A,("Not Used")); strcpy(AMP2_B,("Not Used")); strcpy(AMP2_C,("Not Used")); strcpy(AMP2_D,("Not Used"));  break;</v>
      </c>
      <c r="F17" t="s">
        <v>893</v>
      </c>
      <c r="I17" t="s">
        <v>893</v>
      </c>
      <c r="J17" s="45" t="str">
        <f>VLOOKUP(S17,'AMP models AxeFxIII'!$D$2:$H$299,2,FALSE)</f>
        <v>RECTO1 RED</v>
      </c>
      <c r="K17" s="45" t="str">
        <f>VLOOKUP(T17,'AMP models AxeFxIII'!$D$2:$H$299,2,FALSE)</f>
        <v>blackface Fender Tremolux, AA763</v>
      </c>
      <c r="L17" s="45" t="str">
        <f>VLOOKUP(U17,'AMP models AxeFxIII'!$D$2:$H$299,2,FALSE)</f>
        <v>1971 silverface TwinReverb</v>
      </c>
      <c r="M17" s="45" t="str">
        <f>VLOOKUP(V17,'AMP models AxeFxIII'!$D$2:$H$299,2,FALSE)</f>
        <v>RECTO1 RED</v>
      </c>
      <c r="N17" s="45" t="str">
        <f>VLOOKUP(W17,'AMP models AxeFxIII'!$D$2:$H$299,2,FALSE)</f>
        <v>Not Used</v>
      </c>
      <c r="O17" s="45" t="str">
        <f>VLOOKUP(X17,'AMP models AxeFxIII'!$D$2:$H$299,2,FALSE)</f>
        <v>Not Used</v>
      </c>
      <c r="P17" s="45" t="str">
        <f>VLOOKUP(Y17,'AMP models AxeFxIII'!$D$2:$H$299,2,FALSE)</f>
        <v>Not Used</v>
      </c>
      <c r="Q17" s="45" t="str">
        <f>VLOOKUP(Z17,'AMP models AxeFxIII'!$D$2:$H$299,2,FALSE)</f>
        <v>Not Used</v>
      </c>
      <c r="R17" s="4">
        <v>13</v>
      </c>
      <c r="S17" s="46">
        <v>218</v>
      </c>
      <c r="T17" s="46">
        <v>256</v>
      </c>
      <c r="U17" s="46">
        <v>113</v>
      </c>
      <c r="V17" s="46">
        <v>218</v>
      </c>
      <c r="W17" s="46" t="s">
        <v>555</v>
      </c>
      <c r="X17" s="46" t="s">
        <v>555</v>
      </c>
      <c r="Y17" s="46" t="s">
        <v>555</v>
      </c>
      <c r="Z17" s="46" t="s">
        <v>555</v>
      </c>
    </row>
    <row r="18" spans="1:26" ht="30">
      <c r="A18" s="41">
        <f>preset_Names!A18</f>
        <v>14</v>
      </c>
      <c r="B18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18" t="str">
        <f t="shared" si="2"/>
        <v xml:space="preserve">strcpy(AMP2_A,("Not Used")); strcpy(AMP2_B,("Not Used")); strcpy(AMP2_C,("Not Used")); strcpy(AMP2_D,("Not Used")); </v>
      </c>
      <c r="D18" s="31" t="s">
        <v>893</v>
      </c>
      <c r="E18" s="42" t="str">
        <f t="shared" si="0"/>
        <v>case 14: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18" t="s">
        <v>893</v>
      </c>
      <c r="I18" t="s">
        <v>893</v>
      </c>
      <c r="J18" s="45" t="str">
        <f>VLOOKUP(S18,'AMP models AxeFxIII'!$D$2:$H$299,2,FALSE)</f>
        <v>JP IIC+ Yellow</v>
      </c>
      <c r="K18" s="45" t="str">
        <f>VLOOKUP(T18,'AMP models AxeFxIII'!$D$2:$H$299,2,FALSE)</f>
        <v>JP IIC+ Green (Mesa/Boogie JP-2C)</v>
      </c>
      <c r="L18" s="45" t="str">
        <f>VLOOKUP(U18,'AMP models AxeFxIII'!$D$2:$H$299,2,FALSE)</f>
        <v>JP IIC+ Green (Mesa/Boogie JP-2C)</v>
      </c>
      <c r="M18" s="45" t="str">
        <f>VLOOKUP(V18,'AMP models AxeFxIII'!$D$2:$H$299,2,FALSE)</f>
        <v>JP IIC+ Green (Mesa/Boogie JP-2C)</v>
      </c>
      <c r="N18" s="45" t="str">
        <f>VLOOKUP(W18,'AMP models AxeFxIII'!$D$2:$H$299,2,FALSE)</f>
        <v>Not Used</v>
      </c>
      <c r="O18" s="45" t="str">
        <f>VLOOKUP(X18,'AMP models AxeFxIII'!$D$2:$H$299,2,FALSE)</f>
        <v>Not Used</v>
      </c>
      <c r="P18" s="45" t="str">
        <f>VLOOKUP(Y18,'AMP models AxeFxIII'!$D$2:$H$299,2,FALSE)</f>
        <v>Not Used</v>
      </c>
      <c r="Q18" s="45" t="str">
        <f>VLOOKUP(Z18,'AMP models AxeFxIII'!$D$2:$H$299,2,FALSE)</f>
        <v>Not Used</v>
      </c>
      <c r="R18" s="4">
        <v>14</v>
      </c>
      <c r="S18" s="46">
        <v>273</v>
      </c>
      <c r="T18" s="46">
        <v>270</v>
      </c>
      <c r="U18" s="46">
        <v>270</v>
      </c>
      <c r="V18" s="46">
        <v>270</v>
      </c>
      <c r="W18" s="46" t="s">
        <v>555</v>
      </c>
      <c r="X18" s="46" t="s">
        <v>555</v>
      </c>
      <c r="Y18" s="46" t="s">
        <v>555</v>
      </c>
      <c r="Z18" s="46" t="s">
        <v>555</v>
      </c>
    </row>
    <row r="19" spans="1:26" ht="30">
      <c r="A19" s="41">
        <f>preset_Names!A19</f>
        <v>15</v>
      </c>
      <c r="B19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19" t="str">
        <f t="shared" si="2"/>
        <v xml:space="preserve">strcpy(AMP2_A,("Not Used")); strcpy(AMP2_B,("Not Used")); strcpy(AMP2_C,("Not Used")); strcpy(AMP2_D,("Not Used")); </v>
      </c>
      <c r="D19" s="31" t="s">
        <v>893</v>
      </c>
      <c r="E19" s="42" t="str">
        <f t="shared" si="0"/>
        <v>case 15: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19" t="s">
        <v>893</v>
      </c>
      <c r="I19" t="s">
        <v>893</v>
      </c>
      <c r="J19" s="45" t="str">
        <f>VLOOKUP(S19,'AMP models AxeFxIII'!$D$2:$H$299,2,FALSE)</f>
        <v>JP IIC+ Yellow</v>
      </c>
      <c r="K19" s="45" t="str">
        <f>VLOOKUP(T19,'AMP models AxeFxIII'!$D$2:$H$299,2,FALSE)</f>
        <v>JP IIC+ Green (Mesa/Boogie JP-2C)</v>
      </c>
      <c r="L19" s="45" t="str">
        <f>VLOOKUP(U19,'AMP models AxeFxIII'!$D$2:$H$299,2,FALSE)</f>
        <v>JP IIC+ Green (Mesa/Boogie JP-2C)</v>
      </c>
      <c r="M19" s="45" t="str">
        <f>VLOOKUP(V19,'AMP models AxeFxIII'!$D$2:$H$299,2,FALSE)</f>
        <v>JP IIC+ Green (Mesa/Boogie JP-2C)</v>
      </c>
      <c r="N19" s="45" t="str">
        <f>VLOOKUP(W19,'AMP models AxeFxIII'!$D$2:$H$299,2,FALSE)</f>
        <v>Not Used</v>
      </c>
      <c r="O19" s="45" t="str">
        <f>VLOOKUP(X19,'AMP models AxeFxIII'!$D$2:$H$299,2,FALSE)</f>
        <v>Not Used</v>
      </c>
      <c r="P19" s="45" t="str">
        <f>VLOOKUP(Y19,'AMP models AxeFxIII'!$D$2:$H$299,2,FALSE)</f>
        <v>Not Used</v>
      </c>
      <c r="Q19" s="45" t="str">
        <f>VLOOKUP(Z19,'AMP models AxeFxIII'!$D$2:$H$299,2,FALSE)</f>
        <v>Not Used</v>
      </c>
      <c r="R19" s="4">
        <v>15</v>
      </c>
      <c r="S19" s="46">
        <v>273</v>
      </c>
      <c r="T19" s="46">
        <v>270</v>
      </c>
      <c r="U19" s="46">
        <v>270</v>
      </c>
      <c r="V19" s="46">
        <v>270</v>
      </c>
      <c r="W19" s="46" t="s">
        <v>555</v>
      </c>
      <c r="X19" s="46" t="s">
        <v>555</v>
      </c>
      <c r="Y19" s="46" t="s">
        <v>555</v>
      </c>
      <c r="Z19" s="46" t="s">
        <v>555</v>
      </c>
    </row>
    <row r="20" spans="1:26" ht="30">
      <c r="A20" s="41">
        <f>preset_Names!A20</f>
        <v>16</v>
      </c>
      <c r="B20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20" t="str">
        <f t="shared" si="2"/>
        <v xml:space="preserve">strcpy(AMP2_A,("Not Used")); strcpy(AMP2_B,("Not Used")); strcpy(AMP2_C,("Not Used")); strcpy(AMP2_D,("Not Used")); </v>
      </c>
      <c r="D20" s="31" t="s">
        <v>893</v>
      </c>
      <c r="E20" s="42" t="str">
        <f t="shared" si="0"/>
        <v>case 16: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0" t="s">
        <v>893</v>
      </c>
      <c r="I20" t="s">
        <v>893</v>
      </c>
      <c r="J20" s="45" t="str">
        <f>VLOOKUP(S20,'AMP models AxeFxIII'!$D$2:$H$299,2,FALSE)</f>
        <v>JP IIC+ Yellow</v>
      </c>
      <c r="K20" s="45" t="str">
        <f>VLOOKUP(T20,'AMP models AxeFxIII'!$D$2:$H$299,2,FALSE)</f>
        <v>JP IIC+ Green (Mesa/Boogie JP-2C)</v>
      </c>
      <c r="L20" s="45" t="str">
        <f>VLOOKUP(U20,'AMP models AxeFxIII'!$D$2:$H$299,2,FALSE)</f>
        <v>JP IIC+ Green (Mesa/Boogie JP-2C)</v>
      </c>
      <c r="M20" s="45" t="str">
        <f>VLOOKUP(V20,'AMP models AxeFxIII'!$D$2:$H$299,2,FALSE)</f>
        <v>JP IIC+ Green (Mesa/Boogie JP-2C)</v>
      </c>
      <c r="N20" s="45" t="str">
        <f>VLOOKUP(W20,'AMP models AxeFxIII'!$D$2:$H$299,2,FALSE)</f>
        <v>Not Used</v>
      </c>
      <c r="O20" s="45" t="str">
        <f>VLOOKUP(X20,'AMP models AxeFxIII'!$D$2:$H$299,2,FALSE)</f>
        <v>Not Used</v>
      </c>
      <c r="P20" s="45" t="str">
        <f>VLOOKUP(Y20,'AMP models AxeFxIII'!$D$2:$H$299,2,FALSE)</f>
        <v>Not Used</v>
      </c>
      <c r="Q20" s="45" t="str">
        <f>VLOOKUP(Z20,'AMP models AxeFxIII'!$D$2:$H$299,2,FALSE)</f>
        <v>Not Used</v>
      </c>
      <c r="R20" s="4">
        <v>16</v>
      </c>
      <c r="S20" s="46">
        <v>273</v>
      </c>
      <c r="T20" s="46">
        <v>270</v>
      </c>
      <c r="U20" s="46">
        <v>270</v>
      </c>
      <c r="V20" s="46">
        <v>270</v>
      </c>
      <c r="W20" s="46" t="s">
        <v>555</v>
      </c>
      <c r="X20" s="46" t="s">
        <v>555</v>
      </c>
      <c r="Y20" s="46" t="s">
        <v>555</v>
      </c>
      <c r="Z20" s="46" t="s">
        <v>555</v>
      </c>
    </row>
    <row r="21" spans="1:26" ht="30">
      <c r="A21" s="41">
        <f>preset_Names!A21</f>
        <v>17</v>
      </c>
      <c r="B21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21" t="str">
        <f t="shared" si="2"/>
        <v xml:space="preserve">strcpy(AMP2_A,("Not Used")); strcpy(AMP2_B,("Not Used")); strcpy(AMP2_C,("Not Used")); strcpy(AMP2_D,("Not Used")); </v>
      </c>
      <c r="D21" s="31" t="s">
        <v>893</v>
      </c>
      <c r="E21" s="42" t="str">
        <f t="shared" si="0"/>
        <v>case 17: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1" t="s">
        <v>893</v>
      </c>
      <c r="I21" t="s">
        <v>893</v>
      </c>
      <c r="J21" s="45" t="str">
        <f>VLOOKUP(S21,'AMP models AxeFxIII'!$D$2:$H$299,2,FALSE)</f>
        <v>JP IIC+ Yellow</v>
      </c>
      <c r="K21" s="45" t="str">
        <f>VLOOKUP(T21,'AMP models AxeFxIII'!$D$2:$H$299,2,FALSE)</f>
        <v>JP IIC+ Green (Mesa/Boogie JP-2C)</v>
      </c>
      <c r="L21" s="45" t="str">
        <f>VLOOKUP(U21,'AMP models AxeFxIII'!$D$2:$H$299,2,FALSE)</f>
        <v>JP IIC+ Green (Mesa/Boogie JP-2C)</v>
      </c>
      <c r="M21" s="45" t="str">
        <f>VLOOKUP(V21,'AMP models AxeFxIII'!$D$2:$H$299,2,FALSE)</f>
        <v>JP IIC+ Green (Mesa/Boogie JP-2C)</v>
      </c>
      <c r="N21" s="45" t="str">
        <f>VLOOKUP(W21,'AMP models AxeFxIII'!$D$2:$H$299,2,FALSE)</f>
        <v>Not Used</v>
      </c>
      <c r="O21" s="45" t="str">
        <f>VLOOKUP(X21,'AMP models AxeFxIII'!$D$2:$H$299,2,FALSE)</f>
        <v>Not Used</v>
      </c>
      <c r="P21" s="45" t="str">
        <f>VLOOKUP(Y21,'AMP models AxeFxIII'!$D$2:$H$299,2,FALSE)</f>
        <v>Not Used</v>
      </c>
      <c r="Q21" s="45" t="str">
        <f>VLOOKUP(Z21,'AMP models AxeFxIII'!$D$2:$H$299,2,FALSE)</f>
        <v>Not Used</v>
      </c>
      <c r="R21" s="4">
        <v>17</v>
      </c>
      <c r="S21" s="46">
        <v>273</v>
      </c>
      <c r="T21" s="46">
        <v>270</v>
      </c>
      <c r="U21" s="46">
        <v>270</v>
      </c>
      <c r="V21" s="46">
        <v>270</v>
      </c>
      <c r="W21" s="46" t="s">
        <v>555</v>
      </c>
      <c r="X21" s="46" t="s">
        <v>555</v>
      </c>
      <c r="Y21" s="46" t="s">
        <v>555</v>
      </c>
      <c r="Z21" s="46" t="s">
        <v>555</v>
      </c>
    </row>
    <row r="22" spans="1:26" ht="30">
      <c r="A22" s="41">
        <f>preset_Names!A22</f>
        <v>18</v>
      </c>
      <c r="B22" t="str">
        <f t="shared" si="1"/>
        <v xml:space="preserve">strcpy(AMP1_A,("USA LEAD Mesa / Boogie Mark IV)")); strcpy(AMP1_B,("JP IIC+ Green (Mesa/Boogie JP-2C)")); strcpy(AMP1_C,("JP IIC+ Green (Mesa/Boogie JP-2C)")); strcpy(AMP1_D,("JP IIC+ Green (Mesa/Boogie JP-2C)")); </v>
      </c>
      <c r="C22" t="str">
        <f t="shared" si="2"/>
        <v xml:space="preserve">strcpy(AMP2_A,("Not Used")); strcpy(AMP2_B,("Not Used")); strcpy(AMP2_C,("Not Used")); strcpy(AMP2_D,("Not Used")); </v>
      </c>
      <c r="D22" s="31" t="s">
        <v>893</v>
      </c>
      <c r="E22" s="42" t="str">
        <f t="shared" si="0"/>
        <v>case 18: strcpy(AMP1_A,("USA LEAD Mesa / Boogie Mark IV)"));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2" t="s">
        <v>893</v>
      </c>
      <c r="I22" t="s">
        <v>893</v>
      </c>
      <c r="J22" s="45" t="str">
        <f>VLOOKUP(S22,'AMP models AxeFxIII'!$D$2:$H$299,2,FALSE)</f>
        <v>USA LEAD Mesa / Boogie Mark IV)</v>
      </c>
      <c r="K22" s="45" t="str">
        <f>VLOOKUP(T22,'AMP models AxeFxIII'!$D$2:$H$299,2,FALSE)</f>
        <v>JP IIC+ Green (Mesa/Boogie JP-2C)</v>
      </c>
      <c r="L22" s="45" t="str">
        <f>VLOOKUP(U22,'AMP models AxeFxIII'!$D$2:$H$299,2,FALSE)</f>
        <v>JP IIC+ Green (Mesa/Boogie JP-2C)</v>
      </c>
      <c r="M22" s="45" t="str">
        <f>VLOOKUP(V22,'AMP models AxeFxIII'!$D$2:$H$299,2,FALSE)</f>
        <v>JP IIC+ Green (Mesa/Boogie JP-2C)</v>
      </c>
      <c r="N22" s="45" t="str">
        <f>VLOOKUP(W22,'AMP models AxeFxIII'!$D$2:$H$299,2,FALSE)</f>
        <v>Not Used</v>
      </c>
      <c r="O22" s="45" t="str">
        <f>VLOOKUP(X22,'AMP models AxeFxIII'!$D$2:$H$299,2,FALSE)</f>
        <v>Not Used</v>
      </c>
      <c r="P22" s="45" t="str">
        <f>VLOOKUP(Y22,'AMP models AxeFxIII'!$D$2:$H$299,2,FALSE)</f>
        <v>Not Used</v>
      </c>
      <c r="Q22" s="45" t="str">
        <f>VLOOKUP(Z22,'AMP models AxeFxIII'!$D$2:$H$299,2,FALSE)</f>
        <v>Not Used</v>
      </c>
      <c r="R22" s="4">
        <v>18</v>
      </c>
      <c r="S22" s="46">
        <v>275</v>
      </c>
      <c r="T22" s="46">
        <v>270</v>
      </c>
      <c r="U22" s="46">
        <v>270</v>
      </c>
      <c r="V22" s="46">
        <v>270</v>
      </c>
      <c r="W22" s="46" t="s">
        <v>555</v>
      </c>
      <c r="X22" s="46" t="s">
        <v>555</v>
      </c>
      <c r="Y22" s="46" t="s">
        <v>555</v>
      </c>
      <c r="Z22" s="46" t="s">
        <v>555</v>
      </c>
    </row>
    <row r="23" spans="1:26">
      <c r="A23" s="41">
        <f>preset_Names!A23</f>
        <v>19</v>
      </c>
      <c r="B23" t="str">
        <f t="shared" si="1"/>
        <v xml:space="preserve">strcpy(AMP1_A,("USA IIC+ BRIGHT")); strcpy(AMP1_B,("USA IIC+ BRIGHT")); strcpy(AMP1_C,("USA IIC+ BRIGHT")); strcpy(AMP1_D,("USA IIC+ BRIGHT")); </v>
      </c>
      <c r="C23" t="str">
        <f t="shared" si="2"/>
        <v xml:space="preserve">strcpy(AMP2_A,("Not Used")); strcpy(AMP2_B,("Not Used")); strcpy(AMP2_C,("Not Used")); strcpy(AMP2_D,("Not Used")); </v>
      </c>
      <c r="D23" s="31" t="s">
        <v>893</v>
      </c>
      <c r="E23" s="42" t="str">
        <f t="shared" si="0"/>
        <v>case 19: strcpy(AMP1_A,("USA IIC+ BRIGHT")); strcpy(AMP1_B,("USA IIC+ BRIGHT")); strcpy(AMP1_C,("USA IIC+ BRIGHT")); strcpy(AMP1_D,("USA IIC+ BRIGHT")); strcpy(AMP2_A,("Not Used")); strcpy(AMP2_B,("Not Used")); strcpy(AMP2_C,("Not Used")); strcpy(AMP2_D,("Not Used"));  break;</v>
      </c>
      <c r="F23" t="s">
        <v>893</v>
      </c>
      <c r="I23" t="s">
        <v>893</v>
      </c>
      <c r="J23" s="45" t="str">
        <f>VLOOKUP(S23,'AMP models AxeFxIII'!$D$2:$H$299,2,FALSE)</f>
        <v>USA IIC+ BRIGHT</v>
      </c>
      <c r="K23" s="45" t="str">
        <f>VLOOKUP(T23,'AMP models AxeFxIII'!$D$2:$H$299,2,FALSE)</f>
        <v>USA IIC+ BRIGHT</v>
      </c>
      <c r="L23" s="45" t="str">
        <f>VLOOKUP(U23,'AMP models AxeFxIII'!$D$2:$H$299,2,FALSE)</f>
        <v>USA IIC+ BRIGHT</v>
      </c>
      <c r="M23" s="45" t="str">
        <f>VLOOKUP(V23,'AMP models AxeFxIII'!$D$2:$H$299,2,FALSE)</f>
        <v>USA IIC+ BRIGHT</v>
      </c>
      <c r="N23" s="45" t="str">
        <f>VLOOKUP(W23,'AMP models AxeFxIII'!$D$2:$H$299,2,FALSE)</f>
        <v>Not Used</v>
      </c>
      <c r="O23" s="45" t="str">
        <f>VLOOKUP(X23,'AMP models AxeFxIII'!$D$2:$H$299,2,FALSE)</f>
        <v>Not Used</v>
      </c>
      <c r="P23" s="45" t="str">
        <f>VLOOKUP(Y23,'AMP models AxeFxIII'!$D$2:$H$299,2,FALSE)</f>
        <v>Not Used</v>
      </c>
      <c r="Q23" s="45" t="str">
        <f>VLOOKUP(Z23,'AMP models AxeFxIII'!$D$2:$H$299,2,FALSE)</f>
        <v>Not Used</v>
      </c>
      <c r="R23" s="4">
        <v>19</v>
      </c>
      <c r="S23" s="46">
        <v>266</v>
      </c>
      <c r="T23" s="46">
        <v>266</v>
      </c>
      <c r="U23" s="46">
        <v>266</v>
      </c>
      <c r="V23" s="46">
        <v>266</v>
      </c>
      <c r="W23" s="46" t="s">
        <v>555</v>
      </c>
      <c r="X23" s="46" t="s">
        <v>555</v>
      </c>
      <c r="Y23" s="46" t="s">
        <v>555</v>
      </c>
      <c r="Z23" s="46" t="s">
        <v>555</v>
      </c>
    </row>
    <row r="24" spans="1:26">
      <c r="A24" s="41">
        <f>preset_Names!A24</f>
        <v>20</v>
      </c>
      <c r="B24" t="str">
        <f t="shared" si="1"/>
        <v xml:space="preserve">strcpy(AMP1_A,("Carvin Legacy VL100")); strcpy(AMP1_B,("Carvin Legacy VL100")); strcpy(AMP1_C,("Carvin Legacy VL300")); strcpy(AMP1_D,("Carvin Legacy VL100")); </v>
      </c>
      <c r="C24" t="str">
        <f t="shared" si="2"/>
        <v xml:space="preserve">strcpy(AMP2_A,("Not Used")); strcpy(AMP2_B,("Not Used")); strcpy(AMP2_C,("Not Used")); strcpy(AMP2_D,("Not Used")); </v>
      </c>
      <c r="D24" s="31" t="s">
        <v>893</v>
      </c>
      <c r="E24" s="42" t="str">
        <f t="shared" si="0"/>
        <v>case 20: strcpy(AMP1_A,("Carvin Legacy VL100")); strcpy(AMP1_B,("Carvin Legacy VL100")); strcpy(AMP1_C,("Carvin Legacy VL300")); strcpy(AMP1_D,("Carvin Legacy VL100")); strcpy(AMP2_A,("Not Used")); strcpy(AMP2_B,("Not Used")); strcpy(AMP2_C,("Not Used")); strcpy(AMP2_D,("Not Used"));  break;</v>
      </c>
      <c r="F24" t="s">
        <v>893</v>
      </c>
      <c r="I24" t="s">
        <v>893</v>
      </c>
      <c r="J24" s="45" t="str">
        <f>VLOOKUP(S24,'AMP models AxeFxIII'!$D$2:$H$299,2,FALSE)</f>
        <v>Carvin Legacy VL100</v>
      </c>
      <c r="K24" s="45" t="str">
        <f>VLOOKUP(T24,'AMP models AxeFxIII'!$D$2:$H$299,2,FALSE)</f>
        <v>Carvin Legacy VL100</v>
      </c>
      <c r="L24" s="45" t="str">
        <f>VLOOKUP(U24,'AMP models AxeFxIII'!$D$2:$H$299,2,FALSE)</f>
        <v>Carvin Legacy VL300</v>
      </c>
      <c r="M24" s="45" t="str">
        <f>VLOOKUP(V24,'AMP models AxeFxIII'!$D$2:$H$299,2,FALSE)</f>
        <v>Carvin Legacy VL100</v>
      </c>
      <c r="N24" s="45" t="str">
        <f>VLOOKUP(W24,'AMP models AxeFxIII'!$D$2:$H$299,2,FALSE)</f>
        <v>Not Used</v>
      </c>
      <c r="O24" s="45" t="str">
        <f>VLOOKUP(X24,'AMP models AxeFxIII'!$D$2:$H$299,2,FALSE)</f>
        <v>Not Used</v>
      </c>
      <c r="P24" s="45" t="str">
        <f>VLOOKUP(Y24,'AMP models AxeFxIII'!$D$2:$H$299,2,FALSE)</f>
        <v>Not Used</v>
      </c>
      <c r="Q24" s="45" t="str">
        <f>VLOOKUP(Z24,'AMP models AxeFxIII'!$D$2:$H$299,2,FALSE)</f>
        <v>Not Used</v>
      </c>
      <c r="R24" s="4">
        <v>20</v>
      </c>
      <c r="S24" s="46">
        <v>179</v>
      </c>
      <c r="T24" s="46">
        <v>179</v>
      </c>
      <c r="U24" s="46">
        <v>180</v>
      </c>
      <c r="V24" s="46">
        <v>179</v>
      </c>
      <c r="W24" s="46" t="s">
        <v>555</v>
      </c>
      <c r="X24" s="46" t="s">
        <v>555</v>
      </c>
      <c r="Y24" s="46" t="s">
        <v>555</v>
      </c>
      <c r="Z24" s="46" t="s">
        <v>555</v>
      </c>
    </row>
    <row r="25" spans="1:26">
      <c r="A25" s="41">
        <f>preset_Names!A25</f>
        <v>21</v>
      </c>
      <c r="B25" t="str">
        <f t="shared" si="1"/>
        <v xml:space="preserve">strcpy(AMP1_A,("Carvin Legacy VL100")); strcpy(AMP1_B,("Carvin Legacy VL100")); strcpy(AMP1_C,("Carvin Legacy VL300")); strcpy(AMP1_D,("Carvin Legacy VL100")); </v>
      </c>
      <c r="C25" t="str">
        <f t="shared" si="2"/>
        <v xml:space="preserve">strcpy(AMP2_A,("Not Used")); strcpy(AMP2_B,("Not Used")); strcpy(AMP2_C,("Not Used")); strcpy(AMP2_D,("Not Used")); </v>
      </c>
      <c r="D25" s="31" t="s">
        <v>893</v>
      </c>
      <c r="E25" s="42" t="str">
        <f t="shared" si="0"/>
        <v>case 21: strcpy(AMP1_A,("Carvin Legacy VL100")); strcpy(AMP1_B,("Carvin Legacy VL100")); strcpy(AMP1_C,("Carvin Legacy VL300")); strcpy(AMP1_D,("Carvin Legacy VL100")); strcpy(AMP2_A,("Not Used")); strcpy(AMP2_B,("Not Used")); strcpy(AMP2_C,("Not Used")); strcpy(AMP2_D,("Not Used"));  break;</v>
      </c>
      <c r="F25" t="s">
        <v>893</v>
      </c>
      <c r="I25" t="s">
        <v>893</v>
      </c>
      <c r="J25" s="45" t="str">
        <f>VLOOKUP(S25,'AMP models AxeFxIII'!$D$2:$H$299,2,FALSE)</f>
        <v>Carvin Legacy VL100</v>
      </c>
      <c r="K25" s="45" t="str">
        <f>VLOOKUP(T25,'AMP models AxeFxIII'!$D$2:$H$299,2,FALSE)</f>
        <v>Carvin Legacy VL100</v>
      </c>
      <c r="L25" s="45" t="str">
        <f>VLOOKUP(U25,'AMP models AxeFxIII'!$D$2:$H$299,2,FALSE)</f>
        <v>Carvin Legacy VL300</v>
      </c>
      <c r="M25" s="45" t="str">
        <f>VLOOKUP(V25,'AMP models AxeFxIII'!$D$2:$H$299,2,FALSE)</f>
        <v>Carvin Legacy VL100</v>
      </c>
      <c r="N25" s="45" t="str">
        <f>VLOOKUP(W25,'AMP models AxeFxIII'!$D$2:$H$299,2,FALSE)</f>
        <v>Not Used</v>
      </c>
      <c r="O25" s="45" t="str">
        <f>VLOOKUP(X25,'AMP models AxeFxIII'!$D$2:$H$299,2,FALSE)</f>
        <v>Not Used</v>
      </c>
      <c r="P25" s="45" t="str">
        <f>VLOOKUP(Y25,'AMP models AxeFxIII'!$D$2:$H$299,2,FALSE)</f>
        <v>Not Used</v>
      </c>
      <c r="Q25" s="45" t="str">
        <f>VLOOKUP(Z25,'AMP models AxeFxIII'!$D$2:$H$299,2,FALSE)</f>
        <v>Not Used</v>
      </c>
      <c r="R25" s="4">
        <v>21</v>
      </c>
      <c r="S25" s="46">
        <v>179</v>
      </c>
      <c r="T25" s="46">
        <v>179</v>
      </c>
      <c r="U25" s="46">
        <v>180</v>
      </c>
      <c r="V25" s="46">
        <v>179</v>
      </c>
      <c r="W25" s="46" t="s">
        <v>555</v>
      </c>
      <c r="X25" s="46" t="s">
        <v>555</v>
      </c>
      <c r="Y25" s="46" t="s">
        <v>555</v>
      </c>
      <c r="Z25" s="46" t="s">
        <v>555</v>
      </c>
    </row>
    <row r="26" spans="1:26">
      <c r="A26" s="41">
        <f>preset_Names!A26</f>
        <v>22</v>
      </c>
      <c r="B26" t="str">
        <f t="shared" si="1"/>
        <v xml:space="preserve">strcpy(AMP1_A,("FAS MODERN II")); strcpy(AMP1_B,("FRIEDMAN HBE C45")); strcpy(AMP1_C,("FAS EXPRESS")); strcpy(AMP1_D,("BUDDAH DUOMASTER")); </v>
      </c>
      <c r="C26" t="str">
        <f t="shared" si="2"/>
        <v xml:space="preserve">strcpy(AMP2_A,("Not Used")); strcpy(AMP2_B,("Not Used")); strcpy(AMP2_C,("Not Used")); strcpy(AMP2_D,("Not Used")); </v>
      </c>
      <c r="D26" s="31" t="s">
        <v>893</v>
      </c>
      <c r="E26" s="42" t="str">
        <f t="shared" si="0"/>
        <v>case 22: strcpy(AMP1_A,("FAS MODERN II")); strcpy(AMP1_B,("FRIEDMAN HBE C45")); strcpy(AMP1_C,("FAS EXPRESS")); strcpy(AMP1_D,("BUDDAH DUOMASTER")); strcpy(AMP2_A,("Not Used")); strcpy(AMP2_B,("Not Used")); strcpy(AMP2_C,("Not Used")); strcpy(AMP2_D,("Not Used"));  break;</v>
      </c>
      <c r="F26" t="s">
        <v>893</v>
      </c>
      <c r="I26" t="s">
        <v>893</v>
      </c>
      <c r="J26" s="45" t="str">
        <f>VLOOKUP(S26,'AMP models AxeFxIII'!$D$2:$H$299,2,FALSE)</f>
        <v>FAS MODERN II</v>
      </c>
      <c r="K26" s="45" t="str">
        <f>VLOOKUP(T26,'AMP models AxeFxIII'!$D$2:$H$299,2,FALSE)</f>
        <v>FRIEDMAN HBE C45</v>
      </c>
      <c r="L26" s="45" t="str">
        <f>VLOOKUP(U26,'AMP models AxeFxIII'!$D$2:$H$299,2,FALSE)</f>
        <v>FAS EXPRESS</v>
      </c>
      <c r="M26" s="45" t="str">
        <f>VLOOKUP(V26,'AMP models AxeFxIII'!$D$2:$H$299,2,FALSE)</f>
        <v>BUDDAH DUOMASTER</v>
      </c>
      <c r="N26" s="45" t="str">
        <f>VLOOKUP(W26,'AMP models AxeFxIII'!$D$2:$H$299,2,FALSE)</f>
        <v>Not Used</v>
      </c>
      <c r="O26" s="45" t="str">
        <f>VLOOKUP(X26,'AMP models AxeFxIII'!$D$2:$H$299,2,FALSE)</f>
        <v>Not Used</v>
      </c>
      <c r="P26" s="45" t="str">
        <f>VLOOKUP(Y26,'AMP models AxeFxIII'!$D$2:$H$299,2,FALSE)</f>
        <v>Not Used</v>
      </c>
      <c r="Q26" s="45" t="str">
        <f>VLOOKUP(Z26,'AMP models AxeFxIII'!$D$2:$H$299,2,FALSE)</f>
        <v>Not Used</v>
      </c>
      <c r="R26" s="4">
        <v>22</v>
      </c>
      <c r="S26" s="46">
        <v>134</v>
      </c>
      <c r="T26" s="46">
        <v>148</v>
      </c>
      <c r="U26" s="46">
        <v>129</v>
      </c>
      <c r="V26" s="46">
        <v>59</v>
      </c>
      <c r="W26" s="46" t="s">
        <v>555</v>
      </c>
      <c r="X26" s="46" t="s">
        <v>555</v>
      </c>
      <c r="Y26" s="46" t="s">
        <v>555</v>
      </c>
      <c r="Z26" s="46" t="s">
        <v>555</v>
      </c>
    </row>
    <row r="27" spans="1:26">
      <c r="A27" s="41">
        <f>preset_Names!A27</f>
        <v>23</v>
      </c>
      <c r="B27" t="str">
        <f t="shared" si="1"/>
        <v xml:space="preserve">strcpy(AMP1_A,("FAS MODERN II")); strcpy(AMP1_B,("FRIEDMAN HBE C45")); strcpy(AMP1_C,("FAS EXPRESS")); strcpy(AMP1_D,("BUDDAH DUOMASTER")); </v>
      </c>
      <c r="C27" t="str">
        <f t="shared" si="2"/>
        <v xml:space="preserve">strcpy(AMP2_A,("Not Used")); strcpy(AMP2_B,("Not Used")); strcpy(AMP2_C,("Not Used")); strcpy(AMP2_D,("Not Used")); </v>
      </c>
      <c r="D27" s="31" t="s">
        <v>893</v>
      </c>
      <c r="E27" s="42" t="str">
        <f t="shared" si="0"/>
        <v>case 23: strcpy(AMP1_A,("FAS MODERN II")); strcpy(AMP1_B,("FRIEDMAN HBE C45")); strcpy(AMP1_C,("FAS EXPRESS")); strcpy(AMP1_D,("BUDDAH DUOMASTER")); strcpy(AMP2_A,("Not Used")); strcpy(AMP2_B,("Not Used")); strcpy(AMP2_C,("Not Used")); strcpy(AMP2_D,("Not Used"));  break;</v>
      </c>
      <c r="F27" t="s">
        <v>893</v>
      </c>
      <c r="I27" t="s">
        <v>893</v>
      </c>
      <c r="J27" s="45" t="str">
        <f>VLOOKUP(S27,'AMP models AxeFxIII'!$D$2:$H$299,2,FALSE)</f>
        <v>FAS MODERN II</v>
      </c>
      <c r="K27" s="45" t="str">
        <f>VLOOKUP(T27,'AMP models AxeFxIII'!$D$2:$H$299,2,FALSE)</f>
        <v>FRIEDMAN HBE C45</v>
      </c>
      <c r="L27" s="45" t="str">
        <f>VLOOKUP(U27,'AMP models AxeFxIII'!$D$2:$H$299,2,FALSE)</f>
        <v>FAS EXPRESS</v>
      </c>
      <c r="M27" s="45" t="str">
        <f>VLOOKUP(V27,'AMP models AxeFxIII'!$D$2:$H$299,2,FALSE)</f>
        <v>BUDDAH DUOMASTER</v>
      </c>
      <c r="N27" s="45" t="str">
        <f>VLOOKUP(W27,'AMP models AxeFxIII'!$D$2:$H$299,2,FALSE)</f>
        <v>Not Used</v>
      </c>
      <c r="O27" s="45" t="str">
        <f>VLOOKUP(X27,'AMP models AxeFxIII'!$D$2:$H$299,2,FALSE)</f>
        <v>Not Used</v>
      </c>
      <c r="P27" s="45" t="str">
        <f>VLOOKUP(Y27,'AMP models AxeFxIII'!$D$2:$H$299,2,FALSE)</f>
        <v>Not Used</v>
      </c>
      <c r="Q27" s="45" t="str">
        <f>VLOOKUP(Z27,'AMP models AxeFxIII'!$D$2:$H$299,2,FALSE)</f>
        <v>Not Used</v>
      </c>
      <c r="R27" s="4">
        <v>23</v>
      </c>
      <c r="S27" s="46">
        <v>134</v>
      </c>
      <c r="T27" s="46">
        <v>148</v>
      </c>
      <c r="U27" s="46">
        <v>129</v>
      </c>
      <c r="V27" s="46">
        <v>59</v>
      </c>
      <c r="W27" s="46" t="s">
        <v>555</v>
      </c>
      <c r="X27" s="46" t="s">
        <v>555</v>
      </c>
      <c r="Y27" s="46" t="s">
        <v>555</v>
      </c>
      <c r="Z27" s="46" t="s">
        <v>555</v>
      </c>
    </row>
    <row r="28" spans="1:26">
      <c r="A28" s="41">
        <f>preset_Names!A28</f>
        <v>24</v>
      </c>
      <c r="B28" t="str">
        <f t="shared" si="1"/>
        <v xml:space="preserve">strcpy(AMP1_A,("JP IIC+ Yellow")); strcpy(AMP1_B,("50W Marshall JCM800 2204")); strcpy(AMP1_C,("50W Marshall JCM800 2204")); strcpy(AMP1_D,("50W Marshall JCM800 2204")); </v>
      </c>
      <c r="C28" t="str">
        <f t="shared" si="2"/>
        <v xml:space="preserve">strcpy(AMP2_A,("Not Used")); strcpy(AMP2_B,("Not Used")); strcpy(AMP2_C,("Not Used")); strcpy(AMP2_D,("Not Used")); </v>
      </c>
      <c r="D28" s="31" t="s">
        <v>893</v>
      </c>
      <c r="E28" s="42" t="str">
        <f t="shared" si="0"/>
        <v>case 24: strcpy(AMP1_A,("JP IIC+ Yellow")); strcpy(AMP1_B,("50W Marshall JCM800 2204")); strcpy(AMP1_C,("50W Marshall JCM800 2204")); strcpy(AMP1_D,("50W Marshall JCM800 2204")); strcpy(AMP2_A,("Not Used")); strcpy(AMP2_B,("Not Used")); strcpy(AMP2_C,("Not Used")); strcpy(AMP2_D,("Not Used"));  break;</v>
      </c>
      <c r="F28" t="s">
        <v>893</v>
      </c>
      <c r="I28" t="s">
        <v>893</v>
      </c>
      <c r="J28" s="45" t="str">
        <f>VLOOKUP(S28,'AMP models AxeFxIII'!$D$2:$H$299,2,FALSE)</f>
        <v>JP IIC+ Yellow</v>
      </c>
      <c r="K28" s="45" t="str">
        <f>VLOOKUP(T28,'AMP models AxeFxIII'!$D$2:$H$299,2,FALSE)</f>
        <v>50W Marshall JCM800 2204</v>
      </c>
      <c r="L28" s="45" t="str">
        <f>VLOOKUP(U28,'AMP models AxeFxIII'!$D$2:$H$299,2,FALSE)</f>
        <v>50W Marshall JCM800 2204</v>
      </c>
      <c r="M28" s="45" t="str">
        <f>VLOOKUP(V28,'AMP models AxeFxIII'!$D$2:$H$299,2,FALSE)</f>
        <v>50W Marshall JCM800 2204</v>
      </c>
      <c r="N28" s="45" t="str">
        <f>VLOOKUP(W28,'AMP models AxeFxIII'!$D$2:$H$299,2,FALSE)</f>
        <v>Not Used</v>
      </c>
      <c r="O28" s="45" t="str">
        <f>VLOOKUP(X28,'AMP models AxeFxIII'!$D$2:$H$299,2,FALSE)</f>
        <v>Not Used</v>
      </c>
      <c r="P28" s="45" t="str">
        <f>VLOOKUP(Y28,'AMP models AxeFxIII'!$D$2:$H$299,2,FALSE)</f>
        <v>Not Used</v>
      </c>
      <c r="Q28" s="45" t="str">
        <f>VLOOKUP(Z28,'AMP models AxeFxIII'!$D$2:$H$299,2,FALSE)</f>
        <v>Not Used</v>
      </c>
      <c r="R28" s="4">
        <v>24</v>
      </c>
      <c r="S28" s="46">
        <v>273</v>
      </c>
      <c r="T28" s="46">
        <v>42</v>
      </c>
      <c r="U28" s="46">
        <v>42</v>
      </c>
      <c r="V28" s="46">
        <v>42</v>
      </c>
      <c r="W28" s="46" t="s">
        <v>555</v>
      </c>
      <c r="X28" s="46" t="s">
        <v>555</v>
      </c>
      <c r="Y28" s="46" t="s">
        <v>555</v>
      </c>
      <c r="Z28" s="46" t="s">
        <v>555</v>
      </c>
    </row>
    <row r="29" spans="1:26" ht="30">
      <c r="A29" s="41">
        <f>preset_Names!A29</f>
        <v>25</v>
      </c>
      <c r="B29" t="str">
        <f t="shared" si="1"/>
        <v xml:space="preserve">strcpy(AMP1_A,("JP IIC+ Yellow")); strcpy(AMP1_B,("IIC+ Mesa/Boogie Mark IIC+")); strcpy(AMP1_C,("IIC+ Mesa/Boogie Mark IIC+")); strcpy(AMP1_D,("CLEAN Mesa/Boogie MarkIV")); </v>
      </c>
      <c r="C29" t="str">
        <f t="shared" si="2"/>
        <v xml:space="preserve">strcpy(AMP2_A,("Not Used")); strcpy(AMP2_B,("Not Used")); strcpy(AMP2_C,("Not Used")); strcpy(AMP2_D,("Not Used")); </v>
      </c>
      <c r="D29" s="31" t="s">
        <v>893</v>
      </c>
      <c r="E29" s="42" t="str">
        <f t="shared" si="0"/>
        <v>case 25: strcpy(AMP1_A,("JP IIC+ Yellow")); strcpy(AMP1_B,("IIC+ Mesa/Boogie Mark IIC+")); strcpy(AMP1_C,("IIC+ Mesa/Boogie Mark IIC+")); strcpy(AMP1_D,("CLEAN Mesa/Boogie MarkIV")); strcpy(AMP2_A,("Not Used")); strcpy(AMP2_B,("Not Used")); strcpy(AMP2_C,("Not Used")); strcpy(AMP2_D,("Not Used"));  break;</v>
      </c>
      <c r="F29" t="s">
        <v>893</v>
      </c>
      <c r="I29" t="s">
        <v>893</v>
      </c>
      <c r="J29" s="45" t="str">
        <f>VLOOKUP(S29,'AMP models AxeFxIII'!$D$2:$H$299,2,FALSE)</f>
        <v>JP IIC+ Yellow</v>
      </c>
      <c r="K29" s="45" t="str">
        <f>VLOOKUP(T29,'AMP models AxeFxIII'!$D$2:$H$299,2,FALSE)</f>
        <v>IIC+ Mesa/Boogie Mark IIC+</v>
      </c>
      <c r="L29" s="45" t="str">
        <f>VLOOKUP(U29,'AMP models AxeFxIII'!$D$2:$H$299,2,FALSE)</f>
        <v>IIC+ Mesa/Boogie Mark IIC+</v>
      </c>
      <c r="M29" s="45" t="str">
        <f>VLOOKUP(V29,'AMP models AxeFxIII'!$D$2:$H$299,2,FALSE)</f>
        <v>CLEAN Mesa/Boogie MarkIV</v>
      </c>
      <c r="N29" s="45" t="str">
        <f>VLOOKUP(W29,'AMP models AxeFxIII'!$D$2:$H$299,2,FALSE)</f>
        <v>Not Used</v>
      </c>
      <c r="O29" s="45" t="str">
        <f>VLOOKUP(X29,'AMP models AxeFxIII'!$D$2:$H$299,2,FALSE)</f>
        <v>Not Used</v>
      </c>
      <c r="P29" s="45" t="str">
        <f>VLOOKUP(Y29,'AMP models AxeFxIII'!$D$2:$H$299,2,FALSE)</f>
        <v>Not Used</v>
      </c>
      <c r="Q29" s="45" t="str">
        <f>VLOOKUP(Z29,'AMP models AxeFxIII'!$D$2:$H$299,2,FALSE)</f>
        <v>Not Used</v>
      </c>
      <c r="R29" s="4">
        <v>25</v>
      </c>
      <c r="S29" s="46">
        <v>273</v>
      </c>
      <c r="T29" s="46">
        <v>265</v>
      </c>
      <c r="U29" s="46">
        <v>265</v>
      </c>
      <c r="V29" s="46">
        <v>264</v>
      </c>
      <c r="W29" s="46" t="s">
        <v>555</v>
      </c>
      <c r="X29" s="46" t="s">
        <v>555</v>
      </c>
      <c r="Y29" s="46" t="s">
        <v>555</v>
      </c>
      <c r="Z29" s="46" t="s">
        <v>555</v>
      </c>
    </row>
    <row r="30" spans="1:26" ht="30">
      <c r="A30" s="41">
        <f>preset_Names!A30</f>
        <v>26</v>
      </c>
      <c r="B30" t="str">
        <f t="shared" si="1"/>
        <v xml:space="preserve">strcpy(AMP1_A,("JP IIC+ Yellow")); strcpy(AMP1_B,("IIC+ Mesa/Boogie Mark IIC+")); strcpy(AMP1_C,("IIC+ Mesa/Boogie Mark IIC+")); strcpy(AMP1_D,("IIC+ Mesa/Boogie Mark IIC+")); </v>
      </c>
      <c r="C30" t="str">
        <f t="shared" si="2"/>
        <v xml:space="preserve">strcpy(AMP2_A,("Not Used")); strcpy(AMP2_B,("Not Used")); strcpy(AMP2_C,("Not Used")); strcpy(AMP2_D,("Not Used")); </v>
      </c>
      <c r="D30" s="31" t="s">
        <v>893</v>
      </c>
      <c r="E30" s="42" t="str">
        <f t="shared" si="0"/>
        <v>case 26: strcpy(AMP1_A,("JP IIC+ Yellow")); strcpy(AMP1_B,("IIC+ Mesa/Boogie Mark IIC+")); strcpy(AMP1_C,("IIC+ Mesa/Boogie Mark IIC+")); strcpy(AMP1_D,("IIC+ Mesa/Boogie Mark IIC+")); strcpy(AMP2_A,("Not Used")); strcpy(AMP2_B,("Not Used")); strcpy(AMP2_C,("Not Used")); strcpy(AMP2_D,("Not Used"));  break;</v>
      </c>
      <c r="F30" t="s">
        <v>893</v>
      </c>
      <c r="I30" t="s">
        <v>893</v>
      </c>
      <c r="J30" s="45" t="str">
        <f>VLOOKUP(S30,'AMP models AxeFxIII'!$D$2:$H$299,2,FALSE)</f>
        <v>JP IIC+ Yellow</v>
      </c>
      <c r="K30" s="45" t="str">
        <f>VLOOKUP(T30,'AMP models AxeFxIII'!$D$2:$H$299,2,FALSE)</f>
        <v>IIC+ Mesa/Boogie Mark IIC+</v>
      </c>
      <c r="L30" s="45" t="str">
        <f>VLOOKUP(U30,'AMP models AxeFxIII'!$D$2:$H$299,2,FALSE)</f>
        <v>IIC+ Mesa/Boogie Mark IIC+</v>
      </c>
      <c r="M30" s="45" t="str">
        <f>VLOOKUP(V30,'AMP models AxeFxIII'!$D$2:$H$299,2,FALSE)</f>
        <v>IIC+ Mesa/Boogie Mark IIC+</v>
      </c>
      <c r="N30" s="45" t="str">
        <f>VLOOKUP(W30,'AMP models AxeFxIII'!$D$2:$H$299,2,FALSE)</f>
        <v>Not Used</v>
      </c>
      <c r="O30" s="45" t="str">
        <f>VLOOKUP(X30,'AMP models AxeFxIII'!$D$2:$H$299,2,FALSE)</f>
        <v>Not Used</v>
      </c>
      <c r="P30" s="45" t="str">
        <f>VLOOKUP(Y30,'AMP models AxeFxIII'!$D$2:$H$299,2,FALSE)</f>
        <v>Not Used</v>
      </c>
      <c r="Q30" s="45" t="str">
        <f>VLOOKUP(Z30,'AMP models AxeFxIII'!$D$2:$H$299,2,FALSE)</f>
        <v>Not Used</v>
      </c>
      <c r="R30" s="4">
        <v>26</v>
      </c>
      <c r="S30" s="46">
        <v>273</v>
      </c>
      <c r="T30" s="46">
        <v>265</v>
      </c>
      <c r="U30" s="46">
        <v>265</v>
      </c>
      <c r="V30" s="46">
        <v>265</v>
      </c>
      <c r="W30" s="46" t="s">
        <v>555</v>
      </c>
      <c r="X30" s="46" t="s">
        <v>555</v>
      </c>
      <c r="Y30" s="46" t="s">
        <v>555</v>
      </c>
      <c r="Z30" s="46" t="s">
        <v>555</v>
      </c>
    </row>
    <row r="31" spans="1:26" ht="30">
      <c r="A31" s="41">
        <f>preset_Names!A31</f>
        <v>27</v>
      </c>
      <c r="B31" t="str">
        <f t="shared" si="1"/>
        <v xml:space="preserve">strcpy(AMP1_A,("JP IIC+ Yellow")); strcpy(AMP1_B,("IIC+ Mesa/Boogie Mark IIC+")); strcpy(AMP1_C,("IIC+ Mesa/Boogie Mark IIC+")); strcpy(AMP1_D,("IIC+ Mesa/Boogie Mark IIC+")); </v>
      </c>
      <c r="C31" t="str">
        <f t="shared" si="2"/>
        <v xml:space="preserve">strcpy(AMP2_A,("Not Used")); strcpy(AMP2_B,("Not Used")); strcpy(AMP2_C,("Not Used")); strcpy(AMP2_D,("Not Used")); </v>
      </c>
      <c r="D31" s="31" t="s">
        <v>893</v>
      </c>
      <c r="E31" s="42" t="str">
        <f t="shared" si="0"/>
        <v>case 27: strcpy(AMP1_A,("JP IIC+ Yellow")); strcpy(AMP1_B,("IIC+ Mesa/Boogie Mark IIC+")); strcpy(AMP1_C,("IIC+ Mesa/Boogie Mark IIC+")); strcpy(AMP1_D,("IIC+ Mesa/Boogie Mark IIC+")); strcpy(AMP2_A,("Not Used")); strcpy(AMP2_B,("Not Used")); strcpy(AMP2_C,("Not Used")); strcpy(AMP2_D,("Not Used"));  break;</v>
      </c>
      <c r="F31" t="s">
        <v>893</v>
      </c>
      <c r="I31" t="s">
        <v>893</v>
      </c>
      <c r="J31" s="45" t="str">
        <f>VLOOKUP(S31,'AMP models AxeFxIII'!$D$2:$H$299,2,FALSE)</f>
        <v>JP IIC+ Yellow</v>
      </c>
      <c r="K31" s="45" t="str">
        <f>VLOOKUP(T31,'AMP models AxeFxIII'!$D$2:$H$299,2,FALSE)</f>
        <v>IIC+ Mesa/Boogie Mark IIC+</v>
      </c>
      <c r="L31" s="45" t="str">
        <f>VLOOKUP(U31,'AMP models AxeFxIII'!$D$2:$H$299,2,FALSE)</f>
        <v>IIC+ Mesa/Boogie Mark IIC+</v>
      </c>
      <c r="M31" s="45" t="str">
        <f>VLOOKUP(V31,'AMP models AxeFxIII'!$D$2:$H$299,2,FALSE)</f>
        <v>IIC+ Mesa/Boogie Mark IIC+</v>
      </c>
      <c r="N31" s="45" t="str">
        <f>VLOOKUP(W31,'AMP models AxeFxIII'!$D$2:$H$299,2,FALSE)</f>
        <v>Not Used</v>
      </c>
      <c r="O31" s="45" t="str">
        <f>VLOOKUP(X31,'AMP models AxeFxIII'!$D$2:$H$299,2,FALSE)</f>
        <v>Not Used</v>
      </c>
      <c r="P31" s="45" t="str">
        <f>VLOOKUP(Y31,'AMP models AxeFxIII'!$D$2:$H$299,2,FALSE)</f>
        <v>Not Used</v>
      </c>
      <c r="Q31" s="45" t="str">
        <f>VLOOKUP(Z31,'AMP models AxeFxIII'!$D$2:$H$299,2,FALSE)</f>
        <v>Not Used</v>
      </c>
      <c r="R31" s="4">
        <v>27</v>
      </c>
      <c r="S31" s="46">
        <v>273</v>
      </c>
      <c r="T31" s="46">
        <v>265</v>
      </c>
      <c r="U31" s="46">
        <v>265</v>
      </c>
      <c r="V31" s="46">
        <v>265</v>
      </c>
      <c r="W31" s="46" t="s">
        <v>555</v>
      </c>
      <c r="X31" s="46" t="s">
        <v>555</v>
      </c>
      <c r="Y31" s="46" t="s">
        <v>555</v>
      </c>
      <c r="Z31" s="46" t="s">
        <v>555</v>
      </c>
    </row>
    <row r="32" spans="1:26">
      <c r="A32" s="41">
        <f>preset_Names!A32</f>
        <v>28</v>
      </c>
      <c r="B32" t="str">
        <f t="shared" si="1"/>
        <v xml:space="preserve">strcpy(AMP1_A,("FRIEDMAN HBE 2010")); strcpy(AMP1_B,("FRIEDMAN BEV1 FAT")); strcpy(AMP1_C,("FRIEDMAN BEV2")); strcpy(AMP1_D,("FRIEDMAN BEV3")); </v>
      </c>
      <c r="C32" t="str">
        <f t="shared" si="2"/>
        <v xml:space="preserve">strcpy(AMP2_A,("Not Used")); strcpy(AMP2_B,("Not Used")); strcpy(AMP2_C,("Not Used")); strcpy(AMP2_D,("Not Used")); </v>
      </c>
      <c r="D32" s="31" t="s">
        <v>893</v>
      </c>
      <c r="E32" s="42" t="str">
        <f t="shared" si="0"/>
        <v>case 28: strcpy(AMP1_A,("FRIEDMAN HBE 2010")); strcpy(AMP1_B,("FRIEDMAN BEV1 FAT")); strcpy(AMP1_C,("FRIEDMAN BEV2")); strcpy(AMP1_D,("FRIEDMAN BEV3")); strcpy(AMP2_A,("Not Used")); strcpy(AMP2_B,("Not Used")); strcpy(AMP2_C,("Not Used")); strcpy(AMP2_D,("Not Used"));  break;</v>
      </c>
      <c r="F32" t="s">
        <v>893</v>
      </c>
      <c r="I32" t="s">
        <v>893</v>
      </c>
      <c r="J32" s="45" t="str">
        <f>VLOOKUP(S32,'AMP models AxeFxIII'!$D$2:$H$299,2,FALSE)</f>
        <v>FRIEDMAN HBE 2010</v>
      </c>
      <c r="K32" s="45" t="str">
        <f>VLOOKUP(T32,'AMP models AxeFxIII'!$D$2:$H$299,2,FALSE)</f>
        <v>FRIEDMAN BEV1 FAT</v>
      </c>
      <c r="L32" s="45" t="str">
        <f>VLOOKUP(U32,'AMP models AxeFxIII'!$D$2:$H$299,2,FALSE)</f>
        <v>FRIEDMAN BEV2</v>
      </c>
      <c r="M32" s="45" t="str">
        <f>VLOOKUP(V32,'AMP models AxeFxIII'!$D$2:$H$299,2,FALSE)</f>
        <v>FRIEDMAN BEV3</v>
      </c>
      <c r="N32" s="45" t="str">
        <f>VLOOKUP(W32,'AMP models AxeFxIII'!$D$2:$H$299,2,FALSE)</f>
        <v>Not Used</v>
      </c>
      <c r="O32" s="45" t="str">
        <f>VLOOKUP(X32,'AMP models AxeFxIII'!$D$2:$H$299,2,FALSE)</f>
        <v>Not Used</v>
      </c>
      <c r="P32" s="45" t="str">
        <f>VLOOKUP(Y32,'AMP models AxeFxIII'!$D$2:$H$299,2,FALSE)</f>
        <v>Not Used</v>
      </c>
      <c r="Q32" s="45" t="str">
        <f>VLOOKUP(Z32,'AMP models AxeFxIII'!$D$2:$H$299,2,FALSE)</f>
        <v>Not Used</v>
      </c>
      <c r="R32" s="4">
        <v>28</v>
      </c>
      <c r="S32" s="46">
        <v>147</v>
      </c>
      <c r="T32" s="46">
        <v>144</v>
      </c>
      <c r="U32" s="46">
        <v>145</v>
      </c>
      <c r="V32" s="46">
        <v>146</v>
      </c>
      <c r="W32" s="46" t="s">
        <v>555</v>
      </c>
      <c r="X32" s="46" t="s">
        <v>555</v>
      </c>
      <c r="Y32" s="46" t="s">
        <v>555</v>
      </c>
      <c r="Z32" s="46" t="s">
        <v>555</v>
      </c>
    </row>
    <row r="33" spans="1:26" ht="30">
      <c r="A33" s="41">
        <f>preset_Names!A33</f>
        <v>29</v>
      </c>
      <c r="B33" t="str">
        <f t="shared" si="1"/>
        <v xml:space="preserve">strcpy(AMP1_A,("Mesa LoneStar Classic")); strcpy(AMP1_B,("Mesa LoneStar Classic")); strcpy(AMP1_C,("1959 FenderTweed Bassman, 5F6-A")); strcpy(AMP1_D,("1959 FenderTweed Bassman, 5F6-A")); </v>
      </c>
      <c r="C33" t="str">
        <f t="shared" si="2"/>
        <v xml:space="preserve">strcpy(AMP2_A,("Mesa LoneStar Classic")); strcpy(AMP2_B,("Mesa LoneStar Classic")); strcpy(AMP2_C,("1959 FenderTweed Bassman, 5F6-A")); strcpy(AMP2_D,("1959 FenderTweed Bassman, 5F6-A")); </v>
      </c>
      <c r="D33" s="31" t="s">
        <v>893</v>
      </c>
      <c r="E33" s="42" t="str">
        <f t="shared" si="0"/>
        <v>case 29: strcpy(AMP1_A,("Mesa LoneStar Classic")); strcpy(AMP1_B,("Mesa LoneStar Classic")); strcpy(AMP1_C,("1959 FenderTweed Bassman, 5F6-A")); strcpy(AMP1_D,("1959 FenderTweed Bassman, 5F6-A")); strcpy(AMP2_A,("Mesa LoneStar Classic")); strcpy(AMP2_B,("Mesa LoneStar Classic")); strcpy(AMP2_C,("1959 FenderTweed Bassman, 5F6-A")); strcpy(AMP2_D,("1959 FenderTweed Bassman, 5F6-A"));  break;</v>
      </c>
      <c r="F33" t="s">
        <v>893</v>
      </c>
      <c r="I33" t="s">
        <v>893</v>
      </c>
      <c r="J33" s="45" t="str">
        <f>VLOOKUP(S33,'AMP models AxeFxIII'!$D$2:$H$299,2,FALSE)</f>
        <v>Mesa LoneStar Classic</v>
      </c>
      <c r="K33" s="45" t="str">
        <f>VLOOKUP(T33,'AMP models AxeFxIII'!$D$2:$H$299,2,FALSE)</f>
        <v>Mesa LoneStar Classic</v>
      </c>
      <c r="L33" s="45" t="str">
        <f>VLOOKUP(U33,'AMP models AxeFxIII'!$D$2:$H$299,2,FALSE)</f>
        <v>1959 FenderTweed Bassman, 5F6-A</v>
      </c>
      <c r="M33" s="45" t="str">
        <f>VLOOKUP(V33,'AMP models AxeFxIII'!$D$2:$H$299,2,FALSE)</f>
        <v>1959 FenderTweed Bassman, 5F6-A</v>
      </c>
      <c r="N33" s="45" t="str">
        <f>VLOOKUP(W33,'AMP models AxeFxIII'!$D$2:$H$299,2,FALSE)</f>
        <v>Mesa LoneStar Classic</v>
      </c>
      <c r="O33" s="45" t="str">
        <f>VLOOKUP(X33,'AMP models AxeFxIII'!$D$2:$H$299,2,FALSE)</f>
        <v>Mesa LoneStar Classic</v>
      </c>
      <c r="P33" s="45" t="str">
        <f>VLOOKUP(Y33,'AMP models AxeFxIII'!$D$2:$H$299,2,FALSE)</f>
        <v>1959 FenderTweed Bassman, 5F6-A</v>
      </c>
      <c r="Q33" s="45" t="str">
        <f>VLOOKUP(Z33,'AMP models AxeFxIII'!$D$2:$H$299,2,FALSE)</f>
        <v>1959 FenderTweed Bassman, 5F6-A</v>
      </c>
      <c r="R33" s="4">
        <v>29</v>
      </c>
      <c r="S33" s="46">
        <v>252</v>
      </c>
      <c r="T33" s="46">
        <v>252</v>
      </c>
      <c r="U33" s="46">
        <v>11</v>
      </c>
      <c r="V33" s="46">
        <v>11</v>
      </c>
      <c r="W33" s="46">
        <v>252</v>
      </c>
      <c r="X33" s="46">
        <v>252</v>
      </c>
      <c r="Y33" s="46">
        <v>11</v>
      </c>
      <c r="Z33" s="46">
        <v>11</v>
      </c>
    </row>
    <row r="34" spans="1:26">
      <c r="A34" s="41">
        <f>preset_Names!A34</f>
        <v>30</v>
      </c>
      <c r="B34" t="str">
        <f t="shared" si="1"/>
        <v xml:space="preserve">strcpy(AMP1_A,("EURO RED MODERN")); strcpy(AMP1_B,("Bogner Shiva 20thAnni")); strcpy(AMP1_C,("RECTO1 RED")); strcpy(AMP1_D,("RECTO1 RED")); </v>
      </c>
      <c r="C34" t="str">
        <f t="shared" si="2"/>
        <v xml:space="preserve">strcpy(AMP2_A,("Not Used")); strcpy(AMP2_B,("Not Used")); strcpy(AMP2_C,("Not Used")); strcpy(AMP2_D,("Not Used")); </v>
      </c>
      <c r="D34" s="31" t="s">
        <v>893</v>
      </c>
      <c r="E34" s="42" t="str">
        <f t="shared" si="0"/>
        <v>case 30: strcpy(AMP1_A,("EURO RED MODERN")); strcpy(AMP1_B,("Bogner Shiva 20thAnni")); strcpy(AMP1_C,("RECTO1 RED")); strcpy(AMP1_D,("RECTO1 RED")); strcpy(AMP2_A,("Not Used")); strcpy(AMP2_B,("Not Used")); strcpy(AMP2_C,("Not Used")); strcpy(AMP2_D,("Not Used"));  break;</v>
      </c>
      <c r="F34" t="s">
        <v>893</v>
      </c>
      <c r="I34" t="s">
        <v>893</v>
      </c>
      <c r="J34" s="45" t="str">
        <f>VLOOKUP(S34,'AMP models AxeFxIII'!$D$2:$H$299,2,FALSE)</f>
        <v>EURO RED MODERN</v>
      </c>
      <c r="K34" s="45" t="str">
        <f>VLOOKUP(T34,'AMP models AxeFxIII'!$D$2:$H$299,2,FALSE)</f>
        <v>Bogner Shiva 20thAnni</v>
      </c>
      <c r="L34" s="45" t="str">
        <f>VLOOKUP(U34,'AMP models AxeFxIII'!$D$2:$H$299,2,FALSE)</f>
        <v>RECTO1 RED</v>
      </c>
      <c r="M34" s="45" t="str">
        <f>VLOOKUP(V34,'AMP models AxeFxIII'!$D$2:$H$299,2,FALSE)</f>
        <v>RECTO1 RED</v>
      </c>
      <c r="N34" s="45" t="str">
        <f>VLOOKUP(W34,'AMP models AxeFxIII'!$D$2:$H$299,2,FALSE)</f>
        <v>Not Used</v>
      </c>
      <c r="O34" s="45" t="str">
        <f>VLOOKUP(X34,'AMP models AxeFxIII'!$D$2:$H$299,2,FALSE)</f>
        <v>Not Used</v>
      </c>
      <c r="P34" s="45" t="str">
        <f>VLOOKUP(Y34,'AMP models AxeFxIII'!$D$2:$H$299,2,FALSE)</f>
        <v>Not Used</v>
      </c>
      <c r="Q34" s="45" t="str">
        <f>VLOOKUP(Z34,'AMP models AxeFxIII'!$D$2:$H$299,2,FALSE)</f>
        <v>Not Used</v>
      </c>
      <c r="R34" s="4">
        <v>30</v>
      </c>
      <c r="S34" s="46">
        <v>120</v>
      </c>
      <c r="T34" s="46">
        <v>227</v>
      </c>
      <c r="U34" s="46">
        <v>218</v>
      </c>
      <c r="V34" s="46">
        <v>218</v>
      </c>
      <c r="W34" s="46" t="s">
        <v>555</v>
      </c>
      <c r="X34" s="46" t="s">
        <v>555</v>
      </c>
      <c r="Y34" s="46" t="s">
        <v>555</v>
      </c>
      <c r="Z34" s="46" t="s">
        <v>555</v>
      </c>
    </row>
    <row r="35" spans="1:26">
      <c r="A35" s="41">
        <f>preset_Names!A35</f>
        <v>31</v>
      </c>
      <c r="B35" t="str">
        <f t="shared" si="1"/>
        <v xml:space="preserve">strcpy(AMP1_A,("Not Used")); strcpy(AMP1_B,("Not Used")); strcpy(AMP1_C,("Not Used")); strcpy(AMP1_D,("Not Used")); </v>
      </c>
      <c r="C35" t="str">
        <f t="shared" si="2"/>
        <v xml:space="preserve">strcpy(AMP2_A,("Not Used")); strcpy(AMP2_B,("Not Used")); strcpy(AMP2_C,("Not Used")); strcpy(AMP2_D,("Not Used")); </v>
      </c>
      <c r="D35" s="31" t="s">
        <v>893</v>
      </c>
      <c r="E35" s="42" t="str">
        <f t="shared" si="0"/>
        <v>case 31: strcpy(AMP1_A,("Not Used")); strcpy(AMP1_B,("Not Used")); strcpy(AMP1_C,("Not Used")); strcpy(AMP1_D,("Not Used")); strcpy(AMP2_A,("Not Used")); strcpy(AMP2_B,("Not Used")); strcpy(AMP2_C,("Not Used")); strcpy(AMP2_D,("Not Used"));  break;</v>
      </c>
      <c r="F35" t="s">
        <v>893</v>
      </c>
      <c r="I35" t="s">
        <v>893</v>
      </c>
      <c r="J35" s="45" t="str">
        <f>VLOOKUP(S35,'AMP models AxeFxIII'!$D$2:$H$299,2,FALSE)</f>
        <v>Not Used</v>
      </c>
      <c r="K35" s="45" t="str">
        <f>VLOOKUP(T35,'AMP models AxeFxIII'!$D$2:$H$299,2,FALSE)</f>
        <v>Not Used</v>
      </c>
      <c r="L35" s="45" t="str">
        <f>VLOOKUP(U35,'AMP models AxeFxIII'!$D$2:$H$299,2,FALSE)</f>
        <v>Not Used</v>
      </c>
      <c r="M35" s="45" t="str">
        <f>VLOOKUP(V35,'AMP models AxeFxIII'!$D$2:$H$299,2,FALSE)</f>
        <v>Not Used</v>
      </c>
      <c r="N35" s="45" t="str">
        <f>VLOOKUP(W35,'AMP models AxeFxIII'!$D$2:$H$299,2,FALSE)</f>
        <v>Not Used</v>
      </c>
      <c r="O35" s="45" t="str">
        <f>VLOOKUP(X35,'AMP models AxeFxIII'!$D$2:$H$299,2,FALSE)</f>
        <v>Not Used</v>
      </c>
      <c r="P35" s="45" t="str">
        <f>VLOOKUP(Y35,'AMP models AxeFxIII'!$D$2:$H$299,2,FALSE)</f>
        <v>Not Used</v>
      </c>
      <c r="Q35" s="45" t="str">
        <f>VLOOKUP(Z35,'AMP models AxeFxIII'!$D$2:$H$299,2,FALSE)</f>
        <v>Not Used</v>
      </c>
      <c r="R35" s="4">
        <v>31</v>
      </c>
      <c r="S35" s="46" t="s">
        <v>555</v>
      </c>
      <c r="T35" s="46" t="s">
        <v>555</v>
      </c>
      <c r="U35" s="46" t="s">
        <v>555</v>
      </c>
      <c r="V35" s="46" t="s">
        <v>555</v>
      </c>
      <c r="W35" s="46" t="s">
        <v>555</v>
      </c>
      <c r="X35" s="46" t="s">
        <v>555</v>
      </c>
      <c r="Y35" s="46" t="s">
        <v>555</v>
      </c>
      <c r="Z35" s="46" t="s">
        <v>555</v>
      </c>
    </row>
    <row r="36" spans="1:26">
      <c r="A36" s="41">
        <f>preset_Names!A36</f>
        <v>32</v>
      </c>
      <c r="B36" t="str">
        <f t="shared" si="1"/>
        <v xml:space="preserve">strcpy(AMP1_A,("Not Used")); strcpy(AMP1_B,("Not Used")); strcpy(AMP1_C,("Not Used")); strcpy(AMP1_D,("Not Used")); </v>
      </c>
      <c r="C36" t="str">
        <f t="shared" si="2"/>
        <v xml:space="preserve">strcpy(AMP2_A,("Not Used")); strcpy(AMP2_B,("Not Used")); strcpy(AMP2_C,("Not Used")); strcpy(AMP2_D,("Not Used")); </v>
      </c>
      <c r="D36" s="31" t="s">
        <v>893</v>
      </c>
      <c r="E36" s="42" t="str">
        <f t="shared" si="0"/>
        <v>case 32: strcpy(AMP1_A,("Not Used")); strcpy(AMP1_B,("Not Used")); strcpy(AMP1_C,("Not Used")); strcpy(AMP1_D,("Not Used")); strcpy(AMP2_A,("Not Used")); strcpy(AMP2_B,("Not Used")); strcpy(AMP2_C,("Not Used")); strcpy(AMP2_D,("Not Used"));  break;</v>
      </c>
      <c r="F36" t="s">
        <v>893</v>
      </c>
      <c r="I36" t="s">
        <v>893</v>
      </c>
      <c r="J36" s="45" t="str">
        <f>VLOOKUP(S36,'AMP models AxeFxIII'!$D$2:$H$299,2,FALSE)</f>
        <v>Not Used</v>
      </c>
      <c r="K36" s="45" t="str">
        <f>VLOOKUP(T36,'AMP models AxeFxIII'!$D$2:$H$299,2,FALSE)</f>
        <v>Not Used</v>
      </c>
      <c r="L36" s="45" t="str">
        <f>VLOOKUP(U36,'AMP models AxeFxIII'!$D$2:$H$299,2,FALSE)</f>
        <v>Not Used</v>
      </c>
      <c r="M36" s="45" t="str">
        <f>VLOOKUP(V36,'AMP models AxeFxIII'!$D$2:$H$299,2,FALSE)</f>
        <v>Not Used</v>
      </c>
      <c r="N36" s="45" t="str">
        <f>VLOOKUP(W36,'AMP models AxeFxIII'!$D$2:$H$299,2,FALSE)</f>
        <v>Not Used</v>
      </c>
      <c r="O36" s="45" t="str">
        <f>VLOOKUP(X36,'AMP models AxeFxIII'!$D$2:$H$299,2,FALSE)</f>
        <v>Not Used</v>
      </c>
      <c r="P36" s="45" t="str">
        <f>VLOOKUP(Y36,'AMP models AxeFxIII'!$D$2:$H$299,2,FALSE)</f>
        <v>Not Used</v>
      </c>
      <c r="Q36" s="45" t="str">
        <f>VLOOKUP(Z36,'AMP models AxeFxIII'!$D$2:$H$299,2,FALSE)</f>
        <v>Not Used</v>
      </c>
      <c r="R36" s="4">
        <v>32</v>
      </c>
      <c r="S36" s="46" t="s">
        <v>555</v>
      </c>
      <c r="T36" s="46" t="s">
        <v>555</v>
      </c>
      <c r="U36" s="46" t="s">
        <v>555</v>
      </c>
      <c r="V36" s="46" t="s">
        <v>555</v>
      </c>
      <c r="W36" s="46" t="s">
        <v>555</v>
      </c>
      <c r="X36" s="46" t="s">
        <v>555</v>
      </c>
      <c r="Y36" s="46" t="s">
        <v>555</v>
      </c>
      <c r="Z36" s="46" t="s">
        <v>555</v>
      </c>
    </row>
    <row r="37" spans="1:26">
      <c r="A37" s="41">
        <f>preset_Names!A37</f>
        <v>33</v>
      </c>
      <c r="B37" t="str">
        <f t="shared" si="1"/>
        <v xml:space="preserve">strcpy(AMP1_A,("Not Used")); strcpy(AMP1_B,("Not Used")); strcpy(AMP1_C,("Not Used")); strcpy(AMP1_D,("Not Used")); </v>
      </c>
      <c r="C37" t="str">
        <f t="shared" si="2"/>
        <v xml:space="preserve">strcpy(AMP2_A,("Not Used")); strcpy(AMP2_B,("Not Used")); strcpy(AMP2_C,("Not Used")); strcpy(AMP2_D,("Not Used")); </v>
      </c>
      <c r="D37" s="31" t="s">
        <v>893</v>
      </c>
      <c r="E37" s="42" t="str">
        <f t="shared" si="0"/>
        <v>case 33: strcpy(AMP1_A,("Not Used")); strcpy(AMP1_B,("Not Used")); strcpy(AMP1_C,("Not Used")); strcpy(AMP1_D,("Not Used")); strcpy(AMP2_A,("Not Used")); strcpy(AMP2_B,("Not Used")); strcpy(AMP2_C,("Not Used")); strcpy(AMP2_D,("Not Used"));  break;</v>
      </c>
      <c r="F37" t="s">
        <v>893</v>
      </c>
      <c r="I37" t="s">
        <v>893</v>
      </c>
      <c r="J37" s="45" t="str">
        <f>VLOOKUP(S37,'AMP models AxeFxIII'!$D$2:$H$299,2,FALSE)</f>
        <v>Not Used</v>
      </c>
      <c r="K37" s="45" t="str">
        <f>VLOOKUP(T37,'AMP models AxeFxIII'!$D$2:$H$299,2,FALSE)</f>
        <v>Not Used</v>
      </c>
      <c r="L37" s="45" t="str">
        <f>VLOOKUP(U37,'AMP models AxeFxIII'!$D$2:$H$299,2,FALSE)</f>
        <v>Not Used</v>
      </c>
      <c r="M37" s="45" t="str">
        <f>VLOOKUP(V37,'AMP models AxeFxIII'!$D$2:$H$299,2,FALSE)</f>
        <v>Not Used</v>
      </c>
      <c r="N37" s="45" t="str">
        <f>VLOOKUP(W37,'AMP models AxeFxIII'!$D$2:$H$299,2,FALSE)</f>
        <v>Not Used</v>
      </c>
      <c r="O37" s="45" t="str">
        <f>VLOOKUP(X37,'AMP models AxeFxIII'!$D$2:$H$299,2,FALSE)</f>
        <v>Not Used</v>
      </c>
      <c r="P37" s="45" t="str">
        <f>VLOOKUP(Y37,'AMP models AxeFxIII'!$D$2:$H$299,2,FALSE)</f>
        <v>Not Used</v>
      </c>
      <c r="Q37" s="45" t="str">
        <f>VLOOKUP(Z37,'AMP models AxeFxIII'!$D$2:$H$299,2,FALSE)</f>
        <v>Not Used</v>
      </c>
      <c r="R37" s="4">
        <v>33</v>
      </c>
      <c r="S37" s="46" t="s">
        <v>555</v>
      </c>
      <c r="T37" s="46" t="s">
        <v>555</v>
      </c>
      <c r="U37" s="46" t="s">
        <v>555</v>
      </c>
      <c r="V37" s="46" t="s">
        <v>555</v>
      </c>
      <c r="W37" s="46" t="s">
        <v>555</v>
      </c>
      <c r="X37" s="46" t="s">
        <v>555</v>
      </c>
      <c r="Y37" s="46" t="s">
        <v>555</v>
      </c>
      <c r="Z37" s="46" t="s">
        <v>555</v>
      </c>
    </row>
    <row r="38" spans="1:26">
      <c r="A38" s="41">
        <f>preset_Names!A38</f>
        <v>34</v>
      </c>
      <c r="B38" t="str">
        <f t="shared" si="1"/>
        <v xml:space="preserve">strcpy(AMP1_A,("Not Used")); strcpy(AMP1_B,("Not Used")); strcpy(AMP1_C,("Not Used")); strcpy(AMP1_D,("Not Used")); </v>
      </c>
      <c r="C38" t="str">
        <f t="shared" si="2"/>
        <v xml:space="preserve">strcpy(AMP2_A,("Not Used")); strcpy(AMP2_B,("Not Used")); strcpy(AMP2_C,("Not Used")); strcpy(AMP2_D,("Not Used")); </v>
      </c>
      <c r="D38" s="31" t="s">
        <v>893</v>
      </c>
      <c r="E38" s="42" t="str">
        <f t="shared" si="0"/>
        <v>case 34: strcpy(AMP1_A,("Not Used")); strcpy(AMP1_B,("Not Used")); strcpy(AMP1_C,("Not Used")); strcpy(AMP1_D,("Not Used")); strcpy(AMP2_A,("Not Used")); strcpy(AMP2_B,("Not Used")); strcpy(AMP2_C,("Not Used")); strcpy(AMP2_D,("Not Used"));  break;</v>
      </c>
      <c r="F38" t="s">
        <v>893</v>
      </c>
      <c r="I38" t="s">
        <v>893</v>
      </c>
      <c r="J38" s="45" t="str">
        <f>VLOOKUP(S38,'AMP models AxeFxIII'!$D$2:$H$299,2,FALSE)</f>
        <v>Not Used</v>
      </c>
      <c r="K38" s="45" t="str">
        <f>VLOOKUP(T38,'AMP models AxeFxIII'!$D$2:$H$299,2,FALSE)</f>
        <v>Not Used</v>
      </c>
      <c r="L38" s="45" t="str">
        <f>VLOOKUP(U38,'AMP models AxeFxIII'!$D$2:$H$299,2,FALSE)</f>
        <v>Not Used</v>
      </c>
      <c r="M38" s="45" t="str">
        <f>VLOOKUP(V38,'AMP models AxeFxIII'!$D$2:$H$299,2,FALSE)</f>
        <v>Not Used</v>
      </c>
      <c r="N38" s="45" t="str">
        <f>VLOOKUP(W38,'AMP models AxeFxIII'!$D$2:$H$299,2,FALSE)</f>
        <v>Not Used</v>
      </c>
      <c r="O38" s="45" t="str">
        <f>VLOOKUP(X38,'AMP models AxeFxIII'!$D$2:$H$299,2,FALSE)</f>
        <v>Not Used</v>
      </c>
      <c r="P38" s="45" t="str">
        <f>VLOOKUP(Y38,'AMP models AxeFxIII'!$D$2:$H$299,2,FALSE)</f>
        <v>Not Used</v>
      </c>
      <c r="Q38" s="45" t="str">
        <f>VLOOKUP(Z38,'AMP models AxeFxIII'!$D$2:$H$299,2,FALSE)</f>
        <v>Not Used</v>
      </c>
      <c r="R38" s="4">
        <v>34</v>
      </c>
      <c r="S38" s="46" t="s">
        <v>555</v>
      </c>
      <c r="T38" s="46" t="s">
        <v>555</v>
      </c>
      <c r="U38" s="46" t="s">
        <v>555</v>
      </c>
      <c r="V38" s="46" t="s">
        <v>555</v>
      </c>
      <c r="W38" s="46" t="s">
        <v>555</v>
      </c>
      <c r="X38" s="46" t="s">
        <v>555</v>
      </c>
      <c r="Y38" s="46" t="s">
        <v>555</v>
      </c>
      <c r="Z38" s="46" t="s">
        <v>555</v>
      </c>
    </row>
    <row r="39" spans="1:26">
      <c r="A39" s="41">
        <f>preset_Names!A39</f>
        <v>35</v>
      </c>
      <c r="B39" t="str">
        <f t="shared" si="1"/>
        <v xml:space="preserve">strcpy(AMP1_A,("Not Used")); strcpy(AMP1_B,("Not Used")); strcpy(AMP1_C,("Not Used")); strcpy(AMP1_D,("Not Used")); </v>
      </c>
      <c r="C39" t="str">
        <f t="shared" si="2"/>
        <v xml:space="preserve">strcpy(AMP2_A,("Not Used")); strcpy(AMP2_B,("Not Used")); strcpy(AMP2_C,("Not Used")); strcpy(AMP2_D,("Not Used")); </v>
      </c>
      <c r="D39" s="31" t="s">
        <v>893</v>
      </c>
      <c r="E39" s="42" t="str">
        <f t="shared" si="0"/>
        <v>case 35: strcpy(AMP1_A,("Not Used")); strcpy(AMP1_B,("Not Used")); strcpy(AMP1_C,("Not Used")); strcpy(AMP1_D,("Not Used")); strcpy(AMP2_A,("Not Used")); strcpy(AMP2_B,("Not Used")); strcpy(AMP2_C,("Not Used")); strcpy(AMP2_D,("Not Used"));  break;</v>
      </c>
      <c r="F39" t="s">
        <v>893</v>
      </c>
      <c r="I39" t="s">
        <v>893</v>
      </c>
      <c r="J39" s="45" t="str">
        <f>VLOOKUP(S39,'AMP models AxeFxIII'!$D$2:$H$299,2,FALSE)</f>
        <v>Not Used</v>
      </c>
      <c r="K39" s="45" t="str">
        <f>VLOOKUP(T39,'AMP models AxeFxIII'!$D$2:$H$299,2,FALSE)</f>
        <v>Not Used</v>
      </c>
      <c r="L39" s="45" t="str">
        <f>VLOOKUP(U39,'AMP models AxeFxIII'!$D$2:$H$299,2,FALSE)</f>
        <v>Not Used</v>
      </c>
      <c r="M39" s="45" t="str">
        <f>VLOOKUP(V39,'AMP models AxeFxIII'!$D$2:$H$299,2,FALSE)</f>
        <v>Not Used</v>
      </c>
      <c r="N39" s="45" t="str">
        <f>VLOOKUP(W39,'AMP models AxeFxIII'!$D$2:$H$299,2,FALSE)</f>
        <v>Not Used</v>
      </c>
      <c r="O39" s="45" t="str">
        <f>VLOOKUP(X39,'AMP models AxeFxIII'!$D$2:$H$299,2,FALSE)</f>
        <v>Not Used</v>
      </c>
      <c r="P39" s="45" t="str">
        <f>VLOOKUP(Y39,'AMP models AxeFxIII'!$D$2:$H$299,2,FALSE)</f>
        <v>Not Used</v>
      </c>
      <c r="Q39" s="45" t="str">
        <f>VLOOKUP(Z39,'AMP models AxeFxIII'!$D$2:$H$299,2,FALSE)</f>
        <v>Not Used</v>
      </c>
      <c r="R39" s="4">
        <v>35</v>
      </c>
      <c r="S39" s="46" t="s">
        <v>555</v>
      </c>
      <c r="T39" s="46" t="s">
        <v>555</v>
      </c>
      <c r="U39" s="46" t="s">
        <v>555</v>
      </c>
      <c r="V39" s="46" t="s">
        <v>555</v>
      </c>
      <c r="W39" s="46" t="s">
        <v>555</v>
      </c>
      <c r="X39" s="46" t="s">
        <v>555</v>
      </c>
      <c r="Y39" s="46" t="s">
        <v>555</v>
      </c>
      <c r="Z39" s="46" t="s">
        <v>555</v>
      </c>
    </row>
    <row r="40" spans="1:26">
      <c r="A40" s="41">
        <f>preset_Names!A40</f>
        <v>36</v>
      </c>
      <c r="B40" t="str">
        <f t="shared" si="1"/>
        <v xml:space="preserve">strcpy(AMP1_A,("Not Used")); strcpy(AMP1_B,("Not Used")); strcpy(AMP1_C,("Not Used")); strcpy(AMP1_D,("Not Used")); </v>
      </c>
      <c r="C40" t="str">
        <f t="shared" si="2"/>
        <v xml:space="preserve">strcpy(AMP2_A,("Not Used")); strcpy(AMP2_B,("Not Used")); strcpy(AMP2_C,("Not Used")); strcpy(AMP2_D,("Not Used")); </v>
      </c>
      <c r="D40" s="31" t="s">
        <v>893</v>
      </c>
      <c r="E40" s="42" t="str">
        <f t="shared" si="0"/>
        <v>case 36: strcpy(AMP1_A,("Not Used")); strcpy(AMP1_B,("Not Used")); strcpy(AMP1_C,("Not Used")); strcpy(AMP1_D,("Not Used")); strcpy(AMP2_A,("Not Used")); strcpy(AMP2_B,("Not Used")); strcpy(AMP2_C,("Not Used")); strcpy(AMP2_D,("Not Used"));  break;</v>
      </c>
      <c r="F40" t="s">
        <v>893</v>
      </c>
      <c r="I40" t="s">
        <v>893</v>
      </c>
      <c r="J40" s="45" t="str">
        <f>VLOOKUP(S40,'AMP models AxeFxIII'!$D$2:$H$299,2,FALSE)</f>
        <v>Not Used</v>
      </c>
      <c r="K40" s="45" t="str">
        <f>VLOOKUP(T40,'AMP models AxeFxIII'!$D$2:$H$299,2,FALSE)</f>
        <v>Not Used</v>
      </c>
      <c r="L40" s="45" t="str">
        <f>VLOOKUP(U40,'AMP models AxeFxIII'!$D$2:$H$299,2,FALSE)</f>
        <v>Not Used</v>
      </c>
      <c r="M40" s="45" t="str">
        <f>VLOOKUP(V40,'AMP models AxeFxIII'!$D$2:$H$299,2,FALSE)</f>
        <v>Not Used</v>
      </c>
      <c r="N40" s="45" t="str">
        <f>VLOOKUP(W40,'AMP models AxeFxIII'!$D$2:$H$299,2,FALSE)</f>
        <v>Not Used</v>
      </c>
      <c r="O40" s="45" t="str">
        <f>VLOOKUP(X40,'AMP models AxeFxIII'!$D$2:$H$299,2,FALSE)</f>
        <v>Not Used</v>
      </c>
      <c r="P40" s="45" t="str">
        <f>VLOOKUP(Y40,'AMP models AxeFxIII'!$D$2:$H$299,2,FALSE)</f>
        <v>Not Used</v>
      </c>
      <c r="Q40" s="45" t="str">
        <f>VLOOKUP(Z40,'AMP models AxeFxIII'!$D$2:$H$299,2,FALSE)</f>
        <v>Not Used</v>
      </c>
      <c r="R40" s="4">
        <v>36</v>
      </c>
      <c r="S40" s="46" t="s">
        <v>555</v>
      </c>
      <c r="T40" s="46" t="s">
        <v>555</v>
      </c>
      <c r="U40" s="46" t="s">
        <v>555</v>
      </c>
      <c r="V40" s="46" t="s">
        <v>555</v>
      </c>
      <c r="W40" s="46" t="s">
        <v>555</v>
      </c>
      <c r="X40" s="46" t="s">
        <v>555</v>
      </c>
      <c r="Y40" s="46" t="s">
        <v>555</v>
      </c>
      <c r="Z40" s="46" t="s">
        <v>555</v>
      </c>
    </row>
    <row r="41" spans="1:26">
      <c r="A41" s="41">
        <f>preset_Names!A41</f>
        <v>37</v>
      </c>
      <c r="B41" t="str">
        <f t="shared" si="1"/>
        <v xml:space="preserve">strcpy(AMP1_A,("Not Used")); strcpy(AMP1_B,("Not Used")); strcpy(AMP1_C,("Not Used")); strcpy(AMP1_D,("Not Used")); </v>
      </c>
      <c r="C41" t="str">
        <f t="shared" si="2"/>
        <v xml:space="preserve">strcpy(AMP2_A,("Not Used")); strcpy(AMP2_B,("Not Used")); strcpy(AMP2_C,("Not Used")); strcpy(AMP2_D,("Not Used")); </v>
      </c>
      <c r="D41" s="31" t="s">
        <v>893</v>
      </c>
      <c r="E41" s="42" t="str">
        <f t="shared" si="0"/>
        <v>case 37: strcpy(AMP1_A,("Not Used")); strcpy(AMP1_B,("Not Used")); strcpy(AMP1_C,("Not Used")); strcpy(AMP1_D,("Not Used")); strcpy(AMP2_A,("Not Used")); strcpy(AMP2_B,("Not Used")); strcpy(AMP2_C,("Not Used")); strcpy(AMP2_D,("Not Used"));  break;</v>
      </c>
      <c r="F41" t="s">
        <v>893</v>
      </c>
      <c r="I41" t="s">
        <v>893</v>
      </c>
      <c r="J41" s="45" t="str">
        <f>VLOOKUP(S41,'AMP models AxeFxIII'!$D$2:$H$299,2,FALSE)</f>
        <v>Not Used</v>
      </c>
      <c r="K41" s="45" t="str">
        <f>VLOOKUP(T41,'AMP models AxeFxIII'!$D$2:$H$299,2,FALSE)</f>
        <v>Not Used</v>
      </c>
      <c r="L41" s="45" t="str">
        <f>VLOOKUP(U41,'AMP models AxeFxIII'!$D$2:$H$299,2,FALSE)</f>
        <v>Not Used</v>
      </c>
      <c r="M41" s="45" t="str">
        <f>VLOOKUP(V41,'AMP models AxeFxIII'!$D$2:$H$299,2,FALSE)</f>
        <v>Not Used</v>
      </c>
      <c r="N41" s="45" t="str">
        <f>VLOOKUP(W41,'AMP models AxeFxIII'!$D$2:$H$299,2,FALSE)</f>
        <v>Not Used</v>
      </c>
      <c r="O41" s="45" t="str">
        <f>VLOOKUP(X41,'AMP models AxeFxIII'!$D$2:$H$299,2,FALSE)</f>
        <v>Not Used</v>
      </c>
      <c r="P41" s="45" t="str">
        <f>VLOOKUP(Y41,'AMP models AxeFxIII'!$D$2:$H$299,2,FALSE)</f>
        <v>Not Used</v>
      </c>
      <c r="Q41" s="45" t="str">
        <f>VLOOKUP(Z41,'AMP models AxeFxIII'!$D$2:$H$299,2,FALSE)</f>
        <v>Not Used</v>
      </c>
      <c r="R41" s="4">
        <v>37</v>
      </c>
      <c r="S41" s="46" t="s">
        <v>555</v>
      </c>
      <c r="T41" s="46" t="s">
        <v>555</v>
      </c>
      <c r="U41" s="46" t="s">
        <v>555</v>
      </c>
      <c r="V41" s="46" t="s">
        <v>555</v>
      </c>
      <c r="W41" s="46" t="s">
        <v>555</v>
      </c>
      <c r="X41" s="46" t="s">
        <v>555</v>
      </c>
      <c r="Y41" s="46" t="s">
        <v>555</v>
      </c>
      <c r="Z41" s="46" t="s">
        <v>555</v>
      </c>
    </row>
    <row r="42" spans="1:26">
      <c r="A42" s="41">
        <f>preset_Names!A42</f>
        <v>38</v>
      </c>
      <c r="B42" t="str">
        <f t="shared" si="1"/>
        <v xml:space="preserve">strcpy(AMP1_A,("Not Used")); strcpy(AMP1_B,("Not Used")); strcpy(AMP1_C,("Not Used")); strcpy(AMP1_D,("Not Used")); </v>
      </c>
      <c r="C42" t="str">
        <f t="shared" si="2"/>
        <v xml:space="preserve">strcpy(AMP2_A,("Not Used")); strcpy(AMP2_B,("Not Used")); strcpy(AMP2_C,("Not Used")); strcpy(AMP2_D,("Not Used")); </v>
      </c>
      <c r="D42" s="31" t="s">
        <v>893</v>
      </c>
      <c r="E42" s="42" t="str">
        <f t="shared" si="0"/>
        <v>case 38: strcpy(AMP1_A,("Not Used")); strcpy(AMP1_B,("Not Used")); strcpy(AMP1_C,("Not Used")); strcpy(AMP1_D,("Not Used")); strcpy(AMP2_A,("Not Used")); strcpy(AMP2_B,("Not Used")); strcpy(AMP2_C,("Not Used")); strcpy(AMP2_D,("Not Used"));  break;</v>
      </c>
      <c r="F42" t="s">
        <v>893</v>
      </c>
      <c r="I42" t="s">
        <v>893</v>
      </c>
      <c r="J42" s="45" t="str">
        <f>VLOOKUP(S42,'AMP models AxeFxIII'!$D$2:$H$299,2,FALSE)</f>
        <v>Not Used</v>
      </c>
      <c r="K42" s="45" t="str">
        <f>VLOOKUP(T42,'AMP models AxeFxIII'!$D$2:$H$299,2,FALSE)</f>
        <v>Not Used</v>
      </c>
      <c r="L42" s="45" t="str">
        <f>VLOOKUP(U42,'AMP models AxeFxIII'!$D$2:$H$299,2,FALSE)</f>
        <v>Not Used</v>
      </c>
      <c r="M42" s="45" t="str">
        <f>VLOOKUP(V42,'AMP models AxeFxIII'!$D$2:$H$299,2,FALSE)</f>
        <v>Not Used</v>
      </c>
      <c r="N42" s="45" t="str">
        <f>VLOOKUP(W42,'AMP models AxeFxIII'!$D$2:$H$299,2,FALSE)</f>
        <v>Not Used</v>
      </c>
      <c r="O42" s="45" t="str">
        <f>VLOOKUP(X42,'AMP models AxeFxIII'!$D$2:$H$299,2,FALSE)</f>
        <v>Not Used</v>
      </c>
      <c r="P42" s="45" t="str">
        <f>VLOOKUP(Y42,'AMP models AxeFxIII'!$D$2:$H$299,2,FALSE)</f>
        <v>Not Used</v>
      </c>
      <c r="Q42" s="45" t="str">
        <f>VLOOKUP(Z42,'AMP models AxeFxIII'!$D$2:$H$299,2,FALSE)</f>
        <v>Not Used</v>
      </c>
      <c r="R42" s="4">
        <v>38</v>
      </c>
      <c r="S42" s="46" t="s">
        <v>555</v>
      </c>
      <c r="T42" s="46" t="s">
        <v>555</v>
      </c>
      <c r="U42" s="46" t="s">
        <v>555</v>
      </c>
      <c r="V42" s="46" t="s">
        <v>555</v>
      </c>
      <c r="W42" s="46" t="s">
        <v>555</v>
      </c>
      <c r="X42" s="46" t="s">
        <v>555</v>
      </c>
      <c r="Y42" s="46" t="s">
        <v>555</v>
      </c>
      <c r="Z42" s="46" t="s">
        <v>555</v>
      </c>
    </row>
    <row r="43" spans="1:26">
      <c r="A43" s="41">
        <f>preset_Names!A43</f>
        <v>39</v>
      </c>
      <c r="B43" t="str">
        <f t="shared" si="1"/>
        <v xml:space="preserve">strcpy(AMP1_A,("Not Used")); strcpy(AMP1_B,("Not Used")); strcpy(AMP1_C,("Not Used")); strcpy(AMP1_D,("Not Used")); </v>
      </c>
      <c r="C43" t="str">
        <f t="shared" si="2"/>
        <v xml:space="preserve">strcpy(AMP2_A,("Not Used")); strcpy(AMP2_B,("Not Used")); strcpy(AMP2_C,("Not Used")); strcpy(AMP2_D,("Not Used")); </v>
      </c>
      <c r="D43" s="31" t="s">
        <v>893</v>
      </c>
      <c r="E43" s="42" t="str">
        <f t="shared" si="0"/>
        <v>case 39: strcpy(AMP1_A,("Not Used")); strcpy(AMP1_B,("Not Used")); strcpy(AMP1_C,("Not Used")); strcpy(AMP1_D,("Not Used")); strcpy(AMP2_A,("Not Used")); strcpy(AMP2_B,("Not Used")); strcpy(AMP2_C,("Not Used")); strcpy(AMP2_D,("Not Used"));  break;</v>
      </c>
      <c r="F43" t="s">
        <v>893</v>
      </c>
      <c r="I43" t="s">
        <v>893</v>
      </c>
      <c r="J43" s="45" t="str">
        <f>VLOOKUP(S43,'AMP models AxeFxIII'!$D$2:$H$299,2,FALSE)</f>
        <v>Not Used</v>
      </c>
      <c r="K43" s="45" t="str">
        <f>VLOOKUP(T43,'AMP models AxeFxIII'!$D$2:$H$299,2,FALSE)</f>
        <v>Not Used</v>
      </c>
      <c r="L43" s="45" t="str">
        <f>VLOOKUP(U43,'AMP models AxeFxIII'!$D$2:$H$299,2,FALSE)</f>
        <v>Not Used</v>
      </c>
      <c r="M43" s="45" t="str">
        <f>VLOOKUP(V43,'AMP models AxeFxIII'!$D$2:$H$299,2,FALSE)</f>
        <v>Not Used</v>
      </c>
      <c r="N43" s="45" t="str">
        <f>VLOOKUP(W43,'AMP models AxeFxIII'!$D$2:$H$299,2,FALSE)</f>
        <v>Not Used</v>
      </c>
      <c r="O43" s="45" t="str">
        <f>VLOOKUP(X43,'AMP models AxeFxIII'!$D$2:$H$299,2,FALSE)</f>
        <v>Not Used</v>
      </c>
      <c r="P43" s="45" t="str">
        <f>VLOOKUP(Y43,'AMP models AxeFxIII'!$D$2:$H$299,2,FALSE)</f>
        <v>Not Used</v>
      </c>
      <c r="Q43" s="45" t="str">
        <f>VLOOKUP(Z43,'AMP models AxeFxIII'!$D$2:$H$299,2,FALSE)</f>
        <v>Not Used</v>
      </c>
      <c r="R43" s="4">
        <v>39</v>
      </c>
      <c r="S43" s="46" t="s">
        <v>555</v>
      </c>
      <c r="T43" s="46" t="s">
        <v>555</v>
      </c>
      <c r="U43" s="46" t="s">
        <v>555</v>
      </c>
      <c r="V43" s="46" t="s">
        <v>555</v>
      </c>
      <c r="W43" s="46" t="s">
        <v>555</v>
      </c>
      <c r="X43" s="46" t="s">
        <v>555</v>
      </c>
      <c r="Y43" s="46" t="s">
        <v>555</v>
      </c>
      <c r="Z43" s="46" t="s">
        <v>555</v>
      </c>
    </row>
    <row r="44" spans="1:26">
      <c r="A44" s="41">
        <f>preset_Names!A44</f>
        <v>40</v>
      </c>
      <c r="B44" t="str">
        <f t="shared" si="1"/>
        <v xml:space="preserve">strcpy(AMP1_A,("Not Used")); strcpy(AMP1_B,("Not Used")); strcpy(AMP1_C,("Not Used")); strcpy(AMP1_D,("Not Used")); </v>
      </c>
      <c r="C44" t="str">
        <f t="shared" si="2"/>
        <v xml:space="preserve">strcpy(AMP2_A,("Not Used")); strcpy(AMP2_B,("Not Used")); strcpy(AMP2_C,("Not Used")); strcpy(AMP2_D,("Not Used")); </v>
      </c>
      <c r="D44" s="31" t="s">
        <v>893</v>
      </c>
      <c r="E44" s="42" t="str">
        <f t="shared" si="0"/>
        <v>case 40: strcpy(AMP1_A,("Not Used")); strcpy(AMP1_B,("Not Used")); strcpy(AMP1_C,("Not Used")); strcpy(AMP1_D,("Not Used")); strcpy(AMP2_A,("Not Used")); strcpy(AMP2_B,("Not Used")); strcpy(AMP2_C,("Not Used")); strcpy(AMP2_D,("Not Used"));  break;</v>
      </c>
      <c r="F44" t="s">
        <v>893</v>
      </c>
      <c r="I44" t="s">
        <v>893</v>
      </c>
      <c r="J44" s="45" t="str">
        <f>VLOOKUP(S44,'AMP models AxeFxIII'!$D$2:$H$299,2,FALSE)</f>
        <v>Not Used</v>
      </c>
      <c r="K44" s="45" t="str">
        <f>VLOOKUP(T44,'AMP models AxeFxIII'!$D$2:$H$299,2,FALSE)</f>
        <v>Not Used</v>
      </c>
      <c r="L44" s="45" t="str">
        <f>VLOOKUP(U44,'AMP models AxeFxIII'!$D$2:$H$299,2,FALSE)</f>
        <v>Not Used</v>
      </c>
      <c r="M44" s="45" t="str">
        <f>VLOOKUP(V44,'AMP models AxeFxIII'!$D$2:$H$299,2,FALSE)</f>
        <v>Not Used</v>
      </c>
      <c r="N44" s="45" t="str">
        <f>VLOOKUP(W44,'AMP models AxeFxIII'!$D$2:$H$299,2,FALSE)</f>
        <v>Not Used</v>
      </c>
      <c r="O44" s="45" t="str">
        <f>VLOOKUP(X44,'AMP models AxeFxIII'!$D$2:$H$299,2,FALSE)</f>
        <v>Not Used</v>
      </c>
      <c r="P44" s="45" t="str">
        <f>VLOOKUP(Y44,'AMP models AxeFxIII'!$D$2:$H$299,2,FALSE)</f>
        <v>Not Used</v>
      </c>
      <c r="Q44" s="45" t="str">
        <f>VLOOKUP(Z44,'AMP models AxeFxIII'!$D$2:$H$299,2,FALSE)</f>
        <v>Not Used</v>
      </c>
      <c r="R44" s="4">
        <v>40</v>
      </c>
      <c r="S44" s="46" t="s">
        <v>555</v>
      </c>
      <c r="T44" s="46" t="s">
        <v>555</v>
      </c>
      <c r="U44" s="46" t="s">
        <v>555</v>
      </c>
      <c r="V44" s="46" t="s">
        <v>555</v>
      </c>
      <c r="W44" s="46" t="s">
        <v>555</v>
      </c>
      <c r="X44" s="46" t="s">
        <v>555</v>
      </c>
      <c r="Y44" s="46" t="s">
        <v>555</v>
      </c>
      <c r="Z44" s="46" t="s">
        <v>555</v>
      </c>
    </row>
    <row r="45" spans="1:26">
      <c r="A45" s="41">
        <f>preset_Names!A45</f>
        <v>41</v>
      </c>
      <c r="B45" t="str">
        <f t="shared" si="1"/>
        <v xml:space="preserve">strcpy(AMP1_A,("Not Used")); strcpy(AMP1_B,("Not Used")); strcpy(AMP1_C,("Not Used")); strcpy(AMP1_D,("Not Used")); </v>
      </c>
      <c r="C45" t="str">
        <f t="shared" si="2"/>
        <v xml:space="preserve">strcpy(AMP2_A,("Not Used")); strcpy(AMP2_B,("Not Used")); strcpy(AMP2_C,("Not Used")); strcpy(AMP2_D,("Not Used")); </v>
      </c>
      <c r="D45" s="31" t="s">
        <v>893</v>
      </c>
      <c r="E45" s="42" t="str">
        <f t="shared" si="0"/>
        <v>case 41: strcpy(AMP1_A,("Not Used")); strcpy(AMP1_B,("Not Used")); strcpy(AMP1_C,("Not Used")); strcpy(AMP1_D,("Not Used")); strcpy(AMP2_A,("Not Used")); strcpy(AMP2_B,("Not Used")); strcpy(AMP2_C,("Not Used")); strcpy(AMP2_D,("Not Used"));  break;</v>
      </c>
      <c r="F45" t="s">
        <v>893</v>
      </c>
      <c r="I45" t="s">
        <v>893</v>
      </c>
      <c r="J45" s="45" t="str">
        <f>VLOOKUP(S45,'AMP models AxeFxIII'!$D$2:$H$299,2,FALSE)</f>
        <v>Not Used</v>
      </c>
      <c r="K45" s="45" t="str">
        <f>VLOOKUP(T45,'AMP models AxeFxIII'!$D$2:$H$299,2,FALSE)</f>
        <v>Not Used</v>
      </c>
      <c r="L45" s="45" t="str">
        <f>VLOOKUP(U45,'AMP models AxeFxIII'!$D$2:$H$299,2,FALSE)</f>
        <v>Not Used</v>
      </c>
      <c r="M45" s="45" t="str">
        <f>VLOOKUP(V45,'AMP models AxeFxIII'!$D$2:$H$299,2,FALSE)</f>
        <v>Not Used</v>
      </c>
      <c r="N45" s="45" t="str">
        <f>VLOOKUP(W45,'AMP models AxeFxIII'!$D$2:$H$299,2,FALSE)</f>
        <v>Not Used</v>
      </c>
      <c r="O45" s="45" t="str">
        <f>VLOOKUP(X45,'AMP models AxeFxIII'!$D$2:$H$299,2,FALSE)</f>
        <v>Not Used</v>
      </c>
      <c r="P45" s="45" t="str">
        <f>VLOOKUP(Y45,'AMP models AxeFxIII'!$D$2:$H$299,2,FALSE)</f>
        <v>Not Used</v>
      </c>
      <c r="Q45" s="45" t="str">
        <f>VLOOKUP(Z45,'AMP models AxeFxIII'!$D$2:$H$299,2,FALSE)</f>
        <v>Not Used</v>
      </c>
      <c r="R45" s="4">
        <v>41</v>
      </c>
      <c r="S45" s="46" t="s">
        <v>555</v>
      </c>
      <c r="T45" s="46" t="s">
        <v>555</v>
      </c>
      <c r="U45" s="46" t="s">
        <v>555</v>
      </c>
      <c r="V45" s="46" t="s">
        <v>555</v>
      </c>
      <c r="W45" s="46" t="s">
        <v>555</v>
      </c>
      <c r="X45" s="46" t="s">
        <v>555</v>
      </c>
      <c r="Y45" s="46" t="s">
        <v>555</v>
      </c>
      <c r="Z45" s="46" t="s">
        <v>555</v>
      </c>
    </row>
    <row r="46" spans="1:26">
      <c r="A46" s="41">
        <f>preset_Names!A46</f>
        <v>42</v>
      </c>
      <c r="B46" t="str">
        <f t="shared" si="1"/>
        <v xml:space="preserve">strcpy(AMP1_A,("Not Used")); strcpy(AMP1_B,("Not Used")); strcpy(AMP1_C,("Not Used")); strcpy(AMP1_D,("Not Used")); </v>
      </c>
      <c r="C46" t="str">
        <f t="shared" si="2"/>
        <v xml:space="preserve">strcpy(AMP2_A,("Not Used")); strcpy(AMP2_B,("Not Used")); strcpy(AMP2_C,("Not Used")); strcpy(AMP2_D,("Not Used")); </v>
      </c>
      <c r="D46" s="31" t="s">
        <v>893</v>
      </c>
      <c r="E46" s="42" t="str">
        <f t="shared" si="0"/>
        <v>case 42: strcpy(AMP1_A,("Not Used")); strcpy(AMP1_B,("Not Used")); strcpy(AMP1_C,("Not Used")); strcpy(AMP1_D,("Not Used")); strcpy(AMP2_A,("Not Used")); strcpy(AMP2_B,("Not Used")); strcpy(AMP2_C,("Not Used")); strcpy(AMP2_D,("Not Used"));  break;</v>
      </c>
      <c r="F46" t="s">
        <v>893</v>
      </c>
      <c r="I46" t="s">
        <v>893</v>
      </c>
      <c r="J46" s="45" t="str">
        <f>VLOOKUP(S46,'AMP models AxeFxIII'!$D$2:$H$299,2,FALSE)</f>
        <v>Not Used</v>
      </c>
      <c r="K46" s="45" t="str">
        <f>VLOOKUP(T46,'AMP models AxeFxIII'!$D$2:$H$299,2,FALSE)</f>
        <v>Not Used</v>
      </c>
      <c r="L46" s="45" t="str">
        <f>VLOOKUP(U46,'AMP models AxeFxIII'!$D$2:$H$299,2,FALSE)</f>
        <v>Not Used</v>
      </c>
      <c r="M46" s="45" t="str">
        <f>VLOOKUP(V46,'AMP models AxeFxIII'!$D$2:$H$299,2,FALSE)</f>
        <v>Not Used</v>
      </c>
      <c r="N46" s="45" t="str">
        <f>VLOOKUP(W46,'AMP models AxeFxIII'!$D$2:$H$299,2,FALSE)</f>
        <v>Not Used</v>
      </c>
      <c r="O46" s="45" t="str">
        <f>VLOOKUP(X46,'AMP models AxeFxIII'!$D$2:$H$299,2,FALSE)</f>
        <v>Not Used</v>
      </c>
      <c r="P46" s="45" t="str">
        <f>VLOOKUP(Y46,'AMP models AxeFxIII'!$D$2:$H$299,2,FALSE)</f>
        <v>Not Used</v>
      </c>
      <c r="Q46" s="45" t="str">
        <f>VLOOKUP(Z46,'AMP models AxeFxIII'!$D$2:$H$299,2,FALSE)</f>
        <v>Not Used</v>
      </c>
      <c r="R46" s="4">
        <v>42</v>
      </c>
      <c r="S46" s="46" t="s">
        <v>555</v>
      </c>
      <c r="T46" s="46" t="s">
        <v>555</v>
      </c>
      <c r="U46" s="46" t="s">
        <v>555</v>
      </c>
      <c r="V46" s="46" t="s">
        <v>555</v>
      </c>
      <c r="W46" s="46" t="s">
        <v>555</v>
      </c>
      <c r="X46" s="46" t="s">
        <v>555</v>
      </c>
      <c r="Y46" s="46" t="s">
        <v>555</v>
      </c>
      <c r="Z46" s="46" t="s">
        <v>555</v>
      </c>
    </row>
    <row r="47" spans="1:26">
      <c r="A47" s="41">
        <f>preset_Names!A47</f>
        <v>43</v>
      </c>
      <c r="B47" t="str">
        <f t="shared" si="1"/>
        <v xml:space="preserve">strcpy(AMP1_A,("Not Used")); strcpy(AMP1_B,("Not Used")); strcpy(AMP1_C,("Not Used")); strcpy(AMP1_D,("Not Used")); </v>
      </c>
      <c r="C47" t="str">
        <f t="shared" si="2"/>
        <v xml:space="preserve">strcpy(AMP2_A,("Not Used")); strcpy(AMP2_B,("Not Used")); strcpy(AMP2_C,("Not Used")); strcpy(AMP2_D,("Not Used")); </v>
      </c>
      <c r="D47" s="31" t="s">
        <v>893</v>
      </c>
      <c r="E47" s="42" t="str">
        <f t="shared" si="0"/>
        <v>case 43: strcpy(AMP1_A,("Not Used")); strcpy(AMP1_B,("Not Used")); strcpy(AMP1_C,("Not Used")); strcpy(AMP1_D,("Not Used")); strcpy(AMP2_A,("Not Used")); strcpy(AMP2_B,("Not Used")); strcpy(AMP2_C,("Not Used")); strcpy(AMP2_D,("Not Used"));  break;</v>
      </c>
      <c r="F47" t="s">
        <v>893</v>
      </c>
      <c r="I47" t="s">
        <v>893</v>
      </c>
      <c r="J47" s="45" t="str">
        <f>VLOOKUP(S47,'AMP models AxeFxIII'!$D$2:$H$299,2,FALSE)</f>
        <v>Not Used</v>
      </c>
      <c r="K47" s="45" t="str">
        <f>VLOOKUP(T47,'AMP models AxeFxIII'!$D$2:$H$299,2,FALSE)</f>
        <v>Not Used</v>
      </c>
      <c r="L47" s="45" t="str">
        <f>VLOOKUP(U47,'AMP models AxeFxIII'!$D$2:$H$299,2,FALSE)</f>
        <v>Not Used</v>
      </c>
      <c r="M47" s="45" t="str">
        <f>VLOOKUP(V47,'AMP models AxeFxIII'!$D$2:$H$299,2,FALSE)</f>
        <v>Not Used</v>
      </c>
      <c r="N47" s="45" t="str">
        <f>VLOOKUP(W47,'AMP models AxeFxIII'!$D$2:$H$299,2,FALSE)</f>
        <v>Not Used</v>
      </c>
      <c r="O47" s="45" t="str">
        <f>VLOOKUP(X47,'AMP models AxeFxIII'!$D$2:$H$299,2,FALSE)</f>
        <v>Not Used</v>
      </c>
      <c r="P47" s="45" t="str">
        <f>VLOOKUP(Y47,'AMP models AxeFxIII'!$D$2:$H$299,2,FALSE)</f>
        <v>Not Used</v>
      </c>
      <c r="Q47" s="45" t="str">
        <f>VLOOKUP(Z47,'AMP models AxeFxIII'!$D$2:$H$299,2,FALSE)</f>
        <v>Not Used</v>
      </c>
      <c r="R47" s="4">
        <v>43</v>
      </c>
      <c r="S47" s="46" t="s">
        <v>555</v>
      </c>
      <c r="T47" s="46" t="s">
        <v>555</v>
      </c>
      <c r="U47" s="46" t="s">
        <v>555</v>
      </c>
      <c r="V47" s="46" t="s">
        <v>555</v>
      </c>
      <c r="W47" s="46" t="s">
        <v>555</v>
      </c>
      <c r="X47" s="46" t="s">
        <v>555</v>
      </c>
      <c r="Y47" s="46" t="s">
        <v>555</v>
      </c>
      <c r="Z47" s="46" t="s">
        <v>555</v>
      </c>
    </row>
    <row r="48" spans="1:26">
      <c r="A48" s="41">
        <f>preset_Names!A48</f>
        <v>44</v>
      </c>
      <c r="B48" t="str">
        <f t="shared" si="1"/>
        <v xml:space="preserve">strcpy(AMP1_A,("Not Used")); strcpy(AMP1_B,("Not Used")); strcpy(AMP1_C,("Not Used")); strcpy(AMP1_D,("Not Used")); </v>
      </c>
      <c r="C48" t="str">
        <f t="shared" si="2"/>
        <v xml:space="preserve">strcpy(AMP2_A,("Not Used")); strcpy(AMP2_B,("Not Used")); strcpy(AMP2_C,("Not Used")); strcpy(AMP2_D,("Not Used")); </v>
      </c>
      <c r="D48" s="31" t="s">
        <v>893</v>
      </c>
      <c r="E48" s="42" t="str">
        <f t="shared" si="0"/>
        <v>case 44: strcpy(AMP1_A,("Not Used")); strcpy(AMP1_B,("Not Used")); strcpy(AMP1_C,("Not Used")); strcpy(AMP1_D,("Not Used")); strcpy(AMP2_A,("Not Used")); strcpy(AMP2_B,("Not Used")); strcpy(AMP2_C,("Not Used")); strcpy(AMP2_D,("Not Used"));  break;</v>
      </c>
      <c r="F48" t="s">
        <v>893</v>
      </c>
      <c r="I48" t="s">
        <v>893</v>
      </c>
      <c r="J48" s="45" t="str">
        <f>VLOOKUP(S48,'AMP models AxeFxIII'!$D$2:$H$299,2,FALSE)</f>
        <v>Not Used</v>
      </c>
      <c r="K48" s="45" t="str">
        <f>VLOOKUP(T48,'AMP models AxeFxIII'!$D$2:$H$299,2,FALSE)</f>
        <v>Not Used</v>
      </c>
      <c r="L48" s="45" t="str">
        <f>VLOOKUP(U48,'AMP models AxeFxIII'!$D$2:$H$299,2,FALSE)</f>
        <v>Not Used</v>
      </c>
      <c r="M48" s="45" t="str">
        <f>VLOOKUP(V48,'AMP models AxeFxIII'!$D$2:$H$299,2,FALSE)</f>
        <v>Not Used</v>
      </c>
      <c r="N48" s="45" t="str">
        <f>VLOOKUP(W48,'AMP models AxeFxIII'!$D$2:$H$299,2,FALSE)</f>
        <v>Not Used</v>
      </c>
      <c r="O48" s="45" t="str">
        <f>VLOOKUP(X48,'AMP models AxeFxIII'!$D$2:$H$299,2,FALSE)</f>
        <v>Not Used</v>
      </c>
      <c r="P48" s="45" t="str">
        <f>VLOOKUP(Y48,'AMP models AxeFxIII'!$D$2:$H$299,2,FALSE)</f>
        <v>Not Used</v>
      </c>
      <c r="Q48" s="45" t="str">
        <f>VLOOKUP(Z48,'AMP models AxeFxIII'!$D$2:$H$299,2,FALSE)</f>
        <v>Not Used</v>
      </c>
      <c r="R48" s="4">
        <v>44</v>
      </c>
      <c r="S48" s="46" t="s">
        <v>555</v>
      </c>
      <c r="T48" s="46" t="s">
        <v>555</v>
      </c>
      <c r="U48" s="46" t="s">
        <v>555</v>
      </c>
      <c r="V48" s="46" t="s">
        <v>555</v>
      </c>
      <c r="W48" s="46" t="s">
        <v>555</v>
      </c>
      <c r="X48" s="46" t="s">
        <v>555</v>
      </c>
      <c r="Y48" s="46" t="s">
        <v>555</v>
      </c>
      <c r="Z48" s="46" t="s">
        <v>555</v>
      </c>
    </row>
    <row r="49" spans="1:26">
      <c r="A49" s="41">
        <f>preset_Names!A49</f>
        <v>45</v>
      </c>
      <c r="B49" t="str">
        <f t="shared" si="1"/>
        <v xml:space="preserve">strcpy(AMP1_A,("Not Used")); strcpy(AMP1_B,("Not Used")); strcpy(AMP1_C,("Not Used")); strcpy(AMP1_D,("Not Used")); </v>
      </c>
      <c r="C49" t="str">
        <f t="shared" si="2"/>
        <v xml:space="preserve">strcpy(AMP2_A,("Not Used")); strcpy(AMP2_B,("Not Used")); strcpy(AMP2_C,("Not Used")); strcpy(AMP2_D,("Not Used")); </v>
      </c>
      <c r="D49" s="31" t="s">
        <v>893</v>
      </c>
      <c r="E49" s="42" t="str">
        <f t="shared" si="0"/>
        <v>case 45: strcpy(AMP1_A,("Not Used")); strcpy(AMP1_B,("Not Used")); strcpy(AMP1_C,("Not Used")); strcpy(AMP1_D,("Not Used")); strcpy(AMP2_A,("Not Used")); strcpy(AMP2_B,("Not Used")); strcpy(AMP2_C,("Not Used")); strcpy(AMP2_D,("Not Used"));  break;</v>
      </c>
      <c r="F49" t="s">
        <v>893</v>
      </c>
      <c r="I49" t="s">
        <v>893</v>
      </c>
      <c r="J49" s="45" t="str">
        <f>VLOOKUP(S49,'AMP models AxeFxIII'!$D$2:$H$299,2,FALSE)</f>
        <v>Not Used</v>
      </c>
      <c r="K49" s="45" t="str">
        <f>VLOOKUP(T49,'AMP models AxeFxIII'!$D$2:$H$299,2,FALSE)</f>
        <v>Not Used</v>
      </c>
      <c r="L49" s="45" t="str">
        <f>VLOOKUP(U49,'AMP models AxeFxIII'!$D$2:$H$299,2,FALSE)</f>
        <v>Not Used</v>
      </c>
      <c r="M49" s="45" t="str">
        <f>VLOOKUP(V49,'AMP models AxeFxIII'!$D$2:$H$299,2,FALSE)</f>
        <v>Not Used</v>
      </c>
      <c r="N49" s="45" t="str">
        <f>VLOOKUP(W49,'AMP models AxeFxIII'!$D$2:$H$299,2,FALSE)</f>
        <v>Not Used</v>
      </c>
      <c r="O49" s="45" t="str">
        <f>VLOOKUP(X49,'AMP models AxeFxIII'!$D$2:$H$299,2,FALSE)</f>
        <v>Not Used</v>
      </c>
      <c r="P49" s="45" t="str">
        <f>VLOOKUP(Y49,'AMP models AxeFxIII'!$D$2:$H$299,2,FALSE)</f>
        <v>Not Used</v>
      </c>
      <c r="Q49" s="45" t="str">
        <f>VLOOKUP(Z49,'AMP models AxeFxIII'!$D$2:$H$299,2,FALSE)</f>
        <v>Not Used</v>
      </c>
      <c r="R49" s="4">
        <v>45</v>
      </c>
      <c r="S49" s="46" t="s">
        <v>555</v>
      </c>
      <c r="T49" s="46" t="s">
        <v>555</v>
      </c>
      <c r="U49" s="46" t="s">
        <v>555</v>
      </c>
      <c r="V49" s="46" t="s">
        <v>555</v>
      </c>
      <c r="W49" s="46" t="s">
        <v>555</v>
      </c>
      <c r="X49" s="46" t="s">
        <v>555</v>
      </c>
      <c r="Y49" s="46" t="s">
        <v>555</v>
      </c>
      <c r="Z49" s="46" t="s">
        <v>555</v>
      </c>
    </row>
    <row r="50" spans="1:26">
      <c r="A50" s="41">
        <f>preset_Names!A50</f>
        <v>46</v>
      </c>
      <c r="B50" t="str">
        <f t="shared" si="1"/>
        <v xml:space="preserve">strcpy(AMP1_A,("Not Used")); strcpy(AMP1_B,("Not Used")); strcpy(AMP1_C,("Not Used")); strcpy(AMP1_D,("Not Used")); </v>
      </c>
      <c r="C50" t="str">
        <f t="shared" si="2"/>
        <v xml:space="preserve">strcpy(AMP2_A,("Not Used")); strcpy(AMP2_B,("Not Used")); strcpy(AMP2_C,("Not Used")); strcpy(AMP2_D,("Not Used")); </v>
      </c>
      <c r="D50" s="31" t="s">
        <v>893</v>
      </c>
      <c r="E50" s="42" t="str">
        <f t="shared" si="0"/>
        <v>case 46: strcpy(AMP1_A,("Not Used")); strcpy(AMP1_B,("Not Used")); strcpy(AMP1_C,("Not Used")); strcpy(AMP1_D,("Not Used")); strcpy(AMP2_A,("Not Used")); strcpy(AMP2_B,("Not Used")); strcpy(AMP2_C,("Not Used")); strcpy(AMP2_D,("Not Used"));  break;</v>
      </c>
      <c r="F50" t="s">
        <v>893</v>
      </c>
      <c r="I50" t="s">
        <v>893</v>
      </c>
      <c r="J50" s="45" t="str">
        <f>VLOOKUP(S50,'AMP models AxeFxIII'!$D$2:$H$299,2,FALSE)</f>
        <v>Not Used</v>
      </c>
      <c r="K50" s="45" t="str">
        <f>VLOOKUP(T50,'AMP models AxeFxIII'!$D$2:$H$299,2,FALSE)</f>
        <v>Not Used</v>
      </c>
      <c r="L50" s="45" t="str">
        <f>VLOOKUP(U50,'AMP models AxeFxIII'!$D$2:$H$299,2,FALSE)</f>
        <v>Not Used</v>
      </c>
      <c r="M50" s="45" t="str">
        <f>VLOOKUP(V50,'AMP models AxeFxIII'!$D$2:$H$299,2,FALSE)</f>
        <v>Not Used</v>
      </c>
      <c r="N50" s="45" t="str">
        <f>VLOOKUP(W50,'AMP models AxeFxIII'!$D$2:$H$299,2,FALSE)</f>
        <v>Not Used</v>
      </c>
      <c r="O50" s="45" t="str">
        <f>VLOOKUP(X50,'AMP models AxeFxIII'!$D$2:$H$299,2,FALSE)</f>
        <v>Not Used</v>
      </c>
      <c r="P50" s="45" t="str">
        <f>VLOOKUP(Y50,'AMP models AxeFxIII'!$D$2:$H$299,2,FALSE)</f>
        <v>Not Used</v>
      </c>
      <c r="Q50" s="45" t="str">
        <f>VLOOKUP(Z50,'AMP models AxeFxIII'!$D$2:$H$299,2,FALSE)</f>
        <v>Not Used</v>
      </c>
      <c r="R50" s="4">
        <v>46</v>
      </c>
      <c r="S50" s="46" t="s">
        <v>555</v>
      </c>
      <c r="T50" s="46" t="s">
        <v>555</v>
      </c>
      <c r="U50" s="46" t="s">
        <v>555</v>
      </c>
      <c r="V50" s="46" t="s">
        <v>555</v>
      </c>
      <c r="W50" s="46" t="s">
        <v>555</v>
      </c>
      <c r="X50" s="46" t="s">
        <v>555</v>
      </c>
      <c r="Y50" s="46" t="s">
        <v>555</v>
      </c>
      <c r="Z50" s="46" t="s">
        <v>555</v>
      </c>
    </row>
    <row r="51" spans="1:26">
      <c r="A51" s="41">
        <f>preset_Names!A51</f>
        <v>47</v>
      </c>
      <c r="B51" t="str">
        <f t="shared" si="1"/>
        <v xml:space="preserve">strcpy(AMP1_A,("Not Used")); strcpy(AMP1_B,("Not Used")); strcpy(AMP1_C,("Not Used")); strcpy(AMP1_D,("Not Used")); </v>
      </c>
      <c r="C51" t="str">
        <f t="shared" si="2"/>
        <v xml:space="preserve">strcpy(AMP2_A,("Not Used")); strcpy(AMP2_B,("Not Used")); strcpy(AMP2_C,("Not Used")); strcpy(AMP2_D,("Not Used")); </v>
      </c>
      <c r="D51" s="31" t="s">
        <v>893</v>
      </c>
      <c r="E51" s="42" t="str">
        <f t="shared" si="0"/>
        <v>case 47: strcpy(AMP1_A,("Not Used")); strcpy(AMP1_B,("Not Used")); strcpy(AMP1_C,("Not Used")); strcpy(AMP1_D,("Not Used")); strcpy(AMP2_A,("Not Used")); strcpy(AMP2_B,("Not Used")); strcpy(AMP2_C,("Not Used")); strcpy(AMP2_D,("Not Used"));  break;</v>
      </c>
      <c r="F51" t="s">
        <v>893</v>
      </c>
      <c r="I51" t="s">
        <v>893</v>
      </c>
      <c r="J51" s="45" t="str">
        <f>VLOOKUP(S51,'AMP models AxeFxIII'!$D$2:$H$299,2,FALSE)</f>
        <v>Not Used</v>
      </c>
      <c r="K51" s="45" t="str">
        <f>VLOOKUP(T51,'AMP models AxeFxIII'!$D$2:$H$299,2,FALSE)</f>
        <v>Not Used</v>
      </c>
      <c r="L51" s="45" t="str">
        <f>VLOOKUP(U51,'AMP models AxeFxIII'!$D$2:$H$299,2,FALSE)</f>
        <v>Not Used</v>
      </c>
      <c r="M51" s="45" t="str">
        <f>VLOOKUP(V51,'AMP models AxeFxIII'!$D$2:$H$299,2,FALSE)</f>
        <v>Not Used</v>
      </c>
      <c r="N51" s="45" t="str">
        <f>VLOOKUP(W51,'AMP models AxeFxIII'!$D$2:$H$299,2,FALSE)</f>
        <v>Not Used</v>
      </c>
      <c r="O51" s="45" t="str">
        <f>VLOOKUP(X51,'AMP models AxeFxIII'!$D$2:$H$299,2,FALSE)</f>
        <v>Not Used</v>
      </c>
      <c r="P51" s="45" t="str">
        <f>VLOOKUP(Y51,'AMP models AxeFxIII'!$D$2:$H$299,2,FALSE)</f>
        <v>Not Used</v>
      </c>
      <c r="Q51" s="45" t="str">
        <f>VLOOKUP(Z51,'AMP models AxeFxIII'!$D$2:$H$299,2,FALSE)</f>
        <v>Not Used</v>
      </c>
      <c r="R51" s="4">
        <v>47</v>
      </c>
      <c r="S51" s="46" t="s">
        <v>555</v>
      </c>
      <c r="T51" s="46" t="s">
        <v>555</v>
      </c>
      <c r="U51" s="46" t="s">
        <v>555</v>
      </c>
      <c r="V51" s="46" t="s">
        <v>555</v>
      </c>
      <c r="W51" s="46" t="s">
        <v>555</v>
      </c>
      <c r="X51" s="46" t="s">
        <v>555</v>
      </c>
      <c r="Y51" s="46" t="s">
        <v>555</v>
      </c>
      <c r="Z51" s="46" t="s">
        <v>555</v>
      </c>
    </row>
    <row r="52" spans="1:26">
      <c r="A52" s="41">
        <f>preset_Names!A52</f>
        <v>48</v>
      </c>
      <c r="B52" t="str">
        <f t="shared" si="1"/>
        <v xml:space="preserve">strcpy(AMP1_A,("Not Used")); strcpy(AMP1_B,("Not Used")); strcpy(AMP1_C,("Not Used")); strcpy(AMP1_D,("Not Used")); </v>
      </c>
      <c r="C52" t="str">
        <f t="shared" si="2"/>
        <v xml:space="preserve">strcpy(AMP2_A,("Not Used")); strcpy(AMP2_B,("Not Used")); strcpy(AMP2_C,("Not Used")); strcpy(AMP2_D,("Not Used")); </v>
      </c>
      <c r="D52" s="31" t="s">
        <v>893</v>
      </c>
      <c r="E52" s="42" t="str">
        <f t="shared" si="0"/>
        <v>case 48: strcpy(AMP1_A,("Not Used")); strcpy(AMP1_B,("Not Used")); strcpy(AMP1_C,("Not Used")); strcpy(AMP1_D,("Not Used")); strcpy(AMP2_A,("Not Used")); strcpy(AMP2_B,("Not Used")); strcpy(AMP2_C,("Not Used")); strcpy(AMP2_D,("Not Used"));  break;</v>
      </c>
      <c r="F52" t="s">
        <v>893</v>
      </c>
      <c r="I52" t="s">
        <v>893</v>
      </c>
      <c r="J52" s="45" t="str">
        <f>VLOOKUP(S52,'AMP models AxeFxIII'!$D$2:$H$299,2,FALSE)</f>
        <v>Not Used</v>
      </c>
      <c r="K52" s="45" t="str">
        <f>VLOOKUP(T52,'AMP models AxeFxIII'!$D$2:$H$299,2,FALSE)</f>
        <v>Not Used</v>
      </c>
      <c r="L52" s="45" t="str">
        <f>VLOOKUP(U52,'AMP models AxeFxIII'!$D$2:$H$299,2,FALSE)</f>
        <v>Not Used</v>
      </c>
      <c r="M52" s="45" t="str">
        <f>VLOOKUP(V52,'AMP models AxeFxIII'!$D$2:$H$299,2,FALSE)</f>
        <v>Not Used</v>
      </c>
      <c r="N52" s="45" t="str">
        <f>VLOOKUP(W52,'AMP models AxeFxIII'!$D$2:$H$299,2,FALSE)</f>
        <v>Not Used</v>
      </c>
      <c r="O52" s="45" t="str">
        <f>VLOOKUP(X52,'AMP models AxeFxIII'!$D$2:$H$299,2,FALSE)</f>
        <v>Not Used</v>
      </c>
      <c r="P52" s="45" t="str">
        <f>VLOOKUP(Y52,'AMP models AxeFxIII'!$D$2:$H$299,2,FALSE)</f>
        <v>Not Used</v>
      </c>
      <c r="Q52" s="45" t="str">
        <f>VLOOKUP(Z52,'AMP models AxeFxIII'!$D$2:$H$299,2,FALSE)</f>
        <v>Not Used</v>
      </c>
      <c r="R52" s="4">
        <v>48</v>
      </c>
      <c r="S52" s="46" t="s">
        <v>555</v>
      </c>
      <c r="T52" s="46" t="s">
        <v>555</v>
      </c>
      <c r="U52" s="46" t="s">
        <v>555</v>
      </c>
      <c r="V52" s="46" t="s">
        <v>555</v>
      </c>
      <c r="W52" s="46" t="s">
        <v>555</v>
      </c>
      <c r="X52" s="46" t="s">
        <v>555</v>
      </c>
      <c r="Y52" s="46" t="s">
        <v>555</v>
      </c>
      <c r="Z52" s="46" t="s">
        <v>555</v>
      </c>
    </row>
    <row r="53" spans="1:26">
      <c r="A53" s="41">
        <f>preset_Names!A53</f>
        <v>49</v>
      </c>
      <c r="B53" t="str">
        <f t="shared" si="1"/>
        <v xml:space="preserve">strcpy(AMP1_A,("Not Used")); strcpy(AMP1_B,("Not Used")); strcpy(AMP1_C,("Not Used")); strcpy(AMP1_D,("Not Used")); </v>
      </c>
      <c r="C53" t="str">
        <f t="shared" si="2"/>
        <v xml:space="preserve">strcpy(AMP2_A,("Not Used")); strcpy(AMP2_B,("Not Used")); strcpy(AMP2_C,("Not Used")); strcpy(AMP2_D,("Not Used")); </v>
      </c>
      <c r="D53" s="31" t="s">
        <v>893</v>
      </c>
      <c r="E53" s="42" t="str">
        <f t="shared" si="0"/>
        <v>case 49: strcpy(AMP1_A,("Not Used")); strcpy(AMP1_B,("Not Used")); strcpy(AMP1_C,("Not Used")); strcpy(AMP1_D,("Not Used")); strcpy(AMP2_A,("Not Used")); strcpy(AMP2_B,("Not Used")); strcpy(AMP2_C,("Not Used")); strcpy(AMP2_D,("Not Used"));  break;</v>
      </c>
      <c r="F53" t="s">
        <v>893</v>
      </c>
      <c r="I53" t="s">
        <v>893</v>
      </c>
      <c r="J53" s="45" t="str">
        <f>VLOOKUP(S53,'AMP models AxeFxIII'!$D$2:$H$299,2,FALSE)</f>
        <v>Not Used</v>
      </c>
      <c r="K53" s="45" t="str">
        <f>VLOOKUP(T53,'AMP models AxeFxIII'!$D$2:$H$299,2,FALSE)</f>
        <v>Not Used</v>
      </c>
      <c r="L53" s="45" t="str">
        <f>VLOOKUP(U53,'AMP models AxeFxIII'!$D$2:$H$299,2,FALSE)</f>
        <v>Not Used</v>
      </c>
      <c r="M53" s="45" t="str">
        <f>VLOOKUP(V53,'AMP models AxeFxIII'!$D$2:$H$299,2,FALSE)</f>
        <v>Not Used</v>
      </c>
      <c r="N53" s="45" t="str">
        <f>VLOOKUP(W53,'AMP models AxeFxIII'!$D$2:$H$299,2,FALSE)</f>
        <v>Not Used</v>
      </c>
      <c r="O53" s="45" t="str">
        <f>VLOOKUP(X53,'AMP models AxeFxIII'!$D$2:$H$299,2,FALSE)</f>
        <v>Not Used</v>
      </c>
      <c r="P53" s="45" t="str">
        <f>VLOOKUP(Y53,'AMP models AxeFxIII'!$D$2:$H$299,2,FALSE)</f>
        <v>Not Used</v>
      </c>
      <c r="Q53" s="45" t="str">
        <f>VLOOKUP(Z53,'AMP models AxeFxIII'!$D$2:$H$299,2,FALSE)</f>
        <v>Not Used</v>
      </c>
      <c r="R53" s="4">
        <v>49</v>
      </c>
      <c r="S53" s="46" t="s">
        <v>555</v>
      </c>
      <c r="T53" s="46" t="s">
        <v>555</v>
      </c>
      <c r="U53" s="46" t="s">
        <v>555</v>
      </c>
      <c r="V53" s="46" t="s">
        <v>555</v>
      </c>
      <c r="W53" s="46" t="s">
        <v>555</v>
      </c>
      <c r="X53" s="46" t="s">
        <v>555</v>
      </c>
      <c r="Y53" s="46" t="s">
        <v>555</v>
      </c>
      <c r="Z53" s="46" t="s">
        <v>555</v>
      </c>
    </row>
    <row r="54" spans="1:26">
      <c r="A54" s="41">
        <f>preset_Names!A54</f>
        <v>50</v>
      </c>
      <c r="B54" t="str">
        <f t="shared" si="1"/>
        <v xml:space="preserve">strcpy(AMP1_A,("Not Used")); strcpy(AMP1_B,("Not Used")); strcpy(AMP1_C,("Not Used")); strcpy(AMP1_D,("Not Used")); </v>
      </c>
      <c r="C54" t="str">
        <f t="shared" si="2"/>
        <v xml:space="preserve">strcpy(AMP2_A,("Not Used")); strcpy(AMP2_B,("Not Used")); strcpy(AMP2_C,("Not Used")); strcpy(AMP2_D,("Not Used")); </v>
      </c>
      <c r="D54" s="31" t="s">
        <v>893</v>
      </c>
      <c r="E54" s="42" t="str">
        <f t="shared" si="0"/>
        <v>case 50: strcpy(AMP1_A,("Not Used")); strcpy(AMP1_B,("Not Used")); strcpy(AMP1_C,("Not Used")); strcpy(AMP1_D,("Not Used")); strcpy(AMP2_A,("Not Used")); strcpy(AMP2_B,("Not Used")); strcpy(AMP2_C,("Not Used")); strcpy(AMP2_D,("Not Used"));  break;</v>
      </c>
      <c r="F54" t="s">
        <v>893</v>
      </c>
      <c r="I54" t="s">
        <v>893</v>
      </c>
      <c r="J54" s="45" t="str">
        <f>VLOOKUP(S54,'AMP models AxeFxIII'!$D$2:$H$299,2,FALSE)</f>
        <v>Not Used</v>
      </c>
      <c r="K54" s="45" t="str">
        <f>VLOOKUP(T54,'AMP models AxeFxIII'!$D$2:$H$299,2,FALSE)</f>
        <v>Not Used</v>
      </c>
      <c r="L54" s="45" t="str">
        <f>VLOOKUP(U54,'AMP models AxeFxIII'!$D$2:$H$299,2,FALSE)</f>
        <v>Not Used</v>
      </c>
      <c r="M54" s="45" t="str">
        <f>VLOOKUP(V54,'AMP models AxeFxIII'!$D$2:$H$299,2,FALSE)</f>
        <v>Not Used</v>
      </c>
      <c r="N54" s="45" t="str">
        <f>VLOOKUP(W54,'AMP models AxeFxIII'!$D$2:$H$299,2,FALSE)</f>
        <v>Not Used</v>
      </c>
      <c r="O54" s="45" t="str">
        <f>VLOOKUP(X54,'AMP models AxeFxIII'!$D$2:$H$299,2,FALSE)</f>
        <v>Not Used</v>
      </c>
      <c r="P54" s="45" t="str">
        <f>VLOOKUP(Y54,'AMP models AxeFxIII'!$D$2:$H$299,2,FALSE)</f>
        <v>Not Used</v>
      </c>
      <c r="Q54" s="45" t="str">
        <f>VLOOKUP(Z54,'AMP models AxeFxIII'!$D$2:$H$299,2,FALSE)</f>
        <v>Not Used</v>
      </c>
      <c r="R54" s="4">
        <v>50</v>
      </c>
      <c r="S54" s="46" t="s">
        <v>555</v>
      </c>
      <c r="T54" s="46" t="s">
        <v>555</v>
      </c>
      <c r="U54" s="46" t="s">
        <v>555</v>
      </c>
      <c r="V54" s="46" t="s">
        <v>555</v>
      </c>
      <c r="W54" s="46" t="s">
        <v>555</v>
      </c>
      <c r="X54" s="46" t="s">
        <v>555</v>
      </c>
      <c r="Y54" s="46" t="s">
        <v>555</v>
      </c>
      <c r="Z54" s="46" t="s">
        <v>555</v>
      </c>
    </row>
    <row r="55" spans="1:26">
      <c r="A55" s="41">
        <f>preset_Names!A55</f>
        <v>51</v>
      </c>
      <c r="B55" t="str">
        <f t="shared" si="1"/>
        <v xml:space="preserve">strcpy(AMP1_A,("Not Used")); strcpy(AMP1_B,("Not Used")); strcpy(AMP1_C,("Not Used")); strcpy(AMP1_D,("Not Used")); </v>
      </c>
      <c r="C55" t="str">
        <f t="shared" si="2"/>
        <v xml:space="preserve">strcpy(AMP2_A,("Not Used")); strcpy(AMP2_B,("Not Used")); strcpy(AMP2_C,("Not Used")); strcpy(AMP2_D,("Not Used")); </v>
      </c>
      <c r="D55" s="31" t="s">
        <v>893</v>
      </c>
      <c r="E55" s="42" t="str">
        <f t="shared" si="0"/>
        <v>case 51: strcpy(AMP1_A,("Not Used")); strcpy(AMP1_B,("Not Used")); strcpy(AMP1_C,("Not Used")); strcpy(AMP1_D,("Not Used")); strcpy(AMP2_A,("Not Used")); strcpy(AMP2_B,("Not Used")); strcpy(AMP2_C,("Not Used")); strcpy(AMP2_D,("Not Used"));  break;</v>
      </c>
      <c r="F55" t="s">
        <v>893</v>
      </c>
      <c r="I55" t="s">
        <v>893</v>
      </c>
      <c r="J55" s="45" t="str">
        <f>VLOOKUP(S55,'AMP models AxeFxIII'!$D$2:$H$299,2,FALSE)</f>
        <v>Not Used</v>
      </c>
      <c r="K55" s="45" t="str">
        <f>VLOOKUP(T55,'AMP models AxeFxIII'!$D$2:$H$299,2,FALSE)</f>
        <v>Not Used</v>
      </c>
      <c r="L55" s="45" t="str">
        <f>VLOOKUP(U55,'AMP models AxeFxIII'!$D$2:$H$299,2,FALSE)</f>
        <v>Not Used</v>
      </c>
      <c r="M55" s="45" t="str">
        <f>VLOOKUP(V55,'AMP models AxeFxIII'!$D$2:$H$299,2,FALSE)</f>
        <v>Not Used</v>
      </c>
      <c r="N55" s="45" t="str">
        <f>VLOOKUP(W55,'AMP models AxeFxIII'!$D$2:$H$299,2,FALSE)</f>
        <v>Not Used</v>
      </c>
      <c r="O55" s="45" t="str">
        <f>VLOOKUP(X55,'AMP models AxeFxIII'!$D$2:$H$299,2,FALSE)</f>
        <v>Not Used</v>
      </c>
      <c r="P55" s="45" t="str">
        <f>VLOOKUP(Y55,'AMP models AxeFxIII'!$D$2:$H$299,2,FALSE)</f>
        <v>Not Used</v>
      </c>
      <c r="Q55" s="45" t="str">
        <f>VLOOKUP(Z55,'AMP models AxeFxIII'!$D$2:$H$299,2,FALSE)</f>
        <v>Not Used</v>
      </c>
      <c r="R55" s="4">
        <v>51</v>
      </c>
      <c r="S55" s="46" t="s">
        <v>555</v>
      </c>
      <c r="T55" s="46" t="s">
        <v>555</v>
      </c>
      <c r="U55" s="46" t="s">
        <v>555</v>
      </c>
      <c r="V55" s="46" t="s">
        <v>555</v>
      </c>
      <c r="W55" s="46" t="s">
        <v>555</v>
      </c>
      <c r="X55" s="46" t="s">
        <v>555</v>
      </c>
      <c r="Y55" s="46" t="s">
        <v>555</v>
      </c>
      <c r="Z55" s="46" t="s">
        <v>555</v>
      </c>
    </row>
    <row r="56" spans="1:26">
      <c r="A56" s="41">
        <f>preset_Names!A56</f>
        <v>52</v>
      </c>
      <c r="B56" t="str">
        <f t="shared" si="1"/>
        <v xml:space="preserve">strcpy(AMP1_A,("Not Used")); strcpy(AMP1_B,("Not Used")); strcpy(AMP1_C,("Not Used")); strcpy(AMP1_D,("Not Used")); </v>
      </c>
      <c r="C56" t="str">
        <f t="shared" si="2"/>
        <v xml:space="preserve">strcpy(AMP2_A,("Not Used")); strcpy(AMP2_B,("Not Used")); strcpy(AMP2_C,("Not Used")); strcpy(AMP2_D,("Not Used")); </v>
      </c>
      <c r="D56" s="31" t="s">
        <v>893</v>
      </c>
      <c r="E56" s="42" t="str">
        <f t="shared" si="0"/>
        <v>case 52: strcpy(AMP1_A,("Not Used")); strcpy(AMP1_B,("Not Used")); strcpy(AMP1_C,("Not Used")); strcpy(AMP1_D,("Not Used")); strcpy(AMP2_A,("Not Used")); strcpy(AMP2_B,("Not Used")); strcpy(AMP2_C,("Not Used")); strcpy(AMP2_D,("Not Used"));  break;</v>
      </c>
      <c r="F56" t="s">
        <v>893</v>
      </c>
      <c r="I56" t="s">
        <v>893</v>
      </c>
      <c r="J56" s="45" t="str">
        <f>VLOOKUP(S56,'AMP models AxeFxIII'!$D$2:$H$299,2,FALSE)</f>
        <v>Not Used</v>
      </c>
      <c r="K56" s="45" t="str">
        <f>VLOOKUP(T56,'AMP models AxeFxIII'!$D$2:$H$299,2,FALSE)</f>
        <v>Not Used</v>
      </c>
      <c r="L56" s="45" t="str">
        <f>VLOOKUP(U56,'AMP models AxeFxIII'!$D$2:$H$299,2,FALSE)</f>
        <v>Not Used</v>
      </c>
      <c r="M56" s="45" t="str">
        <f>VLOOKUP(V56,'AMP models AxeFxIII'!$D$2:$H$299,2,FALSE)</f>
        <v>Not Used</v>
      </c>
      <c r="N56" s="45" t="str">
        <f>VLOOKUP(W56,'AMP models AxeFxIII'!$D$2:$H$299,2,FALSE)</f>
        <v>Not Used</v>
      </c>
      <c r="O56" s="45" t="str">
        <f>VLOOKUP(X56,'AMP models AxeFxIII'!$D$2:$H$299,2,FALSE)</f>
        <v>Not Used</v>
      </c>
      <c r="P56" s="45" t="str">
        <f>VLOOKUP(Y56,'AMP models AxeFxIII'!$D$2:$H$299,2,FALSE)</f>
        <v>Not Used</v>
      </c>
      <c r="Q56" s="45" t="str">
        <f>VLOOKUP(Z56,'AMP models AxeFxIII'!$D$2:$H$299,2,FALSE)</f>
        <v>Not Used</v>
      </c>
      <c r="R56" s="4">
        <v>52</v>
      </c>
      <c r="S56" s="46" t="s">
        <v>555</v>
      </c>
      <c r="T56" s="46" t="s">
        <v>555</v>
      </c>
      <c r="U56" s="46" t="s">
        <v>555</v>
      </c>
      <c r="V56" s="46" t="s">
        <v>555</v>
      </c>
      <c r="W56" s="46" t="s">
        <v>555</v>
      </c>
      <c r="X56" s="46" t="s">
        <v>555</v>
      </c>
      <c r="Y56" s="46" t="s">
        <v>555</v>
      </c>
      <c r="Z56" s="46" t="s">
        <v>555</v>
      </c>
    </row>
    <row r="57" spans="1:26">
      <c r="A57" s="41">
        <f>preset_Names!A57</f>
        <v>53</v>
      </c>
      <c r="B57" t="str">
        <f t="shared" si="1"/>
        <v xml:space="preserve">strcpy(AMP1_A,("Not Used")); strcpy(AMP1_B,("Not Used")); strcpy(AMP1_C,("Not Used")); strcpy(AMP1_D,("Not Used")); </v>
      </c>
      <c r="C57" t="str">
        <f t="shared" si="2"/>
        <v xml:space="preserve">strcpy(AMP2_A,("Not Used")); strcpy(AMP2_B,("Not Used")); strcpy(AMP2_C,("Not Used")); strcpy(AMP2_D,("Not Used")); </v>
      </c>
      <c r="D57" s="31" t="s">
        <v>893</v>
      </c>
      <c r="E57" s="42" t="str">
        <f t="shared" si="0"/>
        <v>case 53: strcpy(AMP1_A,("Not Used")); strcpy(AMP1_B,("Not Used")); strcpy(AMP1_C,("Not Used")); strcpy(AMP1_D,("Not Used")); strcpy(AMP2_A,("Not Used")); strcpy(AMP2_B,("Not Used")); strcpy(AMP2_C,("Not Used")); strcpy(AMP2_D,("Not Used"));  break;</v>
      </c>
      <c r="F57" t="s">
        <v>893</v>
      </c>
      <c r="I57" t="s">
        <v>893</v>
      </c>
      <c r="J57" s="45" t="str">
        <f>VLOOKUP(S57,'AMP models AxeFxIII'!$D$2:$H$299,2,FALSE)</f>
        <v>Not Used</v>
      </c>
      <c r="K57" s="45" t="str">
        <f>VLOOKUP(T57,'AMP models AxeFxIII'!$D$2:$H$299,2,FALSE)</f>
        <v>Not Used</v>
      </c>
      <c r="L57" s="45" t="str">
        <f>VLOOKUP(U57,'AMP models AxeFxIII'!$D$2:$H$299,2,FALSE)</f>
        <v>Not Used</v>
      </c>
      <c r="M57" s="45" t="str">
        <f>VLOOKUP(V57,'AMP models AxeFxIII'!$D$2:$H$299,2,FALSE)</f>
        <v>Not Used</v>
      </c>
      <c r="N57" s="45" t="str">
        <f>VLOOKUP(W57,'AMP models AxeFxIII'!$D$2:$H$299,2,FALSE)</f>
        <v>Not Used</v>
      </c>
      <c r="O57" s="45" t="str">
        <f>VLOOKUP(X57,'AMP models AxeFxIII'!$D$2:$H$299,2,FALSE)</f>
        <v>Not Used</v>
      </c>
      <c r="P57" s="45" t="str">
        <f>VLOOKUP(Y57,'AMP models AxeFxIII'!$D$2:$H$299,2,FALSE)</f>
        <v>Not Used</v>
      </c>
      <c r="Q57" s="45" t="str">
        <f>VLOOKUP(Z57,'AMP models AxeFxIII'!$D$2:$H$299,2,FALSE)</f>
        <v>Not Used</v>
      </c>
      <c r="R57" s="4">
        <v>53</v>
      </c>
      <c r="S57" s="46" t="s">
        <v>555</v>
      </c>
      <c r="T57" s="46" t="s">
        <v>555</v>
      </c>
      <c r="U57" s="46" t="s">
        <v>555</v>
      </c>
      <c r="V57" s="46" t="s">
        <v>555</v>
      </c>
      <c r="W57" s="46" t="s">
        <v>555</v>
      </c>
      <c r="X57" s="46" t="s">
        <v>555</v>
      </c>
      <c r="Y57" s="46" t="s">
        <v>555</v>
      </c>
      <c r="Z57" s="46" t="s">
        <v>555</v>
      </c>
    </row>
    <row r="58" spans="1:26">
      <c r="A58" s="41">
        <f>preset_Names!A58</f>
        <v>54</v>
      </c>
      <c r="B58" t="str">
        <f t="shared" si="1"/>
        <v xml:space="preserve">strcpy(AMP1_A,("Not Used")); strcpy(AMP1_B,("Not Used")); strcpy(AMP1_C,("Not Used")); strcpy(AMP1_D,("Not Used")); </v>
      </c>
      <c r="C58" t="str">
        <f t="shared" si="2"/>
        <v xml:space="preserve">strcpy(AMP2_A,("Not Used")); strcpy(AMP2_B,("Not Used")); strcpy(AMP2_C,("Not Used")); strcpy(AMP2_D,("Not Used")); </v>
      </c>
      <c r="D58" s="31" t="s">
        <v>893</v>
      </c>
      <c r="E58" s="42" t="str">
        <f t="shared" si="0"/>
        <v>case 54: strcpy(AMP1_A,("Not Used")); strcpy(AMP1_B,("Not Used")); strcpy(AMP1_C,("Not Used")); strcpy(AMP1_D,("Not Used")); strcpy(AMP2_A,("Not Used")); strcpy(AMP2_B,("Not Used")); strcpy(AMP2_C,("Not Used")); strcpy(AMP2_D,("Not Used"));  break;</v>
      </c>
      <c r="F58" t="s">
        <v>893</v>
      </c>
      <c r="I58" t="s">
        <v>893</v>
      </c>
      <c r="J58" s="45" t="str">
        <f>VLOOKUP(S58,'AMP models AxeFxIII'!$D$2:$H$299,2,FALSE)</f>
        <v>Not Used</v>
      </c>
      <c r="K58" s="45" t="str">
        <f>VLOOKUP(T58,'AMP models AxeFxIII'!$D$2:$H$299,2,FALSE)</f>
        <v>Not Used</v>
      </c>
      <c r="L58" s="45" t="str">
        <f>VLOOKUP(U58,'AMP models AxeFxIII'!$D$2:$H$299,2,FALSE)</f>
        <v>Not Used</v>
      </c>
      <c r="M58" s="45" t="str">
        <f>VLOOKUP(V58,'AMP models AxeFxIII'!$D$2:$H$299,2,FALSE)</f>
        <v>Not Used</v>
      </c>
      <c r="N58" s="45" t="str">
        <f>VLOOKUP(W58,'AMP models AxeFxIII'!$D$2:$H$299,2,FALSE)</f>
        <v>Not Used</v>
      </c>
      <c r="O58" s="45" t="str">
        <f>VLOOKUP(X58,'AMP models AxeFxIII'!$D$2:$H$299,2,FALSE)</f>
        <v>Not Used</v>
      </c>
      <c r="P58" s="45" t="str">
        <f>VLOOKUP(Y58,'AMP models AxeFxIII'!$D$2:$H$299,2,FALSE)</f>
        <v>Not Used</v>
      </c>
      <c r="Q58" s="45" t="str">
        <f>VLOOKUP(Z58,'AMP models AxeFxIII'!$D$2:$H$299,2,FALSE)</f>
        <v>Not Used</v>
      </c>
      <c r="R58" s="4">
        <v>54</v>
      </c>
      <c r="S58" s="46" t="s">
        <v>555</v>
      </c>
      <c r="T58" s="46" t="s">
        <v>555</v>
      </c>
      <c r="U58" s="46" t="s">
        <v>555</v>
      </c>
      <c r="V58" s="46" t="s">
        <v>555</v>
      </c>
      <c r="W58" s="46" t="s">
        <v>555</v>
      </c>
      <c r="X58" s="46" t="s">
        <v>555</v>
      </c>
      <c r="Y58" s="46" t="s">
        <v>555</v>
      </c>
      <c r="Z58" s="46" t="s">
        <v>555</v>
      </c>
    </row>
    <row r="59" spans="1:26">
      <c r="A59" s="41">
        <f>preset_Names!A59</f>
        <v>55</v>
      </c>
      <c r="B59" t="str">
        <f t="shared" si="1"/>
        <v xml:space="preserve">strcpy(AMP1_A,("Not Used")); strcpy(AMP1_B,("Not Used")); strcpy(AMP1_C,("Not Used")); strcpy(AMP1_D,("Not Used")); </v>
      </c>
      <c r="C59" t="str">
        <f t="shared" si="2"/>
        <v xml:space="preserve">strcpy(AMP2_A,("Not Used")); strcpy(AMP2_B,("Not Used")); strcpy(AMP2_C,("Not Used")); strcpy(AMP2_D,("Not Used")); </v>
      </c>
      <c r="D59" s="31" t="s">
        <v>893</v>
      </c>
      <c r="E59" s="42" t="str">
        <f t="shared" si="0"/>
        <v>case 55: strcpy(AMP1_A,("Not Used")); strcpy(AMP1_B,("Not Used")); strcpy(AMP1_C,("Not Used")); strcpy(AMP1_D,("Not Used")); strcpy(AMP2_A,("Not Used")); strcpy(AMP2_B,("Not Used")); strcpy(AMP2_C,("Not Used")); strcpy(AMP2_D,("Not Used"));  break;</v>
      </c>
      <c r="F59" t="s">
        <v>893</v>
      </c>
      <c r="I59" t="s">
        <v>893</v>
      </c>
      <c r="J59" s="45" t="str">
        <f>VLOOKUP(S59,'AMP models AxeFxIII'!$D$2:$H$299,2,FALSE)</f>
        <v>Not Used</v>
      </c>
      <c r="K59" s="45" t="str">
        <f>VLOOKUP(T59,'AMP models AxeFxIII'!$D$2:$H$299,2,FALSE)</f>
        <v>Not Used</v>
      </c>
      <c r="L59" s="45" t="str">
        <f>VLOOKUP(U59,'AMP models AxeFxIII'!$D$2:$H$299,2,FALSE)</f>
        <v>Not Used</v>
      </c>
      <c r="M59" s="45" t="str">
        <f>VLOOKUP(V59,'AMP models AxeFxIII'!$D$2:$H$299,2,FALSE)</f>
        <v>Not Used</v>
      </c>
      <c r="N59" s="45" t="str">
        <f>VLOOKUP(W59,'AMP models AxeFxIII'!$D$2:$H$299,2,FALSE)</f>
        <v>Not Used</v>
      </c>
      <c r="O59" s="45" t="str">
        <f>VLOOKUP(X59,'AMP models AxeFxIII'!$D$2:$H$299,2,FALSE)</f>
        <v>Not Used</v>
      </c>
      <c r="P59" s="45" t="str">
        <f>VLOOKUP(Y59,'AMP models AxeFxIII'!$D$2:$H$299,2,FALSE)</f>
        <v>Not Used</v>
      </c>
      <c r="Q59" s="45" t="str">
        <f>VLOOKUP(Z59,'AMP models AxeFxIII'!$D$2:$H$299,2,FALSE)</f>
        <v>Not Used</v>
      </c>
      <c r="R59" s="4">
        <v>55</v>
      </c>
      <c r="S59" s="46" t="s">
        <v>555</v>
      </c>
      <c r="T59" s="46" t="s">
        <v>555</v>
      </c>
      <c r="U59" s="46" t="s">
        <v>555</v>
      </c>
      <c r="V59" s="46" t="s">
        <v>555</v>
      </c>
      <c r="W59" s="46" t="s">
        <v>555</v>
      </c>
      <c r="X59" s="46" t="s">
        <v>555</v>
      </c>
      <c r="Y59" s="46" t="s">
        <v>555</v>
      </c>
      <c r="Z59" s="46" t="s">
        <v>555</v>
      </c>
    </row>
    <row r="60" spans="1:26">
      <c r="A60" s="41">
        <f>preset_Names!A60</f>
        <v>56</v>
      </c>
      <c r="B60" t="str">
        <f t="shared" si="1"/>
        <v xml:space="preserve">strcpy(AMP1_A,("Not Used")); strcpy(AMP1_B,("Not Used")); strcpy(AMP1_C,("Not Used")); strcpy(AMP1_D,("Not Used")); </v>
      </c>
      <c r="C60" t="str">
        <f t="shared" si="2"/>
        <v xml:space="preserve">strcpy(AMP2_A,("Not Used")); strcpy(AMP2_B,("Not Used")); strcpy(AMP2_C,("Not Used")); strcpy(AMP2_D,("Not Used")); </v>
      </c>
      <c r="D60" s="31" t="s">
        <v>893</v>
      </c>
      <c r="E60" s="42" t="str">
        <f t="shared" si="0"/>
        <v>case 56: strcpy(AMP1_A,("Not Used")); strcpy(AMP1_B,("Not Used")); strcpy(AMP1_C,("Not Used")); strcpy(AMP1_D,("Not Used")); strcpy(AMP2_A,("Not Used")); strcpy(AMP2_B,("Not Used")); strcpy(AMP2_C,("Not Used")); strcpy(AMP2_D,("Not Used"));  break;</v>
      </c>
      <c r="F60" t="s">
        <v>893</v>
      </c>
      <c r="I60" t="s">
        <v>893</v>
      </c>
      <c r="J60" s="45" t="str">
        <f>VLOOKUP(S60,'AMP models AxeFxIII'!$D$2:$H$299,2,FALSE)</f>
        <v>Not Used</v>
      </c>
      <c r="K60" s="45" t="str">
        <f>VLOOKUP(T60,'AMP models AxeFxIII'!$D$2:$H$299,2,FALSE)</f>
        <v>Not Used</v>
      </c>
      <c r="L60" s="45" t="str">
        <f>VLOOKUP(U60,'AMP models AxeFxIII'!$D$2:$H$299,2,FALSE)</f>
        <v>Not Used</v>
      </c>
      <c r="M60" s="45" t="str">
        <f>VLOOKUP(V60,'AMP models AxeFxIII'!$D$2:$H$299,2,FALSE)</f>
        <v>Not Used</v>
      </c>
      <c r="N60" s="45" t="str">
        <f>VLOOKUP(W60,'AMP models AxeFxIII'!$D$2:$H$299,2,FALSE)</f>
        <v>Not Used</v>
      </c>
      <c r="O60" s="45" t="str">
        <f>VLOOKUP(X60,'AMP models AxeFxIII'!$D$2:$H$299,2,FALSE)</f>
        <v>Not Used</v>
      </c>
      <c r="P60" s="45" t="str">
        <f>VLOOKUP(Y60,'AMP models AxeFxIII'!$D$2:$H$299,2,FALSE)</f>
        <v>Not Used</v>
      </c>
      <c r="Q60" s="45" t="str">
        <f>VLOOKUP(Z60,'AMP models AxeFxIII'!$D$2:$H$299,2,FALSE)</f>
        <v>Not Used</v>
      </c>
      <c r="R60" s="4">
        <v>56</v>
      </c>
      <c r="S60" s="46" t="s">
        <v>555</v>
      </c>
      <c r="T60" s="46" t="s">
        <v>555</v>
      </c>
      <c r="U60" s="46" t="s">
        <v>555</v>
      </c>
      <c r="V60" s="46" t="s">
        <v>555</v>
      </c>
      <c r="W60" s="46" t="s">
        <v>555</v>
      </c>
      <c r="X60" s="46" t="s">
        <v>555</v>
      </c>
      <c r="Y60" s="46" t="s">
        <v>555</v>
      </c>
      <c r="Z60" s="46" t="s">
        <v>555</v>
      </c>
    </row>
    <row r="61" spans="1:26">
      <c r="A61" s="41">
        <f>preset_Names!A61</f>
        <v>57</v>
      </c>
      <c r="B61" t="str">
        <f t="shared" si="1"/>
        <v xml:space="preserve">strcpy(AMP1_A,("Not Used")); strcpy(AMP1_B,("Not Used")); strcpy(AMP1_C,("Not Used")); strcpy(AMP1_D,("Not Used")); </v>
      </c>
      <c r="C61" t="str">
        <f t="shared" si="2"/>
        <v xml:space="preserve">strcpy(AMP2_A,("Not Used")); strcpy(AMP2_B,("Not Used")); strcpy(AMP2_C,("Not Used")); strcpy(AMP2_D,("Not Used")); </v>
      </c>
      <c r="D61" s="31" t="s">
        <v>893</v>
      </c>
      <c r="E61" s="42" t="str">
        <f t="shared" si="0"/>
        <v>case 57: strcpy(AMP1_A,("Not Used")); strcpy(AMP1_B,("Not Used")); strcpy(AMP1_C,("Not Used")); strcpy(AMP1_D,("Not Used")); strcpy(AMP2_A,("Not Used")); strcpy(AMP2_B,("Not Used")); strcpy(AMP2_C,("Not Used")); strcpy(AMP2_D,("Not Used"));  break;</v>
      </c>
      <c r="F61" t="s">
        <v>893</v>
      </c>
      <c r="I61" t="s">
        <v>893</v>
      </c>
      <c r="J61" s="45" t="str">
        <f>VLOOKUP(S61,'AMP models AxeFxIII'!$D$2:$H$299,2,FALSE)</f>
        <v>Not Used</v>
      </c>
      <c r="K61" s="45" t="str">
        <f>VLOOKUP(T61,'AMP models AxeFxIII'!$D$2:$H$299,2,FALSE)</f>
        <v>Not Used</v>
      </c>
      <c r="L61" s="45" t="str">
        <f>VLOOKUP(U61,'AMP models AxeFxIII'!$D$2:$H$299,2,FALSE)</f>
        <v>Not Used</v>
      </c>
      <c r="M61" s="45" t="str">
        <f>VLOOKUP(V61,'AMP models AxeFxIII'!$D$2:$H$299,2,FALSE)</f>
        <v>Not Used</v>
      </c>
      <c r="N61" s="45" t="str">
        <f>VLOOKUP(W61,'AMP models AxeFxIII'!$D$2:$H$299,2,FALSE)</f>
        <v>Not Used</v>
      </c>
      <c r="O61" s="45" t="str">
        <f>VLOOKUP(X61,'AMP models AxeFxIII'!$D$2:$H$299,2,FALSE)</f>
        <v>Not Used</v>
      </c>
      <c r="P61" s="45" t="str">
        <f>VLOOKUP(Y61,'AMP models AxeFxIII'!$D$2:$H$299,2,FALSE)</f>
        <v>Not Used</v>
      </c>
      <c r="Q61" s="45" t="str">
        <f>VLOOKUP(Z61,'AMP models AxeFxIII'!$D$2:$H$299,2,FALSE)</f>
        <v>Not Used</v>
      </c>
      <c r="R61" s="4">
        <v>57</v>
      </c>
      <c r="S61" s="46" t="s">
        <v>555</v>
      </c>
      <c r="T61" s="46" t="s">
        <v>555</v>
      </c>
      <c r="U61" s="46" t="s">
        <v>555</v>
      </c>
      <c r="V61" s="46" t="s">
        <v>555</v>
      </c>
      <c r="W61" s="46" t="s">
        <v>555</v>
      </c>
      <c r="X61" s="46" t="s">
        <v>555</v>
      </c>
      <c r="Y61" s="46" t="s">
        <v>555</v>
      </c>
      <c r="Z61" s="46" t="s">
        <v>555</v>
      </c>
    </row>
    <row r="62" spans="1:26">
      <c r="A62" s="41">
        <f>preset_Names!A62</f>
        <v>58</v>
      </c>
      <c r="B62" t="str">
        <f t="shared" si="1"/>
        <v xml:space="preserve">strcpy(AMP1_A,("Not Used")); strcpy(AMP1_B,("Not Used")); strcpy(AMP1_C,("Not Used")); strcpy(AMP1_D,("Not Used")); </v>
      </c>
      <c r="C62" t="str">
        <f t="shared" si="2"/>
        <v xml:space="preserve">strcpy(AMP2_A,("Not Used")); strcpy(AMP2_B,("Not Used")); strcpy(AMP2_C,("Not Used")); strcpy(AMP2_D,("Not Used")); </v>
      </c>
      <c r="D62" s="31" t="s">
        <v>893</v>
      </c>
      <c r="E62" s="42" t="str">
        <f t="shared" si="0"/>
        <v>case 58: strcpy(AMP1_A,("Not Used")); strcpy(AMP1_B,("Not Used")); strcpy(AMP1_C,("Not Used")); strcpy(AMP1_D,("Not Used")); strcpy(AMP2_A,("Not Used")); strcpy(AMP2_B,("Not Used")); strcpy(AMP2_C,("Not Used")); strcpy(AMP2_D,("Not Used"));  break;</v>
      </c>
      <c r="F62" t="s">
        <v>893</v>
      </c>
      <c r="I62" t="s">
        <v>893</v>
      </c>
      <c r="J62" s="45" t="str">
        <f>VLOOKUP(S62,'AMP models AxeFxIII'!$D$2:$H$299,2,FALSE)</f>
        <v>Not Used</v>
      </c>
      <c r="K62" s="45" t="str">
        <f>VLOOKUP(T62,'AMP models AxeFxIII'!$D$2:$H$299,2,FALSE)</f>
        <v>Not Used</v>
      </c>
      <c r="L62" s="45" t="str">
        <f>VLOOKUP(U62,'AMP models AxeFxIII'!$D$2:$H$299,2,FALSE)</f>
        <v>Not Used</v>
      </c>
      <c r="M62" s="45" t="str">
        <f>VLOOKUP(V62,'AMP models AxeFxIII'!$D$2:$H$299,2,FALSE)</f>
        <v>Not Used</v>
      </c>
      <c r="N62" s="45" t="str">
        <f>VLOOKUP(W62,'AMP models AxeFxIII'!$D$2:$H$299,2,FALSE)</f>
        <v>Not Used</v>
      </c>
      <c r="O62" s="45" t="str">
        <f>VLOOKUP(X62,'AMP models AxeFxIII'!$D$2:$H$299,2,FALSE)</f>
        <v>Not Used</v>
      </c>
      <c r="P62" s="45" t="str">
        <f>VLOOKUP(Y62,'AMP models AxeFxIII'!$D$2:$H$299,2,FALSE)</f>
        <v>Not Used</v>
      </c>
      <c r="Q62" s="45" t="str">
        <f>VLOOKUP(Z62,'AMP models AxeFxIII'!$D$2:$H$299,2,FALSE)</f>
        <v>Not Used</v>
      </c>
      <c r="R62" s="4">
        <v>58</v>
      </c>
      <c r="S62" s="46" t="s">
        <v>555</v>
      </c>
      <c r="T62" s="46" t="s">
        <v>555</v>
      </c>
      <c r="U62" s="46" t="s">
        <v>555</v>
      </c>
      <c r="V62" s="46" t="s">
        <v>555</v>
      </c>
      <c r="W62" s="46" t="s">
        <v>555</v>
      </c>
      <c r="X62" s="46" t="s">
        <v>555</v>
      </c>
      <c r="Y62" s="46" t="s">
        <v>555</v>
      </c>
      <c r="Z62" s="46" t="s">
        <v>555</v>
      </c>
    </row>
    <row r="63" spans="1:26">
      <c r="A63" s="41">
        <f>preset_Names!A63</f>
        <v>59</v>
      </c>
      <c r="B63" t="str">
        <f t="shared" si="1"/>
        <v xml:space="preserve">strcpy(AMP1_A,("Not Used")); strcpy(AMP1_B,("Not Used")); strcpy(AMP1_C,("Not Used")); strcpy(AMP1_D,("Not Used")); </v>
      </c>
      <c r="C63" t="str">
        <f t="shared" si="2"/>
        <v xml:space="preserve">strcpy(AMP2_A,("Not Used")); strcpy(AMP2_B,("Not Used")); strcpy(AMP2_C,("Not Used")); strcpy(AMP2_D,("Not Used")); </v>
      </c>
      <c r="D63" s="31" t="s">
        <v>893</v>
      </c>
      <c r="E63" s="42" t="str">
        <f t="shared" si="0"/>
        <v>case 59: strcpy(AMP1_A,("Not Used")); strcpy(AMP1_B,("Not Used")); strcpy(AMP1_C,("Not Used")); strcpy(AMP1_D,("Not Used")); strcpy(AMP2_A,("Not Used")); strcpy(AMP2_B,("Not Used")); strcpy(AMP2_C,("Not Used")); strcpy(AMP2_D,("Not Used"));  break;</v>
      </c>
      <c r="F63" t="s">
        <v>893</v>
      </c>
      <c r="I63" t="s">
        <v>893</v>
      </c>
      <c r="J63" s="45" t="str">
        <f>VLOOKUP(S63,'AMP models AxeFxIII'!$D$2:$H$299,2,FALSE)</f>
        <v>Not Used</v>
      </c>
      <c r="K63" s="45" t="str">
        <f>VLOOKUP(T63,'AMP models AxeFxIII'!$D$2:$H$299,2,FALSE)</f>
        <v>Not Used</v>
      </c>
      <c r="L63" s="45" t="str">
        <f>VLOOKUP(U63,'AMP models AxeFxIII'!$D$2:$H$299,2,FALSE)</f>
        <v>Not Used</v>
      </c>
      <c r="M63" s="45" t="str">
        <f>VLOOKUP(V63,'AMP models AxeFxIII'!$D$2:$H$299,2,FALSE)</f>
        <v>Not Used</v>
      </c>
      <c r="N63" s="45" t="str">
        <f>VLOOKUP(W63,'AMP models AxeFxIII'!$D$2:$H$299,2,FALSE)</f>
        <v>Not Used</v>
      </c>
      <c r="O63" s="45" t="str">
        <f>VLOOKUP(X63,'AMP models AxeFxIII'!$D$2:$H$299,2,FALSE)</f>
        <v>Not Used</v>
      </c>
      <c r="P63" s="45" t="str">
        <f>VLOOKUP(Y63,'AMP models AxeFxIII'!$D$2:$H$299,2,FALSE)</f>
        <v>Not Used</v>
      </c>
      <c r="Q63" s="45" t="str">
        <f>VLOOKUP(Z63,'AMP models AxeFxIII'!$D$2:$H$299,2,FALSE)</f>
        <v>Not Used</v>
      </c>
      <c r="R63" s="4">
        <v>59</v>
      </c>
      <c r="S63" s="46" t="s">
        <v>555</v>
      </c>
      <c r="T63" s="46" t="s">
        <v>555</v>
      </c>
      <c r="U63" s="46" t="s">
        <v>555</v>
      </c>
      <c r="V63" s="46" t="s">
        <v>555</v>
      </c>
      <c r="W63" s="46" t="s">
        <v>555</v>
      </c>
      <c r="X63" s="46" t="s">
        <v>555</v>
      </c>
      <c r="Y63" s="46" t="s">
        <v>555</v>
      </c>
      <c r="Z63" s="46" t="s">
        <v>555</v>
      </c>
    </row>
    <row r="64" spans="1:26">
      <c r="A64" s="41">
        <f>preset_Names!A64</f>
        <v>60</v>
      </c>
      <c r="B64" t="str">
        <f t="shared" si="1"/>
        <v xml:space="preserve">strcpy(AMP1_A,("Not Used")); strcpy(AMP1_B,("Not Used")); strcpy(AMP1_C,("Not Used")); strcpy(AMP1_D,("Not Used")); </v>
      </c>
      <c r="C64" t="str">
        <f t="shared" si="2"/>
        <v xml:space="preserve">strcpy(AMP2_A,("Not Used")); strcpy(AMP2_B,("Not Used")); strcpy(AMP2_C,("Not Used")); strcpy(AMP2_D,("Not Used")); </v>
      </c>
      <c r="D64" s="31" t="s">
        <v>893</v>
      </c>
      <c r="E64" s="42" t="str">
        <f t="shared" si="0"/>
        <v>case 60: strcpy(AMP1_A,("Not Used")); strcpy(AMP1_B,("Not Used")); strcpy(AMP1_C,("Not Used")); strcpy(AMP1_D,("Not Used")); strcpy(AMP2_A,("Not Used")); strcpy(AMP2_B,("Not Used")); strcpy(AMP2_C,("Not Used")); strcpy(AMP2_D,("Not Used"));  break;</v>
      </c>
      <c r="F64" t="s">
        <v>893</v>
      </c>
      <c r="I64" t="s">
        <v>893</v>
      </c>
      <c r="J64" s="45" t="str">
        <f>VLOOKUP(S64,'AMP models AxeFxIII'!$D$2:$H$299,2,FALSE)</f>
        <v>Not Used</v>
      </c>
      <c r="K64" s="45" t="str">
        <f>VLOOKUP(T64,'AMP models AxeFxIII'!$D$2:$H$299,2,FALSE)</f>
        <v>Not Used</v>
      </c>
      <c r="L64" s="45" t="str">
        <f>VLOOKUP(U64,'AMP models AxeFxIII'!$D$2:$H$299,2,FALSE)</f>
        <v>Not Used</v>
      </c>
      <c r="M64" s="45" t="str">
        <f>VLOOKUP(V64,'AMP models AxeFxIII'!$D$2:$H$299,2,FALSE)</f>
        <v>Not Used</v>
      </c>
      <c r="N64" s="45" t="str">
        <f>VLOOKUP(W64,'AMP models AxeFxIII'!$D$2:$H$299,2,FALSE)</f>
        <v>Not Used</v>
      </c>
      <c r="O64" s="45" t="str">
        <f>VLOOKUP(X64,'AMP models AxeFxIII'!$D$2:$H$299,2,FALSE)</f>
        <v>Not Used</v>
      </c>
      <c r="P64" s="45" t="str">
        <f>VLOOKUP(Y64,'AMP models AxeFxIII'!$D$2:$H$299,2,FALSE)</f>
        <v>Not Used</v>
      </c>
      <c r="Q64" s="45" t="str">
        <f>VLOOKUP(Z64,'AMP models AxeFxIII'!$D$2:$H$299,2,FALSE)</f>
        <v>Not Used</v>
      </c>
      <c r="R64" s="4">
        <v>60</v>
      </c>
      <c r="S64" s="46" t="s">
        <v>555</v>
      </c>
      <c r="T64" s="46" t="s">
        <v>555</v>
      </c>
      <c r="U64" s="46" t="s">
        <v>555</v>
      </c>
      <c r="V64" s="46" t="s">
        <v>555</v>
      </c>
      <c r="W64" s="46" t="s">
        <v>555</v>
      </c>
      <c r="X64" s="46" t="s">
        <v>555</v>
      </c>
      <c r="Y64" s="46" t="s">
        <v>555</v>
      </c>
      <c r="Z64" s="46" t="s">
        <v>555</v>
      </c>
    </row>
    <row r="65" spans="1:26">
      <c r="A65" s="41">
        <f>preset_Names!A65</f>
        <v>61</v>
      </c>
      <c r="B65" t="str">
        <f t="shared" si="1"/>
        <v xml:space="preserve">strcpy(AMP1_A,("Not Used")); strcpy(AMP1_B,("Not Used")); strcpy(AMP1_C,("Not Used")); strcpy(AMP1_D,("Not Used")); </v>
      </c>
      <c r="C65" t="str">
        <f t="shared" si="2"/>
        <v xml:space="preserve">strcpy(AMP2_A,("Not Used")); strcpy(AMP2_B,("Not Used")); strcpy(AMP2_C,("Not Used")); strcpy(AMP2_D,("Not Used")); </v>
      </c>
      <c r="D65" s="31" t="s">
        <v>893</v>
      </c>
      <c r="E65" s="42" t="str">
        <f t="shared" si="0"/>
        <v>case 61: strcpy(AMP1_A,("Not Used")); strcpy(AMP1_B,("Not Used")); strcpy(AMP1_C,("Not Used")); strcpy(AMP1_D,("Not Used")); strcpy(AMP2_A,("Not Used")); strcpy(AMP2_B,("Not Used")); strcpy(AMP2_C,("Not Used")); strcpy(AMP2_D,("Not Used"));  break;</v>
      </c>
      <c r="F65" t="s">
        <v>893</v>
      </c>
      <c r="I65" t="s">
        <v>893</v>
      </c>
      <c r="J65" s="45" t="str">
        <f>VLOOKUP(S65,'AMP models AxeFxIII'!$D$2:$H$299,2,FALSE)</f>
        <v>Not Used</v>
      </c>
      <c r="K65" s="45" t="str">
        <f>VLOOKUP(T65,'AMP models AxeFxIII'!$D$2:$H$299,2,FALSE)</f>
        <v>Not Used</v>
      </c>
      <c r="L65" s="45" t="str">
        <f>VLOOKUP(U65,'AMP models AxeFxIII'!$D$2:$H$299,2,FALSE)</f>
        <v>Not Used</v>
      </c>
      <c r="M65" s="45" t="str">
        <f>VLOOKUP(V65,'AMP models AxeFxIII'!$D$2:$H$299,2,FALSE)</f>
        <v>Not Used</v>
      </c>
      <c r="N65" s="45" t="str">
        <f>VLOOKUP(W65,'AMP models AxeFxIII'!$D$2:$H$299,2,FALSE)</f>
        <v>Not Used</v>
      </c>
      <c r="O65" s="45" t="str">
        <f>VLOOKUP(X65,'AMP models AxeFxIII'!$D$2:$H$299,2,FALSE)</f>
        <v>Not Used</v>
      </c>
      <c r="P65" s="45" t="str">
        <f>VLOOKUP(Y65,'AMP models AxeFxIII'!$D$2:$H$299,2,FALSE)</f>
        <v>Not Used</v>
      </c>
      <c r="Q65" s="45" t="str">
        <f>VLOOKUP(Z65,'AMP models AxeFxIII'!$D$2:$H$299,2,FALSE)</f>
        <v>Not Used</v>
      </c>
      <c r="R65" s="4">
        <v>61</v>
      </c>
      <c r="S65" s="46" t="s">
        <v>555</v>
      </c>
      <c r="T65" s="46" t="s">
        <v>555</v>
      </c>
      <c r="U65" s="46" t="s">
        <v>555</v>
      </c>
      <c r="V65" s="46" t="s">
        <v>555</v>
      </c>
      <c r="W65" s="46" t="s">
        <v>555</v>
      </c>
      <c r="X65" s="46" t="s">
        <v>555</v>
      </c>
      <c r="Y65" s="46" t="s">
        <v>555</v>
      </c>
      <c r="Z65" s="46" t="s">
        <v>555</v>
      </c>
    </row>
    <row r="66" spans="1:26">
      <c r="A66" s="41">
        <f>preset_Names!A66</f>
        <v>62</v>
      </c>
      <c r="B66" t="str">
        <f t="shared" si="1"/>
        <v xml:space="preserve">strcpy(AMP1_A,("Not Used")); strcpy(AMP1_B,("Not Used")); strcpy(AMP1_C,("Not Used")); strcpy(AMP1_D,("Not Used")); </v>
      </c>
      <c r="C66" t="str">
        <f t="shared" si="2"/>
        <v xml:space="preserve">strcpy(AMP2_A,("Not Used")); strcpy(AMP2_B,("Not Used")); strcpy(AMP2_C,("Not Used")); strcpy(AMP2_D,("Not Used")); </v>
      </c>
      <c r="D66" s="31" t="s">
        <v>893</v>
      </c>
      <c r="E66" s="42" t="str">
        <f t="shared" si="0"/>
        <v>case 62: strcpy(AMP1_A,("Not Used")); strcpy(AMP1_B,("Not Used")); strcpy(AMP1_C,("Not Used")); strcpy(AMP1_D,("Not Used")); strcpy(AMP2_A,("Not Used")); strcpy(AMP2_B,("Not Used")); strcpy(AMP2_C,("Not Used")); strcpy(AMP2_D,("Not Used"));  break;</v>
      </c>
      <c r="F66" t="s">
        <v>893</v>
      </c>
      <c r="I66" t="s">
        <v>893</v>
      </c>
      <c r="J66" s="45" t="str">
        <f>VLOOKUP(S66,'AMP models AxeFxIII'!$D$2:$H$299,2,FALSE)</f>
        <v>Not Used</v>
      </c>
      <c r="K66" s="45" t="str">
        <f>VLOOKUP(T66,'AMP models AxeFxIII'!$D$2:$H$299,2,FALSE)</f>
        <v>Not Used</v>
      </c>
      <c r="L66" s="45" t="str">
        <f>VLOOKUP(U66,'AMP models AxeFxIII'!$D$2:$H$299,2,FALSE)</f>
        <v>Not Used</v>
      </c>
      <c r="M66" s="45" t="str">
        <f>VLOOKUP(V66,'AMP models AxeFxIII'!$D$2:$H$299,2,FALSE)</f>
        <v>Not Used</v>
      </c>
      <c r="N66" s="45" t="str">
        <f>VLOOKUP(W66,'AMP models AxeFxIII'!$D$2:$H$299,2,FALSE)</f>
        <v>Not Used</v>
      </c>
      <c r="O66" s="45" t="str">
        <f>VLOOKUP(X66,'AMP models AxeFxIII'!$D$2:$H$299,2,FALSE)</f>
        <v>Not Used</v>
      </c>
      <c r="P66" s="45" t="str">
        <f>VLOOKUP(Y66,'AMP models AxeFxIII'!$D$2:$H$299,2,FALSE)</f>
        <v>Not Used</v>
      </c>
      <c r="Q66" s="45" t="str">
        <f>VLOOKUP(Z66,'AMP models AxeFxIII'!$D$2:$H$299,2,FALSE)</f>
        <v>Not Used</v>
      </c>
      <c r="R66" s="4">
        <v>62</v>
      </c>
      <c r="S66" s="46" t="s">
        <v>555</v>
      </c>
      <c r="T66" s="46" t="s">
        <v>555</v>
      </c>
      <c r="U66" s="46" t="s">
        <v>555</v>
      </c>
      <c r="V66" s="46" t="s">
        <v>555</v>
      </c>
      <c r="W66" s="46" t="s">
        <v>555</v>
      </c>
      <c r="X66" s="46" t="s">
        <v>555</v>
      </c>
      <c r="Y66" s="46" t="s">
        <v>555</v>
      </c>
      <c r="Z66" s="46" t="s">
        <v>555</v>
      </c>
    </row>
    <row r="67" spans="1:26">
      <c r="A67" s="41">
        <f>preset_Names!A67</f>
        <v>63</v>
      </c>
      <c r="B67" t="str">
        <f t="shared" si="1"/>
        <v xml:space="preserve">strcpy(AMP1_A,("Not Used")); strcpy(AMP1_B,("Not Used")); strcpy(AMP1_C,("Not Used")); strcpy(AMP1_D,("Not Used")); </v>
      </c>
      <c r="C67" t="str">
        <f t="shared" si="2"/>
        <v xml:space="preserve">strcpy(AMP2_A,("Not Used")); strcpy(AMP2_B,("Not Used")); strcpy(AMP2_C,("Not Used")); strcpy(AMP2_D,("Not Used")); </v>
      </c>
      <c r="D67" s="31" t="s">
        <v>893</v>
      </c>
      <c r="E67" s="42" t="str">
        <f t="shared" si="0"/>
        <v>case 63: strcpy(AMP1_A,("Not Used")); strcpy(AMP1_B,("Not Used")); strcpy(AMP1_C,("Not Used")); strcpy(AMP1_D,("Not Used")); strcpy(AMP2_A,("Not Used")); strcpy(AMP2_B,("Not Used")); strcpy(AMP2_C,("Not Used")); strcpy(AMP2_D,("Not Used"));  break;</v>
      </c>
      <c r="F67" t="s">
        <v>893</v>
      </c>
      <c r="I67" t="s">
        <v>893</v>
      </c>
      <c r="J67" s="45" t="str">
        <f>VLOOKUP(S67,'AMP models AxeFxIII'!$D$2:$H$299,2,FALSE)</f>
        <v>Not Used</v>
      </c>
      <c r="K67" s="45" t="str">
        <f>VLOOKUP(T67,'AMP models AxeFxIII'!$D$2:$H$299,2,FALSE)</f>
        <v>Not Used</v>
      </c>
      <c r="L67" s="45" t="str">
        <f>VLOOKUP(U67,'AMP models AxeFxIII'!$D$2:$H$299,2,FALSE)</f>
        <v>Not Used</v>
      </c>
      <c r="M67" s="45" t="str">
        <f>VLOOKUP(V67,'AMP models AxeFxIII'!$D$2:$H$299,2,FALSE)</f>
        <v>Not Used</v>
      </c>
      <c r="N67" s="45" t="str">
        <f>VLOOKUP(W67,'AMP models AxeFxIII'!$D$2:$H$299,2,FALSE)</f>
        <v>Not Used</v>
      </c>
      <c r="O67" s="45" t="str">
        <f>VLOOKUP(X67,'AMP models AxeFxIII'!$D$2:$H$299,2,FALSE)</f>
        <v>Not Used</v>
      </c>
      <c r="P67" s="45" t="str">
        <f>VLOOKUP(Y67,'AMP models AxeFxIII'!$D$2:$H$299,2,FALSE)</f>
        <v>Not Used</v>
      </c>
      <c r="Q67" s="45" t="str">
        <f>VLOOKUP(Z67,'AMP models AxeFxIII'!$D$2:$H$299,2,FALSE)</f>
        <v>Not Used</v>
      </c>
      <c r="R67" s="4">
        <v>63</v>
      </c>
      <c r="S67" s="46" t="s">
        <v>555</v>
      </c>
      <c r="T67" s="46" t="s">
        <v>555</v>
      </c>
      <c r="U67" s="46" t="s">
        <v>555</v>
      </c>
      <c r="V67" s="46" t="s">
        <v>555</v>
      </c>
      <c r="W67" s="46" t="s">
        <v>555</v>
      </c>
      <c r="X67" s="46" t="s">
        <v>555</v>
      </c>
      <c r="Y67" s="46" t="s">
        <v>555</v>
      </c>
      <c r="Z67" s="46" t="s">
        <v>555</v>
      </c>
    </row>
    <row r="68" spans="1:26">
      <c r="A68" s="41">
        <f>preset_Names!A68</f>
        <v>64</v>
      </c>
      <c r="B68" t="str">
        <f t="shared" si="1"/>
        <v xml:space="preserve">strcpy(AMP1_A,("Not Used")); strcpy(AMP1_B,("Not Used")); strcpy(AMP1_C,("Not Used")); strcpy(AMP1_D,("Not Used")); </v>
      </c>
      <c r="C68" t="str">
        <f t="shared" si="2"/>
        <v xml:space="preserve">strcpy(AMP2_A,("Not Used")); strcpy(AMP2_B,("Not Used")); strcpy(AMP2_C,("Not Used")); strcpy(AMP2_D,("Not Used")); </v>
      </c>
      <c r="D68" s="31" t="s">
        <v>893</v>
      </c>
      <c r="E68" s="42" t="str">
        <f t="shared" si="0"/>
        <v>case 64: strcpy(AMP1_A,("Not Used")); strcpy(AMP1_B,("Not Used")); strcpy(AMP1_C,("Not Used")); strcpy(AMP1_D,("Not Used")); strcpy(AMP2_A,("Not Used")); strcpy(AMP2_B,("Not Used")); strcpy(AMP2_C,("Not Used")); strcpy(AMP2_D,("Not Used"));  break;</v>
      </c>
      <c r="F68" t="s">
        <v>893</v>
      </c>
      <c r="I68" t="s">
        <v>893</v>
      </c>
      <c r="J68" s="45" t="str">
        <f>VLOOKUP(S68,'AMP models AxeFxIII'!$D$2:$H$299,2,FALSE)</f>
        <v>Not Used</v>
      </c>
      <c r="K68" s="45" t="str">
        <f>VLOOKUP(T68,'AMP models AxeFxIII'!$D$2:$H$299,2,FALSE)</f>
        <v>Not Used</v>
      </c>
      <c r="L68" s="45" t="str">
        <f>VLOOKUP(U68,'AMP models AxeFxIII'!$D$2:$H$299,2,FALSE)</f>
        <v>Not Used</v>
      </c>
      <c r="M68" s="45" t="str">
        <f>VLOOKUP(V68,'AMP models AxeFxIII'!$D$2:$H$299,2,FALSE)</f>
        <v>Not Used</v>
      </c>
      <c r="N68" s="45" t="str">
        <f>VLOOKUP(W68,'AMP models AxeFxIII'!$D$2:$H$299,2,FALSE)</f>
        <v>Not Used</v>
      </c>
      <c r="O68" s="45" t="str">
        <f>VLOOKUP(X68,'AMP models AxeFxIII'!$D$2:$H$299,2,FALSE)</f>
        <v>Not Used</v>
      </c>
      <c r="P68" s="45" t="str">
        <f>VLOOKUP(Y68,'AMP models AxeFxIII'!$D$2:$H$299,2,FALSE)</f>
        <v>Not Used</v>
      </c>
      <c r="Q68" s="45" t="str">
        <f>VLOOKUP(Z68,'AMP models AxeFxIII'!$D$2:$H$299,2,FALSE)</f>
        <v>Not Used</v>
      </c>
      <c r="R68" s="4">
        <v>64</v>
      </c>
      <c r="S68" s="46" t="s">
        <v>555</v>
      </c>
      <c r="T68" s="46" t="s">
        <v>555</v>
      </c>
      <c r="U68" s="46" t="s">
        <v>555</v>
      </c>
      <c r="V68" s="46" t="s">
        <v>555</v>
      </c>
      <c r="W68" s="46" t="s">
        <v>555</v>
      </c>
      <c r="X68" s="46" t="s">
        <v>555</v>
      </c>
      <c r="Y68" s="46" t="s">
        <v>555</v>
      </c>
      <c r="Z68" s="46" t="s">
        <v>555</v>
      </c>
    </row>
    <row r="69" spans="1:26">
      <c r="A69" s="41">
        <f>preset_Names!A69</f>
        <v>65</v>
      </c>
      <c r="B69" t="str">
        <f t="shared" si="1"/>
        <v xml:space="preserve">strcpy(AMP1_A,("Not Used")); strcpy(AMP1_B,("Not Used")); strcpy(AMP1_C,("Not Used")); strcpy(AMP1_D,("Not Used")); </v>
      </c>
      <c r="C69" t="str">
        <f t="shared" si="2"/>
        <v xml:space="preserve">strcpy(AMP2_A,("Not Used")); strcpy(AMP2_B,("Not Used")); strcpy(AMP2_C,("Not Used")); strcpy(AMP2_D,("Not Used")); </v>
      </c>
      <c r="D69" s="31" t="s">
        <v>893</v>
      </c>
      <c r="E69" s="42" t="str">
        <f t="shared" ref="E69:E132" si="3" xml:space="preserve"> "case " &amp; A69 &amp; ": " &amp; B69 &amp; C69 &amp; " break;"</f>
        <v>case 65: strcpy(AMP1_A,("Not Used")); strcpy(AMP1_B,("Not Used")); strcpy(AMP1_C,("Not Used")); strcpy(AMP1_D,("Not Used")); strcpy(AMP2_A,("Not Used")); strcpy(AMP2_B,("Not Used")); strcpy(AMP2_C,("Not Used")); strcpy(AMP2_D,("Not Used"));  break;</v>
      </c>
      <c r="F69" t="s">
        <v>893</v>
      </c>
      <c r="I69" t="s">
        <v>893</v>
      </c>
      <c r="J69" s="45" t="str">
        <f>VLOOKUP(S69,'AMP models AxeFxIII'!$D$2:$H$299,2,FALSE)</f>
        <v>Not Used</v>
      </c>
      <c r="K69" s="45" t="str">
        <f>VLOOKUP(T69,'AMP models AxeFxIII'!$D$2:$H$299,2,FALSE)</f>
        <v>Not Used</v>
      </c>
      <c r="L69" s="45" t="str">
        <f>VLOOKUP(U69,'AMP models AxeFxIII'!$D$2:$H$299,2,FALSE)</f>
        <v>Not Used</v>
      </c>
      <c r="M69" s="45" t="str">
        <f>VLOOKUP(V69,'AMP models AxeFxIII'!$D$2:$H$299,2,FALSE)</f>
        <v>Not Used</v>
      </c>
      <c r="N69" s="45" t="str">
        <f>VLOOKUP(W69,'AMP models AxeFxIII'!$D$2:$H$299,2,FALSE)</f>
        <v>Not Used</v>
      </c>
      <c r="O69" s="45" t="str">
        <f>VLOOKUP(X69,'AMP models AxeFxIII'!$D$2:$H$299,2,FALSE)</f>
        <v>Not Used</v>
      </c>
      <c r="P69" s="45" t="str">
        <f>VLOOKUP(Y69,'AMP models AxeFxIII'!$D$2:$H$299,2,FALSE)</f>
        <v>Not Used</v>
      </c>
      <c r="Q69" s="45" t="str">
        <f>VLOOKUP(Z69,'AMP models AxeFxIII'!$D$2:$H$299,2,FALSE)</f>
        <v>Not Used</v>
      </c>
      <c r="R69" s="4">
        <v>65</v>
      </c>
      <c r="S69" s="46" t="s">
        <v>555</v>
      </c>
      <c r="T69" s="46" t="s">
        <v>555</v>
      </c>
      <c r="U69" s="46" t="s">
        <v>555</v>
      </c>
      <c r="V69" s="46" t="s">
        <v>555</v>
      </c>
      <c r="W69" s="46" t="s">
        <v>555</v>
      </c>
      <c r="X69" s="46" t="s">
        <v>555</v>
      </c>
      <c r="Y69" s="46" t="s">
        <v>555</v>
      </c>
      <c r="Z69" s="46" t="s">
        <v>555</v>
      </c>
    </row>
    <row r="70" spans="1:26">
      <c r="A70" s="41">
        <f>preset_Names!A70</f>
        <v>66</v>
      </c>
      <c r="B70" t="str">
        <f t="shared" ref="B70:B133" si="4">$F$4&amp;$J$3&amp;$G$4&amp;J70&amp;$H$4&amp;$F$4&amp;$K$3&amp;$G$4&amp;K70&amp;$H$4&amp;$F$4&amp;$L$3&amp;$G$4&amp;L70&amp;$H$4&amp;$F$4&amp;$M$3&amp;$G$4&amp;M70&amp;$H$4</f>
        <v xml:space="preserve">strcpy(AMP1_A,("Not Used")); strcpy(AMP1_B,("Not Used")); strcpy(AMP1_C,("Not Used")); strcpy(AMP1_D,("Not Used")); </v>
      </c>
      <c r="C70" t="str">
        <f t="shared" ref="C70:C133" si="5">$F$4&amp;$N$3&amp;$G$4&amp;N70&amp;$H$4&amp;$F$4&amp;$O$3&amp;$G$4&amp;O70&amp;$H$4&amp;$F$4&amp;$P$3&amp;$G$4&amp;P70&amp;$H$4&amp;$F$4&amp;$Q$3&amp;$G$4&amp;Q70&amp;$H$4</f>
        <v xml:space="preserve">strcpy(AMP2_A,("Not Used")); strcpy(AMP2_B,("Not Used")); strcpy(AMP2_C,("Not Used")); strcpy(AMP2_D,("Not Used")); </v>
      </c>
      <c r="D70" s="31" t="s">
        <v>893</v>
      </c>
      <c r="E70" s="42" t="str">
        <f t="shared" si="3"/>
        <v>case 66: strcpy(AMP1_A,("Not Used")); strcpy(AMP1_B,("Not Used")); strcpy(AMP1_C,("Not Used")); strcpy(AMP1_D,("Not Used")); strcpy(AMP2_A,("Not Used")); strcpy(AMP2_B,("Not Used")); strcpy(AMP2_C,("Not Used")); strcpy(AMP2_D,("Not Used"));  break;</v>
      </c>
      <c r="F70" t="s">
        <v>893</v>
      </c>
      <c r="I70" t="s">
        <v>893</v>
      </c>
      <c r="J70" s="45" t="str">
        <f>VLOOKUP(S70,'AMP models AxeFxIII'!$D$2:$H$299,2,FALSE)</f>
        <v>Not Used</v>
      </c>
      <c r="K70" s="45" t="str">
        <f>VLOOKUP(T70,'AMP models AxeFxIII'!$D$2:$H$299,2,FALSE)</f>
        <v>Not Used</v>
      </c>
      <c r="L70" s="45" t="str">
        <f>VLOOKUP(U70,'AMP models AxeFxIII'!$D$2:$H$299,2,FALSE)</f>
        <v>Not Used</v>
      </c>
      <c r="M70" s="45" t="str">
        <f>VLOOKUP(V70,'AMP models AxeFxIII'!$D$2:$H$299,2,FALSE)</f>
        <v>Not Used</v>
      </c>
      <c r="N70" s="45" t="str">
        <f>VLOOKUP(W70,'AMP models AxeFxIII'!$D$2:$H$299,2,FALSE)</f>
        <v>Not Used</v>
      </c>
      <c r="O70" s="45" t="str">
        <f>VLOOKUP(X70,'AMP models AxeFxIII'!$D$2:$H$299,2,FALSE)</f>
        <v>Not Used</v>
      </c>
      <c r="P70" s="45" t="str">
        <f>VLOOKUP(Y70,'AMP models AxeFxIII'!$D$2:$H$299,2,FALSE)</f>
        <v>Not Used</v>
      </c>
      <c r="Q70" s="45" t="str">
        <f>VLOOKUP(Z70,'AMP models AxeFxIII'!$D$2:$H$299,2,FALSE)</f>
        <v>Not Used</v>
      </c>
      <c r="R70" s="4">
        <v>66</v>
      </c>
      <c r="S70" s="46" t="s">
        <v>555</v>
      </c>
      <c r="T70" s="46" t="s">
        <v>555</v>
      </c>
      <c r="U70" s="46" t="s">
        <v>555</v>
      </c>
      <c r="V70" s="46" t="s">
        <v>555</v>
      </c>
      <c r="W70" s="46" t="s">
        <v>555</v>
      </c>
      <c r="X70" s="46" t="s">
        <v>555</v>
      </c>
      <c r="Y70" s="46" t="s">
        <v>555</v>
      </c>
      <c r="Z70" s="46" t="s">
        <v>555</v>
      </c>
    </row>
    <row r="71" spans="1:26">
      <c r="A71" s="41">
        <f>preset_Names!A71</f>
        <v>67</v>
      </c>
      <c r="B71" t="str">
        <f t="shared" si="4"/>
        <v xml:space="preserve">strcpy(AMP1_A,("Not Used")); strcpy(AMP1_B,("Not Used")); strcpy(AMP1_C,("Not Used")); strcpy(AMP1_D,("Not Used")); </v>
      </c>
      <c r="C71" t="str">
        <f t="shared" si="5"/>
        <v xml:space="preserve">strcpy(AMP2_A,("Not Used")); strcpy(AMP2_B,("Not Used")); strcpy(AMP2_C,("Not Used")); strcpy(AMP2_D,("Not Used")); </v>
      </c>
      <c r="D71" s="31" t="s">
        <v>893</v>
      </c>
      <c r="E71" s="42" t="str">
        <f t="shared" si="3"/>
        <v>case 67: strcpy(AMP1_A,("Not Used")); strcpy(AMP1_B,("Not Used")); strcpy(AMP1_C,("Not Used")); strcpy(AMP1_D,("Not Used")); strcpy(AMP2_A,("Not Used")); strcpy(AMP2_B,("Not Used")); strcpy(AMP2_C,("Not Used")); strcpy(AMP2_D,("Not Used"));  break;</v>
      </c>
      <c r="F71" t="s">
        <v>893</v>
      </c>
      <c r="I71" t="s">
        <v>893</v>
      </c>
      <c r="J71" s="45" t="str">
        <f>VLOOKUP(S71,'AMP models AxeFxIII'!$D$2:$H$299,2,FALSE)</f>
        <v>Not Used</v>
      </c>
      <c r="K71" s="45" t="str">
        <f>VLOOKUP(T71,'AMP models AxeFxIII'!$D$2:$H$299,2,FALSE)</f>
        <v>Not Used</v>
      </c>
      <c r="L71" s="45" t="str">
        <f>VLOOKUP(U71,'AMP models AxeFxIII'!$D$2:$H$299,2,FALSE)</f>
        <v>Not Used</v>
      </c>
      <c r="M71" s="45" t="str">
        <f>VLOOKUP(V71,'AMP models AxeFxIII'!$D$2:$H$299,2,FALSE)</f>
        <v>Not Used</v>
      </c>
      <c r="N71" s="45" t="str">
        <f>VLOOKUP(W71,'AMP models AxeFxIII'!$D$2:$H$299,2,FALSE)</f>
        <v>Not Used</v>
      </c>
      <c r="O71" s="45" t="str">
        <f>VLOOKUP(X71,'AMP models AxeFxIII'!$D$2:$H$299,2,FALSE)</f>
        <v>Not Used</v>
      </c>
      <c r="P71" s="45" t="str">
        <f>VLOOKUP(Y71,'AMP models AxeFxIII'!$D$2:$H$299,2,FALSE)</f>
        <v>Not Used</v>
      </c>
      <c r="Q71" s="45" t="str">
        <f>VLOOKUP(Z71,'AMP models AxeFxIII'!$D$2:$H$299,2,FALSE)</f>
        <v>Not Used</v>
      </c>
      <c r="R71" s="4">
        <v>67</v>
      </c>
      <c r="S71" s="46" t="s">
        <v>555</v>
      </c>
      <c r="T71" s="46" t="s">
        <v>555</v>
      </c>
      <c r="U71" s="46" t="s">
        <v>555</v>
      </c>
      <c r="V71" s="46" t="s">
        <v>555</v>
      </c>
      <c r="W71" s="46" t="s">
        <v>555</v>
      </c>
      <c r="X71" s="46" t="s">
        <v>555</v>
      </c>
      <c r="Y71" s="46" t="s">
        <v>555</v>
      </c>
      <c r="Z71" s="46" t="s">
        <v>555</v>
      </c>
    </row>
    <row r="72" spans="1:26">
      <c r="A72" s="41">
        <f>preset_Names!A72</f>
        <v>68</v>
      </c>
      <c r="B72" t="str">
        <f t="shared" si="4"/>
        <v xml:space="preserve">strcpy(AMP1_A,("Not Used")); strcpy(AMP1_B,("Not Used")); strcpy(AMP1_C,("Not Used")); strcpy(AMP1_D,("Not Used")); </v>
      </c>
      <c r="C72" t="str">
        <f t="shared" si="5"/>
        <v xml:space="preserve">strcpy(AMP2_A,("Not Used")); strcpy(AMP2_B,("Not Used")); strcpy(AMP2_C,("Not Used")); strcpy(AMP2_D,("Not Used")); </v>
      </c>
      <c r="D72" s="31" t="s">
        <v>893</v>
      </c>
      <c r="E72" s="42" t="str">
        <f t="shared" si="3"/>
        <v>case 68: strcpy(AMP1_A,("Not Used")); strcpy(AMP1_B,("Not Used")); strcpy(AMP1_C,("Not Used")); strcpy(AMP1_D,("Not Used")); strcpy(AMP2_A,("Not Used")); strcpy(AMP2_B,("Not Used")); strcpy(AMP2_C,("Not Used")); strcpy(AMP2_D,("Not Used"));  break;</v>
      </c>
      <c r="F72" t="s">
        <v>893</v>
      </c>
      <c r="I72" t="s">
        <v>893</v>
      </c>
      <c r="J72" s="45" t="str">
        <f>VLOOKUP(S72,'AMP models AxeFxIII'!$D$2:$H$299,2,FALSE)</f>
        <v>Not Used</v>
      </c>
      <c r="K72" s="45" t="str">
        <f>VLOOKUP(T72,'AMP models AxeFxIII'!$D$2:$H$299,2,FALSE)</f>
        <v>Not Used</v>
      </c>
      <c r="L72" s="45" t="str">
        <f>VLOOKUP(U72,'AMP models AxeFxIII'!$D$2:$H$299,2,FALSE)</f>
        <v>Not Used</v>
      </c>
      <c r="M72" s="45" t="str">
        <f>VLOOKUP(V72,'AMP models AxeFxIII'!$D$2:$H$299,2,FALSE)</f>
        <v>Not Used</v>
      </c>
      <c r="N72" s="45" t="str">
        <f>VLOOKUP(W72,'AMP models AxeFxIII'!$D$2:$H$299,2,FALSE)</f>
        <v>Not Used</v>
      </c>
      <c r="O72" s="45" t="str">
        <f>VLOOKUP(X72,'AMP models AxeFxIII'!$D$2:$H$299,2,FALSE)</f>
        <v>Not Used</v>
      </c>
      <c r="P72" s="45" t="str">
        <f>VLOOKUP(Y72,'AMP models AxeFxIII'!$D$2:$H$299,2,FALSE)</f>
        <v>Not Used</v>
      </c>
      <c r="Q72" s="45" t="str">
        <f>VLOOKUP(Z72,'AMP models AxeFxIII'!$D$2:$H$299,2,FALSE)</f>
        <v>Not Used</v>
      </c>
      <c r="R72" s="4">
        <v>68</v>
      </c>
      <c r="S72" s="46" t="s">
        <v>555</v>
      </c>
      <c r="T72" s="46" t="s">
        <v>555</v>
      </c>
      <c r="U72" s="46" t="s">
        <v>555</v>
      </c>
      <c r="V72" s="46" t="s">
        <v>555</v>
      </c>
      <c r="W72" s="46" t="s">
        <v>555</v>
      </c>
      <c r="X72" s="46" t="s">
        <v>555</v>
      </c>
      <c r="Y72" s="46" t="s">
        <v>555</v>
      </c>
      <c r="Z72" s="46" t="s">
        <v>555</v>
      </c>
    </row>
    <row r="73" spans="1:26">
      <c r="A73" s="41">
        <f>preset_Names!A73</f>
        <v>69</v>
      </c>
      <c r="B73" t="str">
        <f t="shared" si="4"/>
        <v xml:space="preserve">strcpy(AMP1_A,("Not Used")); strcpy(AMP1_B,("Not Used")); strcpy(AMP1_C,("Not Used")); strcpy(AMP1_D,("Not Used")); </v>
      </c>
      <c r="C73" t="str">
        <f t="shared" si="5"/>
        <v xml:space="preserve">strcpy(AMP2_A,("Not Used")); strcpy(AMP2_B,("Not Used")); strcpy(AMP2_C,("Not Used")); strcpy(AMP2_D,("Not Used")); </v>
      </c>
      <c r="D73" s="31" t="s">
        <v>893</v>
      </c>
      <c r="E73" s="42" t="str">
        <f t="shared" si="3"/>
        <v>case 69: strcpy(AMP1_A,("Not Used")); strcpy(AMP1_B,("Not Used")); strcpy(AMP1_C,("Not Used")); strcpy(AMP1_D,("Not Used")); strcpy(AMP2_A,("Not Used")); strcpy(AMP2_B,("Not Used")); strcpy(AMP2_C,("Not Used")); strcpy(AMP2_D,("Not Used"));  break;</v>
      </c>
      <c r="F73" t="s">
        <v>893</v>
      </c>
      <c r="I73" t="s">
        <v>893</v>
      </c>
      <c r="J73" s="45" t="str">
        <f>VLOOKUP(S73,'AMP models AxeFxIII'!$D$2:$H$299,2,FALSE)</f>
        <v>Not Used</v>
      </c>
      <c r="K73" s="45" t="str">
        <f>VLOOKUP(T73,'AMP models AxeFxIII'!$D$2:$H$299,2,FALSE)</f>
        <v>Not Used</v>
      </c>
      <c r="L73" s="45" t="str">
        <f>VLOOKUP(U73,'AMP models AxeFxIII'!$D$2:$H$299,2,FALSE)</f>
        <v>Not Used</v>
      </c>
      <c r="M73" s="45" t="str">
        <f>VLOOKUP(V73,'AMP models AxeFxIII'!$D$2:$H$299,2,FALSE)</f>
        <v>Not Used</v>
      </c>
      <c r="N73" s="45" t="str">
        <f>VLOOKUP(W73,'AMP models AxeFxIII'!$D$2:$H$299,2,FALSE)</f>
        <v>Not Used</v>
      </c>
      <c r="O73" s="45" t="str">
        <f>VLOOKUP(X73,'AMP models AxeFxIII'!$D$2:$H$299,2,FALSE)</f>
        <v>Not Used</v>
      </c>
      <c r="P73" s="45" t="str">
        <f>VLOOKUP(Y73,'AMP models AxeFxIII'!$D$2:$H$299,2,FALSE)</f>
        <v>Not Used</v>
      </c>
      <c r="Q73" s="45" t="str">
        <f>VLOOKUP(Z73,'AMP models AxeFxIII'!$D$2:$H$299,2,FALSE)</f>
        <v>Not Used</v>
      </c>
      <c r="R73" s="4">
        <v>69</v>
      </c>
      <c r="S73" s="46" t="s">
        <v>555</v>
      </c>
      <c r="T73" s="46" t="s">
        <v>555</v>
      </c>
      <c r="U73" s="46" t="s">
        <v>555</v>
      </c>
      <c r="V73" s="46" t="s">
        <v>555</v>
      </c>
      <c r="W73" s="46" t="s">
        <v>555</v>
      </c>
      <c r="X73" s="46" t="s">
        <v>555</v>
      </c>
      <c r="Y73" s="46" t="s">
        <v>555</v>
      </c>
      <c r="Z73" s="46" t="s">
        <v>555</v>
      </c>
    </row>
    <row r="74" spans="1:26">
      <c r="A74" s="41">
        <f>preset_Names!A74</f>
        <v>70</v>
      </c>
      <c r="B74" t="str">
        <f t="shared" si="4"/>
        <v xml:space="preserve">strcpy(AMP1_A,("Not Used")); strcpy(AMP1_B,("Not Used")); strcpy(AMP1_C,("Not Used")); strcpy(AMP1_D,("Not Used")); </v>
      </c>
      <c r="C74" t="str">
        <f t="shared" si="5"/>
        <v xml:space="preserve">strcpy(AMP2_A,("Not Used")); strcpy(AMP2_B,("Not Used")); strcpy(AMP2_C,("Not Used")); strcpy(AMP2_D,("Not Used")); </v>
      </c>
      <c r="D74" s="31" t="s">
        <v>893</v>
      </c>
      <c r="E74" s="42" t="str">
        <f t="shared" si="3"/>
        <v>case 70: strcpy(AMP1_A,("Not Used")); strcpy(AMP1_B,("Not Used")); strcpy(AMP1_C,("Not Used")); strcpy(AMP1_D,("Not Used")); strcpy(AMP2_A,("Not Used")); strcpy(AMP2_B,("Not Used")); strcpy(AMP2_C,("Not Used")); strcpy(AMP2_D,("Not Used"));  break;</v>
      </c>
      <c r="F74" t="s">
        <v>893</v>
      </c>
      <c r="I74" t="s">
        <v>893</v>
      </c>
      <c r="J74" s="45" t="str">
        <f>VLOOKUP(S74,'AMP models AxeFxIII'!$D$2:$H$299,2,FALSE)</f>
        <v>Not Used</v>
      </c>
      <c r="K74" s="45" t="str">
        <f>VLOOKUP(T74,'AMP models AxeFxIII'!$D$2:$H$299,2,FALSE)</f>
        <v>Not Used</v>
      </c>
      <c r="L74" s="45" t="str">
        <f>VLOOKUP(U74,'AMP models AxeFxIII'!$D$2:$H$299,2,FALSE)</f>
        <v>Not Used</v>
      </c>
      <c r="M74" s="45" t="str">
        <f>VLOOKUP(V74,'AMP models AxeFxIII'!$D$2:$H$299,2,FALSE)</f>
        <v>Not Used</v>
      </c>
      <c r="N74" s="45" t="str">
        <f>VLOOKUP(W74,'AMP models AxeFxIII'!$D$2:$H$299,2,FALSE)</f>
        <v>Not Used</v>
      </c>
      <c r="O74" s="45" t="str">
        <f>VLOOKUP(X74,'AMP models AxeFxIII'!$D$2:$H$299,2,FALSE)</f>
        <v>Not Used</v>
      </c>
      <c r="P74" s="45" t="str">
        <f>VLOOKUP(Y74,'AMP models AxeFxIII'!$D$2:$H$299,2,FALSE)</f>
        <v>Not Used</v>
      </c>
      <c r="Q74" s="45" t="str">
        <f>VLOOKUP(Z74,'AMP models AxeFxIII'!$D$2:$H$299,2,FALSE)</f>
        <v>Not Used</v>
      </c>
      <c r="R74" s="4">
        <v>70</v>
      </c>
      <c r="S74" s="46" t="s">
        <v>555</v>
      </c>
      <c r="T74" s="46" t="s">
        <v>555</v>
      </c>
      <c r="U74" s="46" t="s">
        <v>555</v>
      </c>
      <c r="V74" s="46" t="s">
        <v>555</v>
      </c>
      <c r="W74" s="46" t="s">
        <v>555</v>
      </c>
      <c r="X74" s="46" t="s">
        <v>555</v>
      </c>
      <c r="Y74" s="46" t="s">
        <v>555</v>
      </c>
      <c r="Z74" s="46" t="s">
        <v>555</v>
      </c>
    </row>
    <row r="75" spans="1:26">
      <c r="A75" s="41">
        <f>preset_Names!A75</f>
        <v>71</v>
      </c>
      <c r="B75" t="str">
        <f t="shared" si="4"/>
        <v xml:space="preserve">strcpy(AMP1_A,("Not Used")); strcpy(AMP1_B,("Not Used")); strcpy(AMP1_C,("Not Used")); strcpy(AMP1_D,("Not Used")); </v>
      </c>
      <c r="C75" t="str">
        <f t="shared" si="5"/>
        <v xml:space="preserve">strcpy(AMP2_A,("Not Used")); strcpy(AMP2_B,("Not Used")); strcpy(AMP2_C,("Not Used")); strcpy(AMP2_D,("Not Used")); </v>
      </c>
      <c r="D75" s="31" t="s">
        <v>893</v>
      </c>
      <c r="E75" s="42" t="str">
        <f t="shared" si="3"/>
        <v>case 71: strcpy(AMP1_A,("Not Used")); strcpy(AMP1_B,("Not Used")); strcpy(AMP1_C,("Not Used")); strcpy(AMP1_D,("Not Used")); strcpy(AMP2_A,("Not Used")); strcpy(AMP2_B,("Not Used")); strcpy(AMP2_C,("Not Used")); strcpy(AMP2_D,("Not Used"));  break;</v>
      </c>
      <c r="F75" t="s">
        <v>893</v>
      </c>
      <c r="I75" t="s">
        <v>893</v>
      </c>
      <c r="J75" s="45" t="str">
        <f>VLOOKUP(S75,'AMP models AxeFxIII'!$D$2:$H$299,2,FALSE)</f>
        <v>Not Used</v>
      </c>
      <c r="K75" s="45" t="str">
        <f>VLOOKUP(T75,'AMP models AxeFxIII'!$D$2:$H$299,2,FALSE)</f>
        <v>Not Used</v>
      </c>
      <c r="L75" s="45" t="str">
        <f>VLOOKUP(U75,'AMP models AxeFxIII'!$D$2:$H$299,2,FALSE)</f>
        <v>Not Used</v>
      </c>
      <c r="M75" s="45" t="str">
        <f>VLOOKUP(V75,'AMP models AxeFxIII'!$D$2:$H$299,2,FALSE)</f>
        <v>Not Used</v>
      </c>
      <c r="N75" s="45" t="str">
        <f>VLOOKUP(W75,'AMP models AxeFxIII'!$D$2:$H$299,2,FALSE)</f>
        <v>Not Used</v>
      </c>
      <c r="O75" s="45" t="str">
        <f>VLOOKUP(X75,'AMP models AxeFxIII'!$D$2:$H$299,2,FALSE)</f>
        <v>Not Used</v>
      </c>
      <c r="P75" s="45" t="str">
        <f>VLOOKUP(Y75,'AMP models AxeFxIII'!$D$2:$H$299,2,FALSE)</f>
        <v>Not Used</v>
      </c>
      <c r="Q75" s="45" t="str">
        <f>VLOOKUP(Z75,'AMP models AxeFxIII'!$D$2:$H$299,2,FALSE)</f>
        <v>Not Used</v>
      </c>
      <c r="R75" s="4">
        <v>71</v>
      </c>
      <c r="S75" s="46" t="s">
        <v>555</v>
      </c>
      <c r="T75" s="46" t="s">
        <v>555</v>
      </c>
      <c r="U75" s="46" t="s">
        <v>555</v>
      </c>
      <c r="V75" s="46" t="s">
        <v>555</v>
      </c>
      <c r="W75" s="46" t="s">
        <v>555</v>
      </c>
      <c r="X75" s="46" t="s">
        <v>555</v>
      </c>
      <c r="Y75" s="46" t="s">
        <v>555</v>
      </c>
      <c r="Z75" s="46" t="s">
        <v>555</v>
      </c>
    </row>
    <row r="76" spans="1:26">
      <c r="A76" s="41">
        <f>preset_Names!A76</f>
        <v>72</v>
      </c>
      <c r="B76" t="str">
        <f t="shared" si="4"/>
        <v xml:space="preserve">strcpy(AMP1_A,("Not Used")); strcpy(AMP1_B,("Not Used")); strcpy(AMP1_C,("Not Used")); strcpy(AMP1_D,("Not Used")); </v>
      </c>
      <c r="C76" t="str">
        <f t="shared" si="5"/>
        <v xml:space="preserve">strcpy(AMP2_A,("Not Used")); strcpy(AMP2_B,("Not Used")); strcpy(AMP2_C,("Not Used")); strcpy(AMP2_D,("Not Used")); </v>
      </c>
      <c r="D76" s="31" t="s">
        <v>893</v>
      </c>
      <c r="E76" s="42" t="str">
        <f t="shared" si="3"/>
        <v>case 72: strcpy(AMP1_A,("Not Used")); strcpy(AMP1_B,("Not Used")); strcpy(AMP1_C,("Not Used")); strcpy(AMP1_D,("Not Used")); strcpy(AMP2_A,("Not Used")); strcpy(AMP2_B,("Not Used")); strcpy(AMP2_C,("Not Used")); strcpy(AMP2_D,("Not Used"));  break;</v>
      </c>
      <c r="F76" t="s">
        <v>893</v>
      </c>
      <c r="I76" t="s">
        <v>893</v>
      </c>
      <c r="J76" s="45" t="str">
        <f>VLOOKUP(S76,'AMP models AxeFxIII'!$D$2:$H$299,2,FALSE)</f>
        <v>Not Used</v>
      </c>
      <c r="K76" s="45" t="str">
        <f>VLOOKUP(T76,'AMP models AxeFxIII'!$D$2:$H$299,2,FALSE)</f>
        <v>Not Used</v>
      </c>
      <c r="L76" s="45" t="str">
        <f>VLOOKUP(U76,'AMP models AxeFxIII'!$D$2:$H$299,2,FALSE)</f>
        <v>Not Used</v>
      </c>
      <c r="M76" s="45" t="str">
        <f>VLOOKUP(V76,'AMP models AxeFxIII'!$D$2:$H$299,2,FALSE)</f>
        <v>Not Used</v>
      </c>
      <c r="N76" s="45" t="str">
        <f>VLOOKUP(W76,'AMP models AxeFxIII'!$D$2:$H$299,2,FALSE)</f>
        <v>Not Used</v>
      </c>
      <c r="O76" s="45" t="str">
        <f>VLOOKUP(X76,'AMP models AxeFxIII'!$D$2:$H$299,2,FALSE)</f>
        <v>Not Used</v>
      </c>
      <c r="P76" s="45" t="str">
        <f>VLOOKUP(Y76,'AMP models AxeFxIII'!$D$2:$H$299,2,FALSE)</f>
        <v>Not Used</v>
      </c>
      <c r="Q76" s="45" t="str">
        <f>VLOOKUP(Z76,'AMP models AxeFxIII'!$D$2:$H$299,2,FALSE)</f>
        <v>Not Used</v>
      </c>
      <c r="R76" s="4">
        <v>72</v>
      </c>
      <c r="S76" s="46" t="s">
        <v>555</v>
      </c>
      <c r="T76" s="46" t="s">
        <v>555</v>
      </c>
      <c r="U76" s="46" t="s">
        <v>555</v>
      </c>
      <c r="V76" s="46" t="s">
        <v>555</v>
      </c>
      <c r="W76" s="46" t="s">
        <v>555</v>
      </c>
      <c r="X76" s="46" t="s">
        <v>555</v>
      </c>
      <c r="Y76" s="46" t="s">
        <v>555</v>
      </c>
      <c r="Z76" s="46" t="s">
        <v>555</v>
      </c>
    </row>
    <row r="77" spans="1:26">
      <c r="A77" s="41">
        <f>preset_Names!A77</f>
        <v>73</v>
      </c>
      <c r="B77" t="str">
        <f t="shared" si="4"/>
        <v xml:space="preserve">strcpy(AMP1_A,("Not Used")); strcpy(AMP1_B,("Not Used")); strcpy(AMP1_C,("Not Used")); strcpy(AMP1_D,("Not Used")); </v>
      </c>
      <c r="C77" t="str">
        <f t="shared" si="5"/>
        <v xml:space="preserve">strcpy(AMP2_A,("Not Used")); strcpy(AMP2_B,("Not Used")); strcpy(AMP2_C,("Not Used")); strcpy(AMP2_D,("Not Used")); </v>
      </c>
      <c r="D77" s="31" t="s">
        <v>893</v>
      </c>
      <c r="E77" s="42" t="str">
        <f t="shared" si="3"/>
        <v>case 73: strcpy(AMP1_A,("Not Used")); strcpy(AMP1_B,("Not Used")); strcpy(AMP1_C,("Not Used")); strcpy(AMP1_D,("Not Used")); strcpy(AMP2_A,("Not Used")); strcpy(AMP2_B,("Not Used")); strcpy(AMP2_C,("Not Used")); strcpy(AMP2_D,("Not Used"));  break;</v>
      </c>
      <c r="F77" t="s">
        <v>893</v>
      </c>
      <c r="I77" t="s">
        <v>893</v>
      </c>
      <c r="J77" s="45" t="str">
        <f>VLOOKUP(S77,'AMP models AxeFxIII'!$D$2:$H$299,2,FALSE)</f>
        <v>Not Used</v>
      </c>
      <c r="K77" s="45" t="str">
        <f>VLOOKUP(T77,'AMP models AxeFxIII'!$D$2:$H$299,2,FALSE)</f>
        <v>Not Used</v>
      </c>
      <c r="L77" s="45" t="str">
        <f>VLOOKUP(U77,'AMP models AxeFxIII'!$D$2:$H$299,2,FALSE)</f>
        <v>Not Used</v>
      </c>
      <c r="M77" s="45" t="str">
        <f>VLOOKUP(V77,'AMP models AxeFxIII'!$D$2:$H$299,2,FALSE)</f>
        <v>Not Used</v>
      </c>
      <c r="N77" s="45" t="str">
        <f>VLOOKUP(W77,'AMP models AxeFxIII'!$D$2:$H$299,2,FALSE)</f>
        <v>Not Used</v>
      </c>
      <c r="O77" s="45" t="str">
        <f>VLOOKUP(X77,'AMP models AxeFxIII'!$D$2:$H$299,2,FALSE)</f>
        <v>Not Used</v>
      </c>
      <c r="P77" s="45" t="str">
        <f>VLOOKUP(Y77,'AMP models AxeFxIII'!$D$2:$H$299,2,FALSE)</f>
        <v>Not Used</v>
      </c>
      <c r="Q77" s="45" t="str">
        <f>VLOOKUP(Z77,'AMP models AxeFxIII'!$D$2:$H$299,2,FALSE)</f>
        <v>Not Used</v>
      </c>
      <c r="R77" s="4">
        <v>73</v>
      </c>
      <c r="S77" s="46" t="s">
        <v>555</v>
      </c>
      <c r="T77" s="46" t="s">
        <v>555</v>
      </c>
      <c r="U77" s="46" t="s">
        <v>555</v>
      </c>
      <c r="V77" s="46" t="s">
        <v>555</v>
      </c>
      <c r="W77" s="46" t="s">
        <v>555</v>
      </c>
      <c r="X77" s="46" t="s">
        <v>555</v>
      </c>
      <c r="Y77" s="46" t="s">
        <v>555</v>
      </c>
      <c r="Z77" s="46" t="s">
        <v>555</v>
      </c>
    </row>
    <row r="78" spans="1:26">
      <c r="A78" s="41">
        <f>preset_Names!A78</f>
        <v>74</v>
      </c>
      <c r="B78" t="str">
        <f t="shared" si="4"/>
        <v xml:space="preserve">strcpy(AMP1_A,("Not Used")); strcpy(AMP1_B,("Not Used")); strcpy(AMP1_C,("Not Used")); strcpy(AMP1_D,("Not Used")); </v>
      </c>
      <c r="C78" t="str">
        <f t="shared" si="5"/>
        <v xml:space="preserve">strcpy(AMP2_A,("Not Used")); strcpy(AMP2_B,("Not Used")); strcpy(AMP2_C,("Not Used")); strcpy(AMP2_D,("Not Used")); </v>
      </c>
      <c r="D78" s="31" t="s">
        <v>893</v>
      </c>
      <c r="E78" s="42" t="str">
        <f t="shared" si="3"/>
        <v>case 74: strcpy(AMP1_A,("Not Used")); strcpy(AMP1_B,("Not Used")); strcpy(AMP1_C,("Not Used")); strcpy(AMP1_D,("Not Used")); strcpy(AMP2_A,("Not Used")); strcpy(AMP2_B,("Not Used")); strcpy(AMP2_C,("Not Used")); strcpy(AMP2_D,("Not Used"));  break;</v>
      </c>
      <c r="F78" t="s">
        <v>893</v>
      </c>
      <c r="I78" t="s">
        <v>893</v>
      </c>
      <c r="J78" s="45" t="str">
        <f>VLOOKUP(S78,'AMP models AxeFxIII'!$D$2:$H$299,2,FALSE)</f>
        <v>Not Used</v>
      </c>
      <c r="K78" s="45" t="str">
        <f>VLOOKUP(T78,'AMP models AxeFxIII'!$D$2:$H$299,2,FALSE)</f>
        <v>Not Used</v>
      </c>
      <c r="L78" s="45" t="str">
        <f>VLOOKUP(U78,'AMP models AxeFxIII'!$D$2:$H$299,2,FALSE)</f>
        <v>Not Used</v>
      </c>
      <c r="M78" s="45" t="str">
        <f>VLOOKUP(V78,'AMP models AxeFxIII'!$D$2:$H$299,2,FALSE)</f>
        <v>Not Used</v>
      </c>
      <c r="N78" s="45" t="str">
        <f>VLOOKUP(W78,'AMP models AxeFxIII'!$D$2:$H$299,2,FALSE)</f>
        <v>Not Used</v>
      </c>
      <c r="O78" s="45" t="str">
        <f>VLOOKUP(X78,'AMP models AxeFxIII'!$D$2:$H$299,2,FALSE)</f>
        <v>Not Used</v>
      </c>
      <c r="P78" s="45" t="str">
        <f>VLOOKUP(Y78,'AMP models AxeFxIII'!$D$2:$H$299,2,FALSE)</f>
        <v>Not Used</v>
      </c>
      <c r="Q78" s="45" t="str">
        <f>VLOOKUP(Z78,'AMP models AxeFxIII'!$D$2:$H$299,2,FALSE)</f>
        <v>Not Used</v>
      </c>
      <c r="R78" s="4">
        <v>74</v>
      </c>
      <c r="S78" s="46" t="s">
        <v>555</v>
      </c>
      <c r="T78" s="46" t="s">
        <v>555</v>
      </c>
      <c r="U78" s="46" t="s">
        <v>555</v>
      </c>
      <c r="V78" s="46" t="s">
        <v>555</v>
      </c>
      <c r="W78" s="46" t="s">
        <v>555</v>
      </c>
      <c r="X78" s="46" t="s">
        <v>555</v>
      </c>
      <c r="Y78" s="46" t="s">
        <v>555</v>
      </c>
      <c r="Z78" s="46" t="s">
        <v>555</v>
      </c>
    </row>
    <row r="79" spans="1:26">
      <c r="A79" s="41">
        <f>preset_Names!A79</f>
        <v>75</v>
      </c>
      <c r="B79" t="str">
        <f t="shared" si="4"/>
        <v xml:space="preserve">strcpy(AMP1_A,("Not Used")); strcpy(AMP1_B,("Not Used")); strcpy(AMP1_C,("Not Used")); strcpy(AMP1_D,("Not Used")); </v>
      </c>
      <c r="C79" t="str">
        <f t="shared" si="5"/>
        <v xml:space="preserve">strcpy(AMP2_A,("Not Used")); strcpy(AMP2_B,("Not Used")); strcpy(AMP2_C,("Not Used")); strcpy(AMP2_D,("Not Used")); </v>
      </c>
      <c r="D79" s="31" t="s">
        <v>893</v>
      </c>
      <c r="E79" s="42" t="str">
        <f t="shared" si="3"/>
        <v>case 75: strcpy(AMP1_A,("Not Used")); strcpy(AMP1_B,("Not Used")); strcpy(AMP1_C,("Not Used")); strcpy(AMP1_D,("Not Used")); strcpy(AMP2_A,("Not Used")); strcpy(AMP2_B,("Not Used")); strcpy(AMP2_C,("Not Used")); strcpy(AMP2_D,("Not Used"));  break;</v>
      </c>
      <c r="F79" t="s">
        <v>893</v>
      </c>
      <c r="I79" t="s">
        <v>893</v>
      </c>
      <c r="J79" s="45" t="str">
        <f>VLOOKUP(S79,'AMP models AxeFxIII'!$D$2:$H$299,2,FALSE)</f>
        <v>Not Used</v>
      </c>
      <c r="K79" s="45" t="str">
        <f>VLOOKUP(T79,'AMP models AxeFxIII'!$D$2:$H$299,2,FALSE)</f>
        <v>Not Used</v>
      </c>
      <c r="L79" s="45" t="str">
        <f>VLOOKUP(U79,'AMP models AxeFxIII'!$D$2:$H$299,2,FALSE)</f>
        <v>Not Used</v>
      </c>
      <c r="M79" s="45" t="str">
        <f>VLOOKUP(V79,'AMP models AxeFxIII'!$D$2:$H$299,2,FALSE)</f>
        <v>Not Used</v>
      </c>
      <c r="N79" s="45" t="str">
        <f>VLOOKUP(W79,'AMP models AxeFxIII'!$D$2:$H$299,2,FALSE)</f>
        <v>Not Used</v>
      </c>
      <c r="O79" s="45" t="str">
        <f>VLOOKUP(X79,'AMP models AxeFxIII'!$D$2:$H$299,2,FALSE)</f>
        <v>Not Used</v>
      </c>
      <c r="P79" s="45" t="str">
        <f>VLOOKUP(Y79,'AMP models AxeFxIII'!$D$2:$H$299,2,FALSE)</f>
        <v>Not Used</v>
      </c>
      <c r="Q79" s="45" t="str">
        <f>VLOOKUP(Z79,'AMP models AxeFxIII'!$D$2:$H$299,2,FALSE)</f>
        <v>Not Used</v>
      </c>
      <c r="R79" s="4">
        <v>75</v>
      </c>
      <c r="S79" s="46" t="s">
        <v>555</v>
      </c>
      <c r="T79" s="46" t="s">
        <v>555</v>
      </c>
      <c r="U79" s="46" t="s">
        <v>555</v>
      </c>
      <c r="V79" s="46" t="s">
        <v>555</v>
      </c>
      <c r="W79" s="46" t="s">
        <v>555</v>
      </c>
      <c r="X79" s="46" t="s">
        <v>555</v>
      </c>
      <c r="Y79" s="46" t="s">
        <v>555</v>
      </c>
      <c r="Z79" s="46" t="s">
        <v>555</v>
      </c>
    </row>
    <row r="80" spans="1:26">
      <c r="A80" s="41">
        <f>preset_Names!A80</f>
        <v>76</v>
      </c>
      <c r="B80" t="str">
        <f t="shared" si="4"/>
        <v xml:space="preserve">strcpy(AMP1_A,("Not Used")); strcpy(AMP1_B,("Not Used")); strcpy(AMP1_C,("Not Used")); strcpy(AMP1_D,("Not Used")); </v>
      </c>
      <c r="C80" t="str">
        <f t="shared" si="5"/>
        <v xml:space="preserve">strcpy(AMP2_A,("Not Used")); strcpy(AMP2_B,("Not Used")); strcpy(AMP2_C,("Not Used")); strcpy(AMP2_D,("Not Used")); </v>
      </c>
      <c r="D80" s="31" t="s">
        <v>893</v>
      </c>
      <c r="E80" s="42" t="str">
        <f t="shared" si="3"/>
        <v>case 76: strcpy(AMP1_A,("Not Used")); strcpy(AMP1_B,("Not Used")); strcpy(AMP1_C,("Not Used")); strcpy(AMP1_D,("Not Used")); strcpy(AMP2_A,("Not Used")); strcpy(AMP2_B,("Not Used")); strcpy(AMP2_C,("Not Used")); strcpy(AMP2_D,("Not Used"));  break;</v>
      </c>
      <c r="F80" t="s">
        <v>893</v>
      </c>
      <c r="I80" t="s">
        <v>893</v>
      </c>
      <c r="J80" s="45" t="str">
        <f>VLOOKUP(S80,'AMP models AxeFxIII'!$D$2:$H$299,2,FALSE)</f>
        <v>Not Used</v>
      </c>
      <c r="K80" s="45" t="str">
        <f>VLOOKUP(T80,'AMP models AxeFxIII'!$D$2:$H$299,2,FALSE)</f>
        <v>Not Used</v>
      </c>
      <c r="L80" s="45" t="str">
        <f>VLOOKUP(U80,'AMP models AxeFxIII'!$D$2:$H$299,2,FALSE)</f>
        <v>Not Used</v>
      </c>
      <c r="M80" s="45" t="str">
        <f>VLOOKUP(V80,'AMP models AxeFxIII'!$D$2:$H$299,2,FALSE)</f>
        <v>Not Used</v>
      </c>
      <c r="N80" s="45" t="str">
        <f>VLOOKUP(W80,'AMP models AxeFxIII'!$D$2:$H$299,2,FALSE)</f>
        <v>Not Used</v>
      </c>
      <c r="O80" s="45" t="str">
        <f>VLOOKUP(X80,'AMP models AxeFxIII'!$D$2:$H$299,2,FALSE)</f>
        <v>Not Used</v>
      </c>
      <c r="P80" s="45" t="str">
        <f>VLOOKUP(Y80,'AMP models AxeFxIII'!$D$2:$H$299,2,FALSE)</f>
        <v>Not Used</v>
      </c>
      <c r="Q80" s="45" t="str">
        <f>VLOOKUP(Z80,'AMP models AxeFxIII'!$D$2:$H$299,2,FALSE)</f>
        <v>Not Used</v>
      </c>
      <c r="R80" s="4">
        <v>76</v>
      </c>
      <c r="S80" s="46" t="s">
        <v>555</v>
      </c>
      <c r="T80" s="46" t="s">
        <v>555</v>
      </c>
      <c r="U80" s="46" t="s">
        <v>555</v>
      </c>
      <c r="V80" s="46" t="s">
        <v>555</v>
      </c>
      <c r="W80" s="46" t="s">
        <v>555</v>
      </c>
      <c r="X80" s="46" t="s">
        <v>555</v>
      </c>
      <c r="Y80" s="46" t="s">
        <v>555</v>
      </c>
      <c r="Z80" s="46" t="s">
        <v>555</v>
      </c>
    </row>
    <row r="81" spans="1:26">
      <c r="A81" s="41">
        <f>preset_Names!A81</f>
        <v>77</v>
      </c>
      <c r="B81" t="str">
        <f t="shared" si="4"/>
        <v xml:space="preserve">strcpy(AMP1_A,("Not Used")); strcpy(AMP1_B,("Not Used")); strcpy(AMP1_C,("Not Used")); strcpy(AMP1_D,("Not Used")); </v>
      </c>
      <c r="C81" t="str">
        <f t="shared" si="5"/>
        <v xml:space="preserve">strcpy(AMP2_A,("Not Used")); strcpy(AMP2_B,("Not Used")); strcpy(AMP2_C,("Not Used")); strcpy(AMP2_D,("Not Used")); </v>
      </c>
      <c r="D81" s="31" t="s">
        <v>893</v>
      </c>
      <c r="E81" s="42" t="str">
        <f t="shared" si="3"/>
        <v>case 77: strcpy(AMP1_A,("Not Used")); strcpy(AMP1_B,("Not Used")); strcpy(AMP1_C,("Not Used")); strcpy(AMP1_D,("Not Used")); strcpy(AMP2_A,("Not Used")); strcpy(AMP2_B,("Not Used")); strcpy(AMP2_C,("Not Used")); strcpy(AMP2_D,("Not Used"));  break;</v>
      </c>
      <c r="F81" t="s">
        <v>893</v>
      </c>
      <c r="I81" t="s">
        <v>893</v>
      </c>
      <c r="J81" s="45" t="str">
        <f>VLOOKUP(S81,'AMP models AxeFxIII'!$D$2:$H$299,2,FALSE)</f>
        <v>Not Used</v>
      </c>
      <c r="K81" s="45" t="str">
        <f>VLOOKUP(T81,'AMP models AxeFxIII'!$D$2:$H$299,2,FALSE)</f>
        <v>Not Used</v>
      </c>
      <c r="L81" s="45" t="str">
        <f>VLOOKUP(U81,'AMP models AxeFxIII'!$D$2:$H$299,2,FALSE)</f>
        <v>Not Used</v>
      </c>
      <c r="M81" s="45" t="str">
        <f>VLOOKUP(V81,'AMP models AxeFxIII'!$D$2:$H$299,2,FALSE)</f>
        <v>Not Used</v>
      </c>
      <c r="N81" s="45" t="str">
        <f>VLOOKUP(W81,'AMP models AxeFxIII'!$D$2:$H$299,2,FALSE)</f>
        <v>Not Used</v>
      </c>
      <c r="O81" s="45" t="str">
        <f>VLOOKUP(X81,'AMP models AxeFxIII'!$D$2:$H$299,2,FALSE)</f>
        <v>Not Used</v>
      </c>
      <c r="P81" s="45" t="str">
        <f>VLOOKUP(Y81,'AMP models AxeFxIII'!$D$2:$H$299,2,FALSE)</f>
        <v>Not Used</v>
      </c>
      <c r="Q81" s="45" t="str">
        <f>VLOOKUP(Z81,'AMP models AxeFxIII'!$D$2:$H$299,2,FALSE)</f>
        <v>Not Used</v>
      </c>
      <c r="R81" s="4">
        <v>77</v>
      </c>
      <c r="S81" s="46" t="s">
        <v>555</v>
      </c>
      <c r="T81" s="46" t="s">
        <v>555</v>
      </c>
      <c r="U81" s="46" t="s">
        <v>555</v>
      </c>
      <c r="V81" s="46" t="s">
        <v>555</v>
      </c>
      <c r="W81" s="46" t="s">
        <v>555</v>
      </c>
      <c r="X81" s="46" t="s">
        <v>555</v>
      </c>
      <c r="Y81" s="46" t="s">
        <v>555</v>
      </c>
      <c r="Z81" s="46" t="s">
        <v>555</v>
      </c>
    </row>
    <row r="82" spans="1:26">
      <c r="A82" s="41">
        <f>preset_Names!A82</f>
        <v>78</v>
      </c>
      <c r="B82" t="str">
        <f t="shared" si="4"/>
        <v xml:space="preserve">strcpy(AMP1_A,("Not Used")); strcpy(AMP1_B,("Not Used")); strcpy(AMP1_C,("Not Used")); strcpy(AMP1_D,("Not Used")); </v>
      </c>
      <c r="C82" t="str">
        <f t="shared" si="5"/>
        <v xml:space="preserve">strcpy(AMP2_A,("Not Used")); strcpy(AMP2_B,("Not Used")); strcpy(AMP2_C,("Not Used")); strcpy(AMP2_D,("Not Used")); </v>
      </c>
      <c r="D82" s="31" t="s">
        <v>893</v>
      </c>
      <c r="E82" s="42" t="str">
        <f t="shared" si="3"/>
        <v>case 78: strcpy(AMP1_A,("Not Used")); strcpy(AMP1_B,("Not Used")); strcpy(AMP1_C,("Not Used")); strcpy(AMP1_D,("Not Used")); strcpy(AMP2_A,("Not Used")); strcpy(AMP2_B,("Not Used")); strcpy(AMP2_C,("Not Used")); strcpy(AMP2_D,("Not Used"));  break;</v>
      </c>
      <c r="F82" t="s">
        <v>893</v>
      </c>
      <c r="I82" t="s">
        <v>893</v>
      </c>
      <c r="J82" s="45" t="str">
        <f>VLOOKUP(S82,'AMP models AxeFxIII'!$D$2:$H$299,2,FALSE)</f>
        <v>Not Used</v>
      </c>
      <c r="K82" s="45" t="str">
        <f>VLOOKUP(T82,'AMP models AxeFxIII'!$D$2:$H$299,2,FALSE)</f>
        <v>Not Used</v>
      </c>
      <c r="L82" s="45" t="str">
        <f>VLOOKUP(U82,'AMP models AxeFxIII'!$D$2:$H$299,2,FALSE)</f>
        <v>Not Used</v>
      </c>
      <c r="M82" s="45" t="str">
        <f>VLOOKUP(V82,'AMP models AxeFxIII'!$D$2:$H$299,2,FALSE)</f>
        <v>Not Used</v>
      </c>
      <c r="N82" s="45" t="str">
        <f>VLOOKUP(W82,'AMP models AxeFxIII'!$D$2:$H$299,2,FALSE)</f>
        <v>Not Used</v>
      </c>
      <c r="O82" s="45" t="str">
        <f>VLOOKUP(X82,'AMP models AxeFxIII'!$D$2:$H$299,2,FALSE)</f>
        <v>Not Used</v>
      </c>
      <c r="P82" s="45" t="str">
        <f>VLOOKUP(Y82,'AMP models AxeFxIII'!$D$2:$H$299,2,FALSE)</f>
        <v>Not Used</v>
      </c>
      <c r="Q82" s="45" t="str">
        <f>VLOOKUP(Z82,'AMP models AxeFxIII'!$D$2:$H$299,2,FALSE)</f>
        <v>Not Used</v>
      </c>
      <c r="R82" s="4">
        <v>78</v>
      </c>
      <c r="S82" s="46" t="s">
        <v>555</v>
      </c>
      <c r="T82" s="46" t="s">
        <v>555</v>
      </c>
      <c r="U82" s="46" t="s">
        <v>555</v>
      </c>
      <c r="V82" s="46" t="s">
        <v>555</v>
      </c>
      <c r="W82" s="46" t="s">
        <v>555</v>
      </c>
      <c r="X82" s="46" t="s">
        <v>555</v>
      </c>
      <c r="Y82" s="46" t="s">
        <v>555</v>
      </c>
      <c r="Z82" s="46" t="s">
        <v>555</v>
      </c>
    </row>
    <row r="83" spans="1:26">
      <c r="A83" s="41">
        <f>preset_Names!A83</f>
        <v>79</v>
      </c>
      <c r="B83" t="str">
        <f t="shared" si="4"/>
        <v xml:space="preserve">strcpy(AMP1_A,("Not Used")); strcpy(AMP1_B,("Not Used")); strcpy(AMP1_C,("Not Used")); strcpy(AMP1_D,("Not Used")); </v>
      </c>
      <c r="C83" t="str">
        <f t="shared" si="5"/>
        <v xml:space="preserve">strcpy(AMP2_A,("Not Used")); strcpy(AMP2_B,("Not Used")); strcpy(AMP2_C,("Not Used")); strcpy(AMP2_D,("Not Used")); </v>
      </c>
      <c r="D83" s="31" t="s">
        <v>893</v>
      </c>
      <c r="E83" s="42" t="str">
        <f t="shared" si="3"/>
        <v>case 79: strcpy(AMP1_A,("Not Used")); strcpy(AMP1_B,("Not Used")); strcpy(AMP1_C,("Not Used")); strcpy(AMP1_D,("Not Used")); strcpy(AMP2_A,("Not Used")); strcpy(AMP2_B,("Not Used")); strcpy(AMP2_C,("Not Used")); strcpy(AMP2_D,("Not Used"));  break;</v>
      </c>
      <c r="F83" t="s">
        <v>893</v>
      </c>
      <c r="I83" t="s">
        <v>893</v>
      </c>
      <c r="J83" s="45" t="str">
        <f>VLOOKUP(S83,'AMP models AxeFxIII'!$D$2:$H$299,2,FALSE)</f>
        <v>Not Used</v>
      </c>
      <c r="K83" s="45" t="str">
        <f>VLOOKUP(T83,'AMP models AxeFxIII'!$D$2:$H$299,2,FALSE)</f>
        <v>Not Used</v>
      </c>
      <c r="L83" s="45" t="str">
        <f>VLOOKUP(U83,'AMP models AxeFxIII'!$D$2:$H$299,2,FALSE)</f>
        <v>Not Used</v>
      </c>
      <c r="M83" s="45" t="str">
        <f>VLOOKUP(V83,'AMP models AxeFxIII'!$D$2:$H$299,2,FALSE)</f>
        <v>Not Used</v>
      </c>
      <c r="N83" s="45" t="str">
        <f>VLOOKUP(W83,'AMP models AxeFxIII'!$D$2:$H$299,2,FALSE)</f>
        <v>Not Used</v>
      </c>
      <c r="O83" s="45" t="str">
        <f>VLOOKUP(X83,'AMP models AxeFxIII'!$D$2:$H$299,2,FALSE)</f>
        <v>Not Used</v>
      </c>
      <c r="P83" s="45" t="str">
        <f>VLOOKUP(Y83,'AMP models AxeFxIII'!$D$2:$H$299,2,FALSE)</f>
        <v>Not Used</v>
      </c>
      <c r="Q83" s="45" t="str">
        <f>VLOOKUP(Z83,'AMP models AxeFxIII'!$D$2:$H$299,2,FALSE)</f>
        <v>Not Used</v>
      </c>
      <c r="R83" s="4">
        <v>79</v>
      </c>
      <c r="S83" s="46" t="s">
        <v>555</v>
      </c>
      <c r="T83" s="46" t="s">
        <v>555</v>
      </c>
      <c r="U83" s="46" t="s">
        <v>555</v>
      </c>
      <c r="V83" s="46" t="s">
        <v>555</v>
      </c>
      <c r="W83" s="46" t="s">
        <v>555</v>
      </c>
      <c r="X83" s="46" t="s">
        <v>555</v>
      </c>
      <c r="Y83" s="46" t="s">
        <v>555</v>
      </c>
      <c r="Z83" s="46" t="s">
        <v>555</v>
      </c>
    </row>
    <row r="84" spans="1:26">
      <c r="A84" s="41">
        <f>preset_Names!A84</f>
        <v>80</v>
      </c>
      <c r="B84" t="str">
        <f t="shared" si="4"/>
        <v xml:space="preserve">strcpy(AMP1_A,("Not Used")); strcpy(AMP1_B,("Not Used")); strcpy(AMP1_C,("Not Used")); strcpy(AMP1_D,("Not Used")); </v>
      </c>
      <c r="C84" t="str">
        <f t="shared" si="5"/>
        <v xml:space="preserve">strcpy(AMP2_A,("Not Used")); strcpy(AMP2_B,("Not Used")); strcpy(AMP2_C,("Not Used")); strcpy(AMP2_D,("Not Used")); </v>
      </c>
      <c r="D84" s="31" t="s">
        <v>893</v>
      </c>
      <c r="E84" s="42" t="str">
        <f t="shared" si="3"/>
        <v>case 80: strcpy(AMP1_A,("Not Used")); strcpy(AMP1_B,("Not Used")); strcpy(AMP1_C,("Not Used")); strcpy(AMP1_D,("Not Used")); strcpy(AMP2_A,("Not Used")); strcpy(AMP2_B,("Not Used")); strcpy(AMP2_C,("Not Used")); strcpy(AMP2_D,("Not Used"));  break;</v>
      </c>
      <c r="F84" t="s">
        <v>893</v>
      </c>
      <c r="I84" t="s">
        <v>893</v>
      </c>
      <c r="J84" s="45" t="str">
        <f>VLOOKUP(S84,'AMP models AxeFxIII'!$D$2:$H$299,2,FALSE)</f>
        <v>Not Used</v>
      </c>
      <c r="K84" s="45" t="str">
        <f>VLOOKUP(T84,'AMP models AxeFxIII'!$D$2:$H$299,2,FALSE)</f>
        <v>Not Used</v>
      </c>
      <c r="L84" s="45" t="str">
        <f>VLOOKUP(U84,'AMP models AxeFxIII'!$D$2:$H$299,2,FALSE)</f>
        <v>Not Used</v>
      </c>
      <c r="M84" s="45" t="str">
        <f>VLOOKUP(V84,'AMP models AxeFxIII'!$D$2:$H$299,2,FALSE)</f>
        <v>Not Used</v>
      </c>
      <c r="N84" s="45" t="str">
        <f>VLOOKUP(W84,'AMP models AxeFxIII'!$D$2:$H$299,2,FALSE)</f>
        <v>Not Used</v>
      </c>
      <c r="O84" s="45" t="str">
        <f>VLOOKUP(X84,'AMP models AxeFxIII'!$D$2:$H$299,2,FALSE)</f>
        <v>Not Used</v>
      </c>
      <c r="P84" s="45" t="str">
        <f>VLOOKUP(Y84,'AMP models AxeFxIII'!$D$2:$H$299,2,FALSE)</f>
        <v>Not Used</v>
      </c>
      <c r="Q84" s="45" t="str">
        <f>VLOOKUP(Z84,'AMP models AxeFxIII'!$D$2:$H$299,2,FALSE)</f>
        <v>Not Used</v>
      </c>
      <c r="R84" s="4">
        <v>80</v>
      </c>
      <c r="S84" s="46" t="s">
        <v>555</v>
      </c>
      <c r="T84" s="46" t="s">
        <v>555</v>
      </c>
      <c r="U84" s="46" t="s">
        <v>555</v>
      </c>
      <c r="V84" s="46" t="s">
        <v>555</v>
      </c>
      <c r="W84" s="46" t="s">
        <v>555</v>
      </c>
      <c r="X84" s="46" t="s">
        <v>555</v>
      </c>
      <c r="Y84" s="46" t="s">
        <v>555</v>
      </c>
      <c r="Z84" s="46" t="s">
        <v>555</v>
      </c>
    </row>
    <row r="85" spans="1:26">
      <c r="A85" s="41">
        <f>preset_Names!A85</f>
        <v>81</v>
      </c>
      <c r="B85" t="str">
        <f t="shared" si="4"/>
        <v xml:space="preserve">strcpy(AMP1_A,("Not Used")); strcpy(AMP1_B,("Not Used")); strcpy(AMP1_C,("Not Used")); strcpy(AMP1_D,("Not Used")); </v>
      </c>
      <c r="C85" t="str">
        <f t="shared" si="5"/>
        <v xml:space="preserve">strcpy(AMP2_A,("Not Used")); strcpy(AMP2_B,("Not Used")); strcpy(AMP2_C,("Not Used")); strcpy(AMP2_D,("Not Used")); </v>
      </c>
      <c r="D85" s="31" t="s">
        <v>893</v>
      </c>
      <c r="E85" s="42" t="str">
        <f t="shared" si="3"/>
        <v>case 81: strcpy(AMP1_A,("Not Used")); strcpy(AMP1_B,("Not Used")); strcpy(AMP1_C,("Not Used")); strcpy(AMP1_D,("Not Used")); strcpy(AMP2_A,("Not Used")); strcpy(AMP2_B,("Not Used")); strcpy(AMP2_C,("Not Used")); strcpy(AMP2_D,("Not Used"));  break;</v>
      </c>
      <c r="F85" t="s">
        <v>893</v>
      </c>
      <c r="I85" t="s">
        <v>893</v>
      </c>
      <c r="J85" s="45" t="str">
        <f>VLOOKUP(S85,'AMP models AxeFxIII'!$D$2:$H$299,2,FALSE)</f>
        <v>Not Used</v>
      </c>
      <c r="K85" s="45" t="str">
        <f>VLOOKUP(T85,'AMP models AxeFxIII'!$D$2:$H$299,2,FALSE)</f>
        <v>Not Used</v>
      </c>
      <c r="L85" s="45" t="str">
        <f>VLOOKUP(U85,'AMP models AxeFxIII'!$D$2:$H$299,2,FALSE)</f>
        <v>Not Used</v>
      </c>
      <c r="M85" s="45" t="str">
        <f>VLOOKUP(V85,'AMP models AxeFxIII'!$D$2:$H$299,2,FALSE)</f>
        <v>Not Used</v>
      </c>
      <c r="N85" s="45" t="str">
        <f>VLOOKUP(W85,'AMP models AxeFxIII'!$D$2:$H$299,2,FALSE)</f>
        <v>Not Used</v>
      </c>
      <c r="O85" s="45" t="str">
        <f>VLOOKUP(X85,'AMP models AxeFxIII'!$D$2:$H$299,2,FALSE)</f>
        <v>Not Used</v>
      </c>
      <c r="P85" s="45" t="str">
        <f>VLOOKUP(Y85,'AMP models AxeFxIII'!$D$2:$H$299,2,FALSE)</f>
        <v>Not Used</v>
      </c>
      <c r="Q85" s="45" t="str">
        <f>VLOOKUP(Z85,'AMP models AxeFxIII'!$D$2:$H$299,2,FALSE)</f>
        <v>Not Used</v>
      </c>
      <c r="R85" s="4">
        <v>81</v>
      </c>
      <c r="S85" s="46" t="s">
        <v>555</v>
      </c>
      <c r="T85" s="46" t="s">
        <v>555</v>
      </c>
      <c r="U85" s="46" t="s">
        <v>555</v>
      </c>
      <c r="V85" s="46" t="s">
        <v>555</v>
      </c>
      <c r="W85" s="46" t="s">
        <v>555</v>
      </c>
      <c r="X85" s="46" t="s">
        <v>555</v>
      </c>
      <c r="Y85" s="46" t="s">
        <v>555</v>
      </c>
      <c r="Z85" s="46" t="s">
        <v>555</v>
      </c>
    </row>
    <row r="86" spans="1:26">
      <c r="A86" s="41">
        <f>preset_Names!A86</f>
        <v>82</v>
      </c>
      <c r="B86" t="str">
        <f t="shared" si="4"/>
        <v xml:space="preserve">strcpy(AMP1_A,("Not Used")); strcpy(AMP1_B,("Not Used")); strcpy(AMP1_C,("Not Used")); strcpy(AMP1_D,("Not Used")); </v>
      </c>
      <c r="C86" t="str">
        <f t="shared" si="5"/>
        <v xml:space="preserve">strcpy(AMP2_A,("Not Used")); strcpy(AMP2_B,("Not Used")); strcpy(AMP2_C,("Not Used")); strcpy(AMP2_D,("Not Used")); </v>
      </c>
      <c r="D86" s="31" t="s">
        <v>893</v>
      </c>
      <c r="E86" s="42" t="str">
        <f t="shared" si="3"/>
        <v>case 82: strcpy(AMP1_A,("Not Used")); strcpy(AMP1_B,("Not Used")); strcpy(AMP1_C,("Not Used")); strcpy(AMP1_D,("Not Used")); strcpy(AMP2_A,("Not Used")); strcpy(AMP2_B,("Not Used")); strcpy(AMP2_C,("Not Used")); strcpy(AMP2_D,("Not Used"));  break;</v>
      </c>
      <c r="F86" t="s">
        <v>893</v>
      </c>
      <c r="I86" t="s">
        <v>893</v>
      </c>
      <c r="J86" s="45" t="str">
        <f>VLOOKUP(S86,'AMP models AxeFxIII'!$D$2:$H$299,2,FALSE)</f>
        <v>Not Used</v>
      </c>
      <c r="K86" s="45" t="str">
        <f>VLOOKUP(T86,'AMP models AxeFxIII'!$D$2:$H$299,2,FALSE)</f>
        <v>Not Used</v>
      </c>
      <c r="L86" s="45" t="str">
        <f>VLOOKUP(U86,'AMP models AxeFxIII'!$D$2:$H$299,2,FALSE)</f>
        <v>Not Used</v>
      </c>
      <c r="M86" s="45" t="str">
        <f>VLOOKUP(V86,'AMP models AxeFxIII'!$D$2:$H$299,2,FALSE)</f>
        <v>Not Used</v>
      </c>
      <c r="N86" s="45" t="str">
        <f>VLOOKUP(W86,'AMP models AxeFxIII'!$D$2:$H$299,2,FALSE)</f>
        <v>Not Used</v>
      </c>
      <c r="O86" s="45" t="str">
        <f>VLOOKUP(X86,'AMP models AxeFxIII'!$D$2:$H$299,2,FALSE)</f>
        <v>Not Used</v>
      </c>
      <c r="P86" s="45" t="str">
        <f>VLOOKUP(Y86,'AMP models AxeFxIII'!$D$2:$H$299,2,FALSE)</f>
        <v>Not Used</v>
      </c>
      <c r="Q86" s="45" t="str">
        <f>VLOOKUP(Z86,'AMP models AxeFxIII'!$D$2:$H$299,2,FALSE)</f>
        <v>Not Used</v>
      </c>
      <c r="R86" s="4">
        <v>82</v>
      </c>
      <c r="S86" s="46" t="s">
        <v>555</v>
      </c>
      <c r="T86" s="46" t="s">
        <v>555</v>
      </c>
      <c r="U86" s="46" t="s">
        <v>555</v>
      </c>
      <c r="V86" s="46" t="s">
        <v>555</v>
      </c>
      <c r="W86" s="46" t="s">
        <v>555</v>
      </c>
      <c r="X86" s="46" t="s">
        <v>555</v>
      </c>
      <c r="Y86" s="46" t="s">
        <v>555</v>
      </c>
      <c r="Z86" s="46" t="s">
        <v>555</v>
      </c>
    </row>
    <row r="87" spans="1:26">
      <c r="A87" s="41">
        <f>preset_Names!A87</f>
        <v>83</v>
      </c>
      <c r="B87" t="str">
        <f t="shared" si="4"/>
        <v xml:space="preserve">strcpy(AMP1_A,("Not Used")); strcpy(AMP1_B,("Not Used")); strcpy(AMP1_C,("Not Used")); strcpy(AMP1_D,("Not Used")); </v>
      </c>
      <c r="C87" t="str">
        <f t="shared" si="5"/>
        <v xml:space="preserve">strcpy(AMP2_A,("Not Used")); strcpy(AMP2_B,("Not Used")); strcpy(AMP2_C,("Not Used")); strcpy(AMP2_D,("Not Used")); </v>
      </c>
      <c r="D87" s="31" t="s">
        <v>893</v>
      </c>
      <c r="E87" s="42" t="str">
        <f t="shared" si="3"/>
        <v>case 83: strcpy(AMP1_A,("Not Used")); strcpy(AMP1_B,("Not Used")); strcpy(AMP1_C,("Not Used")); strcpy(AMP1_D,("Not Used")); strcpy(AMP2_A,("Not Used")); strcpy(AMP2_B,("Not Used")); strcpy(AMP2_C,("Not Used")); strcpy(AMP2_D,("Not Used"));  break;</v>
      </c>
      <c r="F87" t="s">
        <v>893</v>
      </c>
      <c r="I87" t="s">
        <v>893</v>
      </c>
      <c r="J87" s="45" t="str">
        <f>VLOOKUP(S87,'AMP models AxeFxIII'!$D$2:$H$299,2,FALSE)</f>
        <v>Not Used</v>
      </c>
      <c r="K87" s="45" t="str">
        <f>VLOOKUP(T87,'AMP models AxeFxIII'!$D$2:$H$299,2,FALSE)</f>
        <v>Not Used</v>
      </c>
      <c r="L87" s="45" t="str">
        <f>VLOOKUP(U87,'AMP models AxeFxIII'!$D$2:$H$299,2,FALSE)</f>
        <v>Not Used</v>
      </c>
      <c r="M87" s="45" t="str">
        <f>VLOOKUP(V87,'AMP models AxeFxIII'!$D$2:$H$299,2,FALSE)</f>
        <v>Not Used</v>
      </c>
      <c r="N87" s="45" t="str">
        <f>VLOOKUP(W87,'AMP models AxeFxIII'!$D$2:$H$299,2,FALSE)</f>
        <v>Not Used</v>
      </c>
      <c r="O87" s="45" t="str">
        <f>VLOOKUP(X87,'AMP models AxeFxIII'!$D$2:$H$299,2,FALSE)</f>
        <v>Not Used</v>
      </c>
      <c r="P87" s="45" t="str">
        <f>VLOOKUP(Y87,'AMP models AxeFxIII'!$D$2:$H$299,2,FALSE)</f>
        <v>Not Used</v>
      </c>
      <c r="Q87" s="45" t="str">
        <f>VLOOKUP(Z87,'AMP models AxeFxIII'!$D$2:$H$299,2,FALSE)</f>
        <v>Not Used</v>
      </c>
      <c r="R87" s="4">
        <v>83</v>
      </c>
      <c r="S87" s="46" t="s">
        <v>555</v>
      </c>
      <c r="T87" s="46" t="s">
        <v>555</v>
      </c>
      <c r="U87" s="46" t="s">
        <v>555</v>
      </c>
      <c r="V87" s="46" t="s">
        <v>555</v>
      </c>
      <c r="W87" s="46" t="s">
        <v>555</v>
      </c>
      <c r="X87" s="46" t="s">
        <v>555</v>
      </c>
      <c r="Y87" s="46" t="s">
        <v>555</v>
      </c>
      <c r="Z87" s="46" t="s">
        <v>555</v>
      </c>
    </row>
    <row r="88" spans="1:26">
      <c r="A88" s="41">
        <f>preset_Names!A88</f>
        <v>84</v>
      </c>
      <c r="B88" t="str">
        <f t="shared" si="4"/>
        <v xml:space="preserve">strcpy(AMP1_A,("Not Used")); strcpy(AMP1_B,("Not Used")); strcpy(AMP1_C,("Not Used")); strcpy(AMP1_D,("Not Used")); </v>
      </c>
      <c r="C88" t="str">
        <f t="shared" si="5"/>
        <v xml:space="preserve">strcpy(AMP2_A,("Not Used")); strcpy(AMP2_B,("Not Used")); strcpy(AMP2_C,("Not Used")); strcpy(AMP2_D,("Not Used")); </v>
      </c>
      <c r="D88" s="31" t="s">
        <v>893</v>
      </c>
      <c r="E88" s="42" t="str">
        <f t="shared" si="3"/>
        <v>case 84: strcpy(AMP1_A,("Not Used")); strcpy(AMP1_B,("Not Used")); strcpy(AMP1_C,("Not Used")); strcpy(AMP1_D,("Not Used")); strcpy(AMP2_A,("Not Used")); strcpy(AMP2_B,("Not Used")); strcpy(AMP2_C,("Not Used")); strcpy(AMP2_D,("Not Used"));  break;</v>
      </c>
      <c r="F88" t="s">
        <v>893</v>
      </c>
      <c r="I88" t="s">
        <v>893</v>
      </c>
      <c r="J88" s="45" t="str">
        <f>VLOOKUP(S88,'AMP models AxeFxIII'!$D$2:$H$299,2,FALSE)</f>
        <v>Not Used</v>
      </c>
      <c r="K88" s="45" t="str">
        <f>VLOOKUP(T88,'AMP models AxeFxIII'!$D$2:$H$299,2,FALSE)</f>
        <v>Not Used</v>
      </c>
      <c r="L88" s="45" t="str">
        <f>VLOOKUP(U88,'AMP models AxeFxIII'!$D$2:$H$299,2,FALSE)</f>
        <v>Not Used</v>
      </c>
      <c r="M88" s="45" t="str">
        <f>VLOOKUP(V88,'AMP models AxeFxIII'!$D$2:$H$299,2,FALSE)</f>
        <v>Not Used</v>
      </c>
      <c r="N88" s="45" t="str">
        <f>VLOOKUP(W88,'AMP models AxeFxIII'!$D$2:$H$299,2,FALSE)</f>
        <v>Not Used</v>
      </c>
      <c r="O88" s="45" t="str">
        <f>VLOOKUP(X88,'AMP models AxeFxIII'!$D$2:$H$299,2,FALSE)</f>
        <v>Not Used</v>
      </c>
      <c r="P88" s="45" t="str">
        <f>VLOOKUP(Y88,'AMP models AxeFxIII'!$D$2:$H$299,2,FALSE)</f>
        <v>Not Used</v>
      </c>
      <c r="Q88" s="45" t="str">
        <f>VLOOKUP(Z88,'AMP models AxeFxIII'!$D$2:$H$299,2,FALSE)</f>
        <v>Not Used</v>
      </c>
      <c r="R88" s="4">
        <v>84</v>
      </c>
      <c r="S88" s="46" t="s">
        <v>555</v>
      </c>
      <c r="T88" s="46" t="s">
        <v>555</v>
      </c>
      <c r="U88" s="46" t="s">
        <v>555</v>
      </c>
      <c r="V88" s="46" t="s">
        <v>555</v>
      </c>
      <c r="W88" s="46" t="s">
        <v>555</v>
      </c>
      <c r="X88" s="46" t="s">
        <v>555</v>
      </c>
      <c r="Y88" s="46" t="s">
        <v>555</v>
      </c>
      <c r="Z88" s="46" t="s">
        <v>555</v>
      </c>
    </row>
    <row r="89" spans="1:26">
      <c r="A89" s="41">
        <f>preset_Names!A89</f>
        <v>85</v>
      </c>
      <c r="B89" t="str">
        <f t="shared" si="4"/>
        <v xml:space="preserve">strcpy(AMP1_A,("Not Used")); strcpy(AMP1_B,("Not Used")); strcpy(AMP1_C,("Not Used")); strcpy(AMP1_D,("Not Used")); </v>
      </c>
      <c r="C89" t="str">
        <f t="shared" si="5"/>
        <v xml:space="preserve">strcpy(AMP2_A,("Not Used")); strcpy(AMP2_B,("Not Used")); strcpy(AMP2_C,("Not Used")); strcpy(AMP2_D,("Not Used")); </v>
      </c>
      <c r="D89" s="31" t="s">
        <v>893</v>
      </c>
      <c r="E89" s="42" t="str">
        <f t="shared" si="3"/>
        <v>case 85: strcpy(AMP1_A,("Not Used")); strcpy(AMP1_B,("Not Used")); strcpy(AMP1_C,("Not Used")); strcpy(AMP1_D,("Not Used")); strcpy(AMP2_A,("Not Used")); strcpy(AMP2_B,("Not Used")); strcpy(AMP2_C,("Not Used")); strcpy(AMP2_D,("Not Used"));  break;</v>
      </c>
      <c r="F89" t="s">
        <v>893</v>
      </c>
      <c r="I89" t="s">
        <v>893</v>
      </c>
      <c r="J89" s="45" t="str">
        <f>VLOOKUP(S89,'AMP models AxeFxIII'!$D$2:$H$299,2,FALSE)</f>
        <v>Not Used</v>
      </c>
      <c r="K89" s="45" t="str">
        <f>VLOOKUP(T89,'AMP models AxeFxIII'!$D$2:$H$299,2,FALSE)</f>
        <v>Not Used</v>
      </c>
      <c r="L89" s="45" t="str">
        <f>VLOOKUP(U89,'AMP models AxeFxIII'!$D$2:$H$299,2,FALSE)</f>
        <v>Not Used</v>
      </c>
      <c r="M89" s="45" t="str">
        <f>VLOOKUP(V89,'AMP models AxeFxIII'!$D$2:$H$299,2,FALSE)</f>
        <v>Not Used</v>
      </c>
      <c r="N89" s="45" t="str">
        <f>VLOOKUP(W89,'AMP models AxeFxIII'!$D$2:$H$299,2,FALSE)</f>
        <v>Not Used</v>
      </c>
      <c r="O89" s="45" t="str">
        <f>VLOOKUP(X89,'AMP models AxeFxIII'!$D$2:$H$299,2,FALSE)</f>
        <v>Not Used</v>
      </c>
      <c r="P89" s="45" t="str">
        <f>VLOOKUP(Y89,'AMP models AxeFxIII'!$D$2:$H$299,2,FALSE)</f>
        <v>Not Used</v>
      </c>
      <c r="Q89" s="45" t="str">
        <f>VLOOKUP(Z89,'AMP models AxeFxIII'!$D$2:$H$299,2,FALSE)</f>
        <v>Not Used</v>
      </c>
      <c r="R89" s="4">
        <v>85</v>
      </c>
      <c r="S89" s="46" t="s">
        <v>555</v>
      </c>
      <c r="T89" s="46" t="s">
        <v>555</v>
      </c>
      <c r="U89" s="46" t="s">
        <v>555</v>
      </c>
      <c r="V89" s="46" t="s">
        <v>555</v>
      </c>
      <c r="W89" s="46" t="s">
        <v>555</v>
      </c>
      <c r="X89" s="46" t="s">
        <v>555</v>
      </c>
      <c r="Y89" s="46" t="s">
        <v>555</v>
      </c>
      <c r="Z89" s="46" t="s">
        <v>555</v>
      </c>
    </row>
    <row r="90" spans="1:26">
      <c r="A90" s="41">
        <f>preset_Names!A90</f>
        <v>86</v>
      </c>
      <c r="B90" t="str">
        <f t="shared" si="4"/>
        <v xml:space="preserve">strcpy(AMP1_A,("Not Used")); strcpy(AMP1_B,("Not Used")); strcpy(AMP1_C,("Not Used")); strcpy(AMP1_D,("Not Used")); </v>
      </c>
      <c r="C90" t="str">
        <f t="shared" si="5"/>
        <v xml:space="preserve">strcpy(AMP2_A,("Not Used")); strcpy(AMP2_B,("Not Used")); strcpy(AMP2_C,("Not Used")); strcpy(AMP2_D,("Not Used")); </v>
      </c>
      <c r="D90" s="31" t="s">
        <v>893</v>
      </c>
      <c r="E90" s="42" t="str">
        <f t="shared" si="3"/>
        <v>case 86: strcpy(AMP1_A,("Not Used")); strcpy(AMP1_B,("Not Used")); strcpy(AMP1_C,("Not Used")); strcpy(AMP1_D,("Not Used")); strcpy(AMP2_A,("Not Used")); strcpy(AMP2_B,("Not Used")); strcpy(AMP2_C,("Not Used")); strcpy(AMP2_D,("Not Used"));  break;</v>
      </c>
      <c r="F90" t="s">
        <v>893</v>
      </c>
      <c r="I90" t="s">
        <v>893</v>
      </c>
      <c r="J90" s="45" t="str">
        <f>VLOOKUP(S90,'AMP models AxeFxIII'!$D$2:$H$299,2,FALSE)</f>
        <v>Not Used</v>
      </c>
      <c r="K90" s="45" t="str">
        <f>VLOOKUP(T90,'AMP models AxeFxIII'!$D$2:$H$299,2,FALSE)</f>
        <v>Not Used</v>
      </c>
      <c r="L90" s="45" t="str">
        <f>VLOOKUP(U90,'AMP models AxeFxIII'!$D$2:$H$299,2,FALSE)</f>
        <v>Not Used</v>
      </c>
      <c r="M90" s="45" t="str">
        <f>VLOOKUP(V90,'AMP models AxeFxIII'!$D$2:$H$299,2,FALSE)</f>
        <v>Not Used</v>
      </c>
      <c r="N90" s="45" t="str">
        <f>VLOOKUP(W90,'AMP models AxeFxIII'!$D$2:$H$299,2,FALSE)</f>
        <v>Not Used</v>
      </c>
      <c r="O90" s="45" t="str">
        <f>VLOOKUP(X90,'AMP models AxeFxIII'!$D$2:$H$299,2,FALSE)</f>
        <v>Not Used</v>
      </c>
      <c r="P90" s="45" t="str">
        <f>VLOOKUP(Y90,'AMP models AxeFxIII'!$D$2:$H$299,2,FALSE)</f>
        <v>Not Used</v>
      </c>
      <c r="Q90" s="45" t="str">
        <f>VLOOKUP(Z90,'AMP models AxeFxIII'!$D$2:$H$299,2,FALSE)</f>
        <v>Not Used</v>
      </c>
      <c r="R90" s="4">
        <v>86</v>
      </c>
      <c r="S90" s="46" t="s">
        <v>555</v>
      </c>
      <c r="T90" s="46" t="s">
        <v>555</v>
      </c>
      <c r="U90" s="46" t="s">
        <v>555</v>
      </c>
      <c r="V90" s="46" t="s">
        <v>555</v>
      </c>
      <c r="W90" s="46" t="s">
        <v>555</v>
      </c>
      <c r="X90" s="46" t="s">
        <v>555</v>
      </c>
      <c r="Y90" s="46" t="s">
        <v>555</v>
      </c>
      <c r="Z90" s="46" t="s">
        <v>555</v>
      </c>
    </row>
    <row r="91" spans="1:26">
      <c r="A91" s="41">
        <f>preset_Names!A91</f>
        <v>87</v>
      </c>
      <c r="B91" t="str">
        <f t="shared" si="4"/>
        <v xml:space="preserve">strcpy(AMP1_A,("Not Used")); strcpy(AMP1_B,("Not Used")); strcpy(AMP1_C,("Not Used")); strcpy(AMP1_D,("Not Used")); </v>
      </c>
      <c r="C91" t="str">
        <f t="shared" si="5"/>
        <v xml:space="preserve">strcpy(AMP2_A,("Not Used")); strcpy(AMP2_B,("Not Used")); strcpy(AMP2_C,("Not Used")); strcpy(AMP2_D,("Not Used")); </v>
      </c>
      <c r="D91" s="31" t="s">
        <v>893</v>
      </c>
      <c r="E91" s="42" t="str">
        <f t="shared" si="3"/>
        <v>case 87: strcpy(AMP1_A,("Not Used")); strcpy(AMP1_B,("Not Used")); strcpy(AMP1_C,("Not Used")); strcpy(AMP1_D,("Not Used")); strcpy(AMP2_A,("Not Used")); strcpy(AMP2_B,("Not Used")); strcpy(AMP2_C,("Not Used")); strcpy(AMP2_D,("Not Used"));  break;</v>
      </c>
      <c r="F91" t="s">
        <v>893</v>
      </c>
      <c r="I91" t="s">
        <v>893</v>
      </c>
      <c r="J91" s="45" t="str">
        <f>VLOOKUP(S91,'AMP models AxeFxIII'!$D$2:$H$299,2,FALSE)</f>
        <v>Not Used</v>
      </c>
      <c r="K91" s="45" t="str">
        <f>VLOOKUP(T91,'AMP models AxeFxIII'!$D$2:$H$299,2,FALSE)</f>
        <v>Not Used</v>
      </c>
      <c r="L91" s="45" t="str">
        <f>VLOOKUP(U91,'AMP models AxeFxIII'!$D$2:$H$299,2,FALSE)</f>
        <v>Not Used</v>
      </c>
      <c r="M91" s="45" t="str">
        <f>VLOOKUP(V91,'AMP models AxeFxIII'!$D$2:$H$299,2,FALSE)</f>
        <v>Not Used</v>
      </c>
      <c r="N91" s="45" t="str">
        <f>VLOOKUP(W91,'AMP models AxeFxIII'!$D$2:$H$299,2,FALSE)</f>
        <v>Not Used</v>
      </c>
      <c r="O91" s="45" t="str">
        <f>VLOOKUP(X91,'AMP models AxeFxIII'!$D$2:$H$299,2,FALSE)</f>
        <v>Not Used</v>
      </c>
      <c r="P91" s="45" t="str">
        <f>VLOOKUP(Y91,'AMP models AxeFxIII'!$D$2:$H$299,2,FALSE)</f>
        <v>Not Used</v>
      </c>
      <c r="Q91" s="45" t="str">
        <f>VLOOKUP(Z91,'AMP models AxeFxIII'!$D$2:$H$299,2,FALSE)</f>
        <v>Not Used</v>
      </c>
      <c r="R91" s="4">
        <v>87</v>
      </c>
      <c r="S91" s="46" t="s">
        <v>555</v>
      </c>
      <c r="T91" s="46" t="s">
        <v>555</v>
      </c>
      <c r="U91" s="46" t="s">
        <v>555</v>
      </c>
      <c r="V91" s="46" t="s">
        <v>555</v>
      </c>
      <c r="W91" s="46" t="s">
        <v>555</v>
      </c>
      <c r="X91" s="46" t="s">
        <v>555</v>
      </c>
      <c r="Y91" s="46" t="s">
        <v>555</v>
      </c>
      <c r="Z91" s="46" t="s">
        <v>555</v>
      </c>
    </row>
    <row r="92" spans="1:26">
      <c r="A92" s="41">
        <f>preset_Names!A92</f>
        <v>88</v>
      </c>
      <c r="B92" t="str">
        <f t="shared" si="4"/>
        <v xml:space="preserve">strcpy(AMP1_A,("Not Used")); strcpy(AMP1_B,("Not Used")); strcpy(AMP1_C,("Not Used")); strcpy(AMP1_D,("Not Used")); </v>
      </c>
      <c r="C92" t="str">
        <f t="shared" si="5"/>
        <v xml:space="preserve">strcpy(AMP2_A,("Not Used")); strcpy(AMP2_B,("Not Used")); strcpy(AMP2_C,("Not Used")); strcpy(AMP2_D,("Not Used")); </v>
      </c>
      <c r="D92" s="31" t="s">
        <v>893</v>
      </c>
      <c r="E92" s="42" t="str">
        <f t="shared" si="3"/>
        <v>case 88: strcpy(AMP1_A,("Not Used")); strcpy(AMP1_B,("Not Used")); strcpy(AMP1_C,("Not Used")); strcpy(AMP1_D,("Not Used")); strcpy(AMP2_A,("Not Used")); strcpy(AMP2_B,("Not Used")); strcpy(AMP2_C,("Not Used")); strcpy(AMP2_D,("Not Used"));  break;</v>
      </c>
      <c r="F92" t="s">
        <v>893</v>
      </c>
      <c r="I92" t="s">
        <v>893</v>
      </c>
      <c r="J92" s="45" t="str">
        <f>VLOOKUP(S92,'AMP models AxeFxIII'!$D$2:$H$299,2,FALSE)</f>
        <v>Not Used</v>
      </c>
      <c r="K92" s="45" t="str">
        <f>VLOOKUP(T92,'AMP models AxeFxIII'!$D$2:$H$299,2,FALSE)</f>
        <v>Not Used</v>
      </c>
      <c r="L92" s="45" t="str">
        <f>VLOOKUP(U92,'AMP models AxeFxIII'!$D$2:$H$299,2,FALSE)</f>
        <v>Not Used</v>
      </c>
      <c r="M92" s="45" t="str">
        <f>VLOOKUP(V92,'AMP models AxeFxIII'!$D$2:$H$299,2,FALSE)</f>
        <v>Not Used</v>
      </c>
      <c r="N92" s="45" t="str">
        <f>VLOOKUP(W92,'AMP models AxeFxIII'!$D$2:$H$299,2,FALSE)</f>
        <v>Not Used</v>
      </c>
      <c r="O92" s="45" t="str">
        <f>VLOOKUP(X92,'AMP models AxeFxIII'!$D$2:$H$299,2,FALSE)</f>
        <v>Not Used</v>
      </c>
      <c r="P92" s="45" t="str">
        <f>VLOOKUP(Y92,'AMP models AxeFxIII'!$D$2:$H$299,2,FALSE)</f>
        <v>Not Used</v>
      </c>
      <c r="Q92" s="45" t="str">
        <f>VLOOKUP(Z92,'AMP models AxeFxIII'!$D$2:$H$299,2,FALSE)</f>
        <v>Not Used</v>
      </c>
      <c r="R92" s="4">
        <v>88</v>
      </c>
      <c r="S92" s="46" t="s">
        <v>555</v>
      </c>
      <c r="T92" s="46" t="s">
        <v>555</v>
      </c>
      <c r="U92" s="46" t="s">
        <v>555</v>
      </c>
      <c r="V92" s="46" t="s">
        <v>555</v>
      </c>
      <c r="W92" s="46" t="s">
        <v>555</v>
      </c>
      <c r="X92" s="46" t="s">
        <v>555</v>
      </c>
      <c r="Y92" s="46" t="s">
        <v>555</v>
      </c>
      <c r="Z92" s="46" t="s">
        <v>555</v>
      </c>
    </row>
    <row r="93" spans="1:26">
      <c r="A93" s="41">
        <f>preset_Names!A93</f>
        <v>89</v>
      </c>
      <c r="B93" t="str">
        <f t="shared" si="4"/>
        <v xml:space="preserve">strcpy(AMP1_A,("Not Used")); strcpy(AMP1_B,("Not Used")); strcpy(AMP1_C,("Not Used")); strcpy(AMP1_D,("Not Used")); </v>
      </c>
      <c r="C93" t="str">
        <f t="shared" si="5"/>
        <v xml:space="preserve">strcpy(AMP2_A,("Not Used")); strcpy(AMP2_B,("Not Used")); strcpy(AMP2_C,("Not Used")); strcpy(AMP2_D,("Not Used")); </v>
      </c>
      <c r="D93" s="31" t="s">
        <v>893</v>
      </c>
      <c r="E93" s="42" t="str">
        <f t="shared" si="3"/>
        <v>case 89: strcpy(AMP1_A,("Not Used")); strcpy(AMP1_B,("Not Used")); strcpy(AMP1_C,("Not Used")); strcpy(AMP1_D,("Not Used")); strcpy(AMP2_A,("Not Used")); strcpy(AMP2_B,("Not Used")); strcpy(AMP2_C,("Not Used")); strcpy(AMP2_D,("Not Used"));  break;</v>
      </c>
      <c r="F93" t="s">
        <v>893</v>
      </c>
      <c r="I93" t="s">
        <v>893</v>
      </c>
      <c r="J93" s="45" t="str">
        <f>VLOOKUP(S93,'AMP models AxeFxIII'!$D$2:$H$299,2,FALSE)</f>
        <v>Not Used</v>
      </c>
      <c r="K93" s="45" t="str">
        <f>VLOOKUP(T93,'AMP models AxeFxIII'!$D$2:$H$299,2,FALSE)</f>
        <v>Not Used</v>
      </c>
      <c r="L93" s="45" t="str">
        <f>VLOOKUP(U93,'AMP models AxeFxIII'!$D$2:$H$299,2,FALSE)</f>
        <v>Not Used</v>
      </c>
      <c r="M93" s="45" t="str">
        <f>VLOOKUP(V93,'AMP models AxeFxIII'!$D$2:$H$299,2,FALSE)</f>
        <v>Not Used</v>
      </c>
      <c r="N93" s="45" t="str">
        <f>VLOOKUP(W93,'AMP models AxeFxIII'!$D$2:$H$299,2,FALSE)</f>
        <v>Not Used</v>
      </c>
      <c r="O93" s="45" t="str">
        <f>VLOOKUP(X93,'AMP models AxeFxIII'!$D$2:$H$299,2,FALSE)</f>
        <v>Not Used</v>
      </c>
      <c r="P93" s="45" t="str">
        <f>VLOOKUP(Y93,'AMP models AxeFxIII'!$D$2:$H$299,2,FALSE)</f>
        <v>Not Used</v>
      </c>
      <c r="Q93" s="45" t="str">
        <f>VLOOKUP(Z93,'AMP models AxeFxIII'!$D$2:$H$299,2,FALSE)</f>
        <v>Not Used</v>
      </c>
      <c r="R93" s="4">
        <v>89</v>
      </c>
      <c r="S93" s="46" t="s">
        <v>555</v>
      </c>
      <c r="T93" s="46" t="s">
        <v>555</v>
      </c>
      <c r="U93" s="46" t="s">
        <v>555</v>
      </c>
      <c r="V93" s="46" t="s">
        <v>555</v>
      </c>
      <c r="W93" s="46" t="s">
        <v>555</v>
      </c>
      <c r="X93" s="46" t="s">
        <v>555</v>
      </c>
      <c r="Y93" s="46" t="s">
        <v>555</v>
      </c>
      <c r="Z93" s="46" t="s">
        <v>555</v>
      </c>
    </row>
    <row r="94" spans="1:26">
      <c r="A94" s="41">
        <f>preset_Names!A94</f>
        <v>90</v>
      </c>
      <c r="B94" t="str">
        <f t="shared" si="4"/>
        <v xml:space="preserve">strcpy(AMP1_A,("Not Used")); strcpy(AMP1_B,("Not Used")); strcpy(AMP1_C,("Not Used")); strcpy(AMP1_D,("Not Used")); </v>
      </c>
      <c r="C94" t="str">
        <f t="shared" si="5"/>
        <v xml:space="preserve">strcpy(AMP2_A,("Not Used")); strcpy(AMP2_B,("Not Used")); strcpy(AMP2_C,("Not Used")); strcpy(AMP2_D,("Not Used")); </v>
      </c>
      <c r="D94" s="31" t="s">
        <v>893</v>
      </c>
      <c r="E94" s="42" t="str">
        <f t="shared" si="3"/>
        <v>case 90: strcpy(AMP1_A,("Not Used")); strcpy(AMP1_B,("Not Used")); strcpy(AMP1_C,("Not Used")); strcpy(AMP1_D,("Not Used")); strcpy(AMP2_A,("Not Used")); strcpy(AMP2_B,("Not Used")); strcpy(AMP2_C,("Not Used")); strcpy(AMP2_D,("Not Used"));  break;</v>
      </c>
      <c r="F94" t="s">
        <v>893</v>
      </c>
      <c r="I94" t="s">
        <v>893</v>
      </c>
      <c r="J94" s="45" t="str">
        <f>VLOOKUP(S94,'AMP models AxeFxIII'!$D$2:$H$299,2,FALSE)</f>
        <v>Not Used</v>
      </c>
      <c r="K94" s="45" t="str">
        <f>VLOOKUP(T94,'AMP models AxeFxIII'!$D$2:$H$299,2,FALSE)</f>
        <v>Not Used</v>
      </c>
      <c r="L94" s="45" t="str">
        <f>VLOOKUP(U94,'AMP models AxeFxIII'!$D$2:$H$299,2,FALSE)</f>
        <v>Not Used</v>
      </c>
      <c r="M94" s="45" t="str">
        <f>VLOOKUP(V94,'AMP models AxeFxIII'!$D$2:$H$299,2,FALSE)</f>
        <v>Not Used</v>
      </c>
      <c r="N94" s="45" t="str">
        <f>VLOOKUP(W94,'AMP models AxeFxIII'!$D$2:$H$299,2,FALSE)</f>
        <v>Not Used</v>
      </c>
      <c r="O94" s="45" t="str">
        <f>VLOOKUP(X94,'AMP models AxeFxIII'!$D$2:$H$299,2,FALSE)</f>
        <v>Not Used</v>
      </c>
      <c r="P94" s="45" t="str">
        <f>VLOOKUP(Y94,'AMP models AxeFxIII'!$D$2:$H$299,2,FALSE)</f>
        <v>Not Used</v>
      </c>
      <c r="Q94" s="45" t="str">
        <f>VLOOKUP(Z94,'AMP models AxeFxIII'!$D$2:$H$299,2,FALSE)</f>
        <v>Not Used</v>
      </c>
      <c r="R94" s="4">
        <v>90</v>
      </c>
      <c r="S94" s="46" t="s">
        <v>555</v>
      </c>
      <c r="T94" s="46" t="s">
        <v>555</v>
      </c>
      <c r="U94" s="46" t="s">
        <v>555</v>
      </c>
      <c r="V94" s="46" t="s">
        <v>555</v>
      </c>
      <c r="W94" s="46" t="s">
        <v>555</v>
      </c>
      <c r="X94" s="46" t="s">
        <v>555</v>
      </c>
      <c r="Y94" s="46" t="s">
        <v>555</v>
      </c>
      <c r="Z94" s="46" t="s">
        <v>555</v>
      </c>
    </row>
    <row r="95" spans="1:26">
      <c r="A95" s="41">
        <f>preset_Names!A95</f>
        <v>91</v>
      </c>
      <c r="B95" t="str">
        <f t="shared" si="4"/>
        <v xml:space="preserve">strcpy(AMP1_A,("Not Used")); strcpy(AMP1_B,("Not Used")); strcpy(AMP1_C,("Not Used")); strcpy(AMP1_D,("Not Used")); </v>
      </c>
      <c r="C95" t="str">
        <f t="shared" si="5"/>
        <v xml:space="preserve">strcpy(AMP2_A,("Not Used")); strcpy(AMP2_B,("Not Used")); strcpy(AMP2_C,("Not Used")); strcpy(AMP2_D,("Not Used")); </v>
      </c>
      <c r="D95" s="31" t="s">
        <v>893</v>
      </c>
      <c r="E95" s="42" t="str">
        <f t="shared" si="3"/>
        <v>case 91: strcpy(AMP1_A,("Not Used")); strcpy(AMP1_B,("Not Used")); strcpy(AMP1_C,("Not Used")); strcpy(AMP1_D,("Not Used")); strcpy(AMP2_A,("Not Used")); strcpy(AMP2_B,("Not Used")); strcpy(AMP2_C,("Not Used")); strcpy(AMP2_D,("Not Used"));  break;</v>
      </c>
      <c r="F95" t="s">
        <v>893</v>
      </c>
      <c r="I95" t="s">
        <v>893</v>
      </c>
      <c r="J95" s="45" t="str">
        <f>VLOOKUP(S95,'AMP models AxeFxIII'!$D$2:$H$299,2,FALSE)</f>
        <v>Not Used</v>
      </c>
      <c r="K95" s="45" t="str">
        <f>VLOOKUP(T95,'AMP models AxeFxIII'!$D$2:$H$299,2,FALSE)</f>
        <v>Not Used</v>
      </c>
      <c r="L95" s="45" t="str">
        <f>VLOOKUP(U95,'AMP models AxeFxIII'!$D$2:$H$299,2,FALSE)</f>
        <v>Not Used</v>
      </c>
      <c r="M95" s="45" t="str">
        <f>VLOOKUP(V95,'AMP models AxeFxIII'!$D$2:$H$299,2,FALSE)</f>
        <v>Not Used</v>
      </c>
      <c r="N95" s="45" t="str">
        <f>VLOOKUP(W95,'AMP models AxeFxIII'!$D$2:$H$299,2,FALSE)</f>
        <v>Not Used</v>
      </c>
      <c r="O95" s="45" t="str">
        <f>VLOOKUP(X95,'AMP models AxeFxIII'!$D$2:$H$299,2,FALSE)</f>
        <v>Not Used</v>
      </c>
      <c r="P95" s="45" t="str">
        <f>VLOOKUP(Y95,'AMP models AxeFxIII'!$D$2:$H$299,2,FALSE)</f>
        <v>Not Used</v>
      </c>
      <c r="Q95" s="45" t="str">
        <f>VLOOKUP(Z95,'AMP models AxeFxIII'!$D$2:$H$299,2,FALSE)</f>
        <v>Not Used</v>
      </c>
      <c r="R95" s="4">
        <v>91</v>
      </c>
      <c r="S95" s="46" t="s">
        <v>555</v>
      </c>
      <c r="T95" s="46" t="s">
        <v>555</v>
      </c>
      <c r="U95" s="46" t="s">
        <v>555</v>
      </c>
      <c r="V95" s="46" t="s">
        <v>555</v>
      </c>
      <c r="W95" s="46" t="s">
        <v>555</v>
      </c>
      <c r="X95" s="46" t="s">
        <v>555</v>
      </c>
      <c r="Y95" s="46" t="s">
        <v>555</v>
      </c>
      <c r="Z95" s="46" t="s">
        <v>555</v>
      </c>
    </row>
    <row r="96" spans="1:26">
      <c r="A96" s="41">
        <f>preset_Names!A96</f>
        <v>92</v>
      </c>
      <c r="B96" t="str">
        <f t="shared" si="4"/>
        <v xml:space="preserve">strcpy(AMP1_A,("Not Used")); strcpy(AMP1_B,("Not Used")); strcpy(AMP1_C,("Not Used")); strcpy(AMP1_D,("Not Used")); </v>
      </c>
      <c r="C96" t="str">
        <f t="shared" si="5"/>
        <v xml:space="preserve">strcpy(AMP2_A,("Not Used")); strcpy(AMP2_B,("Not Used")); strcpy(AMP2_C,("Not Used")); strcpy(AMP2_D,("Not Used")); </v>
      </c>
      <c r="D96" s="31" t="s">
        <v>893</v>
      </c>
      <c r="E96" s="42" t="str">
        <f t="shared" si="3"/>
        <v>case 92: strcpy(AMP1_A,("Not Used")); strcpy(AMP1_B,("Not Used")); strcpy(AMP1_C,("Not Used")); strcpy(AMP1_D,("Not Used")); strcpy(AMP2_A,("Not Used")); strcpy(AMP2_B,("Not Used")); strcpy(AMP2_C,("Not Used")); strcpy(AMP2_D,("Not Used"));  break;</v>
      </c>
      <c r="F96" t="s">
        <v>893</v>
      </c>
      <c r="I96" t="s">
        <v>893</v>
      </c>
      <c r="J96" s="45" t="str">
        <f>VLOOKUP(S96,'AMP models AxeFxIII'!$D$2:$H$299,2,FALSE)</f>
        <v>Not Used</v>
      </c>
      <c r="K96" s="45" t="str">
        <f>VLOOKUP(T96,'AMP models AxeFxIII'!$D$2:$H$299,2,FALSE)</f>
        <v>Not Used</v>
      </c>
      <c r="L96" s="45" t="str">
        <f>VLOOKUP(U96,'AMP models AxeFxIII'!$D$2:$H$299,2,FALSE)</f>
        <v>Not Used</v>
      </c>
      <c r="M96" s="45" t="str">
        <f>VLOOKUP(V96,'AMP models AxeFxIII'!$D$2:$H$299,2,FALSE)</f>
        <v>Not Used</v>
      </c>
      <c r="N96" s="45" t="str">
        <f>VLOOKUP(W96,'AMP models AxeFxIII'!$D$2:$H$299,2,FALSE)</f>
        <v>Not Used</v>
      </c>
      <c r="O96" s="45" t="str">
        <f>VLOOKUP(X96,'AMP models AxeFxIII'!$D$2:$H$299,2,FALSE)</f>
        <v>Not Used</v>
      </c>
      <c r="P96" s="45" t="str">
        <f>VLOOKUP(Y96,'AMP models AxeFxIII'!$D$2:$H$299,2,FALSE)</f>
        <v>Not Used</v>
      </c>
      <c r="Q96" s="45" t="str">
        <f>VLOOKUP(Z96,'AMP models AxeFxIII'!$D$2:$H$299,2,FALSE)</f>
        <v>Not Used</v>
      </c>
      <c r="R96" s="4">
        <v>92</v>
      </c>
      <c r="S96" s="46" t="s">
        <v>555</v>
      </c>
      <c r="T96" s="46" t="s">
        <v>555</v>
      </c>
      <c r="U96" s="46" t="s">
        <v>555</v>
      </c>
      <c r="V96" s="46" t="s">
        <v>555</v>
      </c>
      <c r="W96" s="46" t="s">
        <v>555</v>
      </c>
      <c r="X96" s="46" t="s">
        <v>555</v>
      </c>
      <c r="Y96" s="46" t="s">
        <v>555</v>
      </c>
      <c r="Z96" s="46" t="s">
        <v>555</v>
      </c>
    </row>
    <row r="97" spans="1:26">
      <c r="A97" s="41">
        <f>preset_Names!A97</f>
        <v>93</v>
      </c>
      <c r="B97" t="str">
        <f t="shared" si="4"/>
        <v xml:space="preserve">strcpy(AMP1_A,("Not Used")); strcpy(AMP1_B,("Not Used")); strcpy(AMP1_C,("Not Used")); strcpy(AMP1_D,("Not Used")); </v>
      </c>
      <c r="C97" t="str">
        <f t="shared" si="5"/>
        <v xml:space="preserve">strcpy(AMP2_A,("Not Used")); strcpy(AMP2_B,("Not Used")); strcpy(AMP2_C,("Not Used")); strcpy(AMP2_D,("Not Used")); </v>
      </c>
      <c r="D97" s="31" t="s">
        <v>893</v>
      </c>
      <c r="E97" s="42" t="str">
        <f t="shared" si="3"/>
        <v>case 93: strcpy(AMP1_A,("Not Used")); strcpy(AMP1_B,("Not Used")); strcpy(AMP1_C,("Not Used")); strcpy(AMP1_D,("Not Used")); strcpy(AMP2_A,("Not Used")); strcpy(AMP2_B,("Not Used")); strcpy(AMP2_C,("Not Used")); strcpy(AMP2_D,("Not Used"));  break;</v>
      </c>
      <c r="F97" t="s">
        <v>893</v>
      </c>
      <c r="I97" t="s">
        <v>893</v>
      </c>
      <c r="J97" s="45" t="str">
        <f>VLOOKUP(S97,'AMP models AxeFxIII'!$D$2:$H$299,2,FALSE)</f>
        <v>Not Used</v>
      </c>
      <c r="K97" s="45" t="str">
        <f>VLOOKUP(T97,'AMP models AxeFxIII'!$D$2:$H$299,2,FALSE)</f>
        <v>Not Used</v>
      </c>
      <c r="L97" s="45" t="str">
        <f>VLOOKUP(U97,'AMP models AxeFxIII'!$D$2:$H$299,2,FALSE)</f>
        <v>Not Used</v>
      </c>
      <c r="M97" s="45" t="str">
        <f>VLOOKUP(V97,'AMP models AxeFxIII'!$D$2:$H$299,2,FALSE)</f>
        <v>Not Used</v>
      </c>
      <c r="N97" s="45" t="str">
        <f>VLOOKUP(W97,'AMP models AxeFxIII'!$D$2:$H$299,2,FALSE)</f>
        <v>Not Used</v>
      </c>
      <c r="O97" s="45" t="str">
        <f>VLOOKUP(X97,'AMP models AxeFxIII'!$D$2:$H$299,2,FALSE)</f>
        <v>Not Used</v>
      </c>
      <c r="P97" s="45" t="str">
        <f>VLOOKUP(Y97,'AMP models AxeFxIII'!$D$2:$H$299,2,FALSE)</f>
        <v>Not Used</v>
      </c>
      <c r="Q97" s="45" t="str">
        <f>VLOOKUP(Z97,'AMP models AxeFxIII'!$D$2:$H$299,2,FALSE)</f>
        <v>Not Used</v>
      </c>
      <c r="R97" s="4">
        <v>93</v>
      </c>
      <c r="S97" s="46" t="s">
        <v>555</v>
      </c>
      <c r="T97" s="46" t="s">
        <v>555</v>
      </c>
      <c r="U97" s="46" t="s">
        <v>555</v>
      </c>
      <c r="V97" s="46" t="s">
        <v>555</v>
      </c>
      <c r="W97" s="46" t="s">
        <v>555</v>
      </c>
      <c r="X97" s="46" t="s">
        <v>555</v>
      </c>
      <c r="Y97" s="46" t="s">
        <v>555</v>
      </c>
      <c r="Z97" s="46" t="s">
        <v>555</v>
      </c>
    </row>
    <row r="98" spans="1:26">
      <c r="A98" s="41">
        <f>preset_Names!A98</f>
        <v>94</v>
      </c>
      <c r="B98" t="str">
        <f t="shared" si="4"/>
        <v xml:space="preserve">strcpy(AMP1_A,("Not Used")); strcpy(AMP1_B,("Not Used")); strcpy(AMP1_C,("Not Used")); strcpy(AMP1_D,("Not Used")); </v>
      </c>
      <c r="C98" t="str">
        <f t="shared" si="5"/>
        <v xml:space="preserve">strcpy(AMP2_A,("Not Used")); strcpy(AMP2_B,("Not Used")); strcpy(AMP2_C,("Not Used")); strcpy(AMP2_D,("Not Used")); </v>
      </c>
      <c r="D98" s="31" t="s">
        <v>893</v>
      </c>
      <c r="E98" s="42" t="str">
        <f t="shared" si="3"/>
        <v>case 94: strcpy(AMP1_A,("Not Used")); strcpy(AMP1_B,("Not Used")); strcpy(AMP1_C,("Not Used")); strcpy(AMP1_D,("Not Used")); strcpy(AMP2_A,("Not Used")); strcpy(AMP2_B,("Not Used")); strcpy(AMP2_C,("Not Used")); strcpy(AMP2_D,("Not Used"));  break;</v>
      </c>
      <c r="F98" t="s">
        <v>893</v>
      </c>
      <c r="I98" t="s">
        <v>893</v>
      </c>
      <c r="J98" s="45" t="str">
        <f>VLOOKUP(S98,'AMP models AxeFxIII'!$D$2:$H$299,2,FALSE)</f>
        <v>Not Used</v>
      </c>
      <c r="K98" s="45" t="str">
        <f>VLOOKUP(T98,'AMP models AxeFxIII'!$D$2:$H$299,2,FALSE)</f>
        <v>Not Used</v>
      </c>
      <c r="L98" s="45" t="str">
        <f>VLOOKUP(U98,'AMP models AxeFxIII'!$D$2:$H$299,2,FALSE)</f>
        <v>Not Used</v>
      </c>
      <c r="M98" s="45" t="str">
        <f>VLOOKUP(V98,'AMP models AxeFxIII'!$D$2:$H$299,2,FALSE)</f>
        <v>Not Used</v>
      </c>
      <c r="N98" s="45" t="str">
        <f>VLOOKUP(W98,'AMP models AxeFxIII'!$D$2:$H$299,2,FALSE)</f>
        <v>Not Used</v>
      </c>
      <c r="O98" s="45" t="str">
        <f>VLOOKUP(X98,'AMP models AxeFxIII'!$D$2:$H$299,2,FALSE)</f>
        <v>Not Used</v>
      </c>
      <c r="P98" s="45" t="str">
        <f>VLOOKUP(Y98,'AMP models AxeFxIII'!$D$2:$H$299,2,FALSE)</f>
        <v>Not Used</v>
      </c>
      <c r="Q98" s="45" t="str">
        <f>VLOOKUP(Z98,'AMP models AxeFxIII'!$D$2:$H$299,2,FALSE)</f>
        <v>Not Used</v>
      </c>
      <c r="R98" s="4">
        <v>94</v>
      </c>
      <c r="S98" s="46" t="s">
        <v>555</v>
      </c>
      <c r="T98" s="46" t="s">
        <v>555</v>
      </c>
      <c r="U98" s="46" t="s">
        <v>555</v>
      </c>
      <c r="V98" s="46" t="s">
        <v>555</v>
      </c>
      <c r="W98" s="46" t="s">
        <v>555</v>
      </c>
      <c r="X98" s="46" t="s">
        <v>555</v>
      </c>
      <c r="Y98" s="46" t="s">
        <v>555</v>
      </c>
      <c r="Z98" s="46" t="s">
        <v>555</v>
      </c>
    </row>
    <row r="99" spans="1:26">
      <c r="A99" s="41">
        <f>preset_Names!A99</f>
        <v>95</v>
      </c>
      <c r="B99" t="str">
        <f t="shared" si="4"/>
        <v xml:space="preserve">strcpy(AMP1_A,("Not Used")); strcpy(AMP1_B,("Not Used")); strcpy(AMP1_C,("Not Used")); strcpy(AMP1_D,("Not Used")); </v>
      </c>
      <c r="C99" t="str">
        <f t="shared" si="5"/>
        <v xml:space="preserve">strcpy(AMP2_A,("Not Used")); strcpy(AMP2_B,("Not Used")); strcpy(AMP2_C,("Not Used")); strcpy(AMP2_D,("Not Used")); </v>
      </c>
      <c r="D99" s="31" t="s">
        <v>893</v>
      </c>
      <c r="E99" s="42" t="str">
        <f t="shared" si="3"/>
        <v>case 95: strcpy(AMP1_A,("Not Used")); strcpy(AMP1_B,("Not Used")); strcpy(AMP1_C,("Not Used")); strcpy(AMP1_D,("Not Used")); strcpy(AMP2_A,("Not Used")); strcpy(AMP2_B,("Not Used")); strcpy(AMP2_C,("Not Used")); strcpy(AMP2_D,("Not Used"));  break;</v>
      </c>
      <c r="F99" t="s">
        <v>893</v>
      </c>
      <c r="I99" t="s">
        <v>893</v>
      </c>
      <c r="J99" s="45" t="str">
        <f>VLOOKUP(S99,'AMP models AxeFxIII'!$D$2:$H$299,2,FALSE)</f>
        <v>Not Used</v>
      </c>
      <c r="K99" s="45" t="str">
        <f>VLOOKUP(T99,'AMP models AxeFxIII'!$D$2:$H$299,2,FALSE)</f>
        <v>Not Used</v>
      </c>
      <c r="L99" s="45" t="str">
        <f>VLOOKUP(U99,'AMP models AxeFxIII'!$D$2:$H$299,2,FALSE)</f>
        <v>Not Used</v>
      </c>
      <c r="M99" s="45" t="str">
        <f>VLOOKUP(V99,'AMP models AxeFxIII'!$D$2:$H$299,2,FALSE)</f>
        <v>Not Used</v>
      </c>
      <c r="N99" s="45" t="str">
        <f>VLOOKUP(W99,'AMP models AxeFxIII'!$D$2:$H$299,2,FALSE)</f>
        <v>Not Used</v>
      </c>
      <c r="O99" s="45" t="str">
        <f>VLOOKUP(X99,'AMP models AxeFxIII'!$D$2:$H$299,2,FALSE)</f>
        <v>Not Used</v>
      </c>
      <c r="P99" s="45" t="str">
        <f>VLOOKUP(Y99,'AMP models AxeFxIII'!$D$2:$H$299,2,FALSE)</f>
        <v>Not Used</v>
      </c>
      <c r="Q99" s="45" t="str">
        <f>VLOOKUP(Z99,'AMP models AxeFxIII'!$D$2:$H$299,2,FALSE)</f>
        <v>Not Used</v>
      </c>
      <c r="R99" s="4">
        <v>95</v>
      </c>
      <c r="S99" s="46" t="s">
        <v>555</v>
      </c>
      <c r="T99" s="46" t="s">
        <v>555</v>
      </c>
      <c r="U99" s="46" t="s">
        <v>555</v>
      </c>
      <c r="V99" s="46" t="s">
        <v>555</v>
      </c>
      <c r="W99" s="46" t="s">
        <v>555</v>
      </c>
      <c r="X99" s="46" t="s">
        <v>555</v>
      </c>
      <c r="Y99" s="46" t="s">
        <v>555</v>
      </c>
      <c r="Z99" s="46" t="s">
        <v>555</v>
      </c>
    </row>
    <row r="100" spans="1:26">
      <c r="A100" s="41">
        <f>preset_Names!A100</f>
        <v>96</v>
      </c>
      <c r="B100" t="str">
        <f t="shared" si="4"/>
        <v xml:space="preserve">strcpy(AMP1_A,("Not Used")); strcpy(AMP1_B,("Not Used")); strcpy(AMP1_C,("Not Used")); strcpy(AMP1_D,("Not Used")); </v>
      </c>
      <c r="C100" t="str">
        <f t="shared" si="5"/>
        <v xml:space="preserve">strcpy(AMP2_A,("Not Used")); strcpy(AMP2_B,("Not Used")); strcpy(AMP2_C,("Not Used")); strcpy(AMP2_D,("Not Used")); </v>
      </c>
      <c r="D100" s="31" t="s">
        <v>893</v>
      </c>
      <c r="E100" s="42" t="str">
        <f t="shared" si="3"/>
        <v>case 96: strcpy(AMP1_A,("Not Used")); strcpy(AMP1_B,("Not Used")); strcpy(AMP1_C,("Not Used")); strcpy(AMP1_D,("Not Used")); strcpy(AMP2_A,("Not Used")); strcpy(AMP2_B,("Not Used")); strcpy(AMP2_C,("Not Used")); strcpy(AMP2_D,("Not Used"));  break;</v>
      </c>
      <c r="F100" t="s">
        <v>893</v>
      </c>
      <c r="I100" t="s">
        <v>893</v>
      </c>
      <c r="J100" s="45" t="str">
        <f>VLOOKUP(S100,'AMP models AxeFxIII'!$D$2:$H$299,2,FALSE)</f>
        <v>Not Used</v>
      </c>
      <c r="K100" s="45" t="str">
        <f>VLOOKUP(T100,'AMP models AxeFxIII'!$D$2:$H$299,2,FALSE)</f>
        <v>Not Used</v>
      </c>
      <c r="L100" s="45" t="str">
        <f>VLOOKUP(U100,'AMP models AxeFxIII'!$D$2:$H$299,2,FALSE)</f>
        <v>Not Used</v>
      </c>
      <c r="M100" s="45" t="str">
        <f>VLOOKUP(V100,'AMP models AxeFxIII'!$D$2:$H$299,2,FALSE)</f>
        <v>Not Used</v>
      </c>
      <c r="N100" s="45" t="str">
        <f>VLOOKUP(W100,'AMP models AxeFxIII'!$D$2:$H$299,2,FALSE)</f>
        <v>Not Used</v>
      </c>
      <c r="O100" s="45" t="str">
        <f>VLOOKUP(X100,'AMP models AxeFxIII'!$D$2:$H$299,2,FALSE)</f>
        <v>Not Used</v>
      </c>
      <c r="P100" s="45" t="str">
        <f>VLOOKUP(Y100,'AMP models AxeFxIII'!$D$2:$H$299,2,FALSE)</f>
        <v>Not Used</v>
      </c>
      <c r="Q100" s="45" t="str">
        <f>VLOOKUP(Z100,'AMP models AxeFxIII'!$D$2:$H$299,2,FALSE)</f>
        <v>Not Used</v>
      </c>
      <c r="R100" s="4">
        <v>96</v>
      </c>
      <c r="S100" s="46" t="s">
        <v>555</v>
      </c>
      <c r="T100" s="46" t="s">
        <v>555</v>
      </c>
      <c r="U100" s="46" t="s">
        <v>555</v>
      </c>
      <c r="V100" s="46" t="s">
        <v>555</v>
      </c>
      <c r="W100" s="46" t="s">
        <v>555</v>
      </c>
      <c r="X100" s="46" t="s">
        <v>555</v>
      </c>
      <c r="Y100" s="46" t="s">
        <v>555</v>
      </c>
      <c r="Z100" s="46" t="s">
        <v>555</v>
      </c>
    </row>
    <row r="101" spans="1:26">
      <c r="A101" s="41">
        <f>preset_Names!A101</f>
        <v>97</v>
      </c>
      <c r="B101" t="str">
        <f t="shared" si="4"/>
        <v xml:space="preserve">strcpy(AMP1_A,("Not Used")); strcpy(AMP1_B,("Not Used")); strcpy(AMP1_C,("Not Used")); strcpy(AMP1_D,("Not Used")); </v>
      </c>
      <c r="C101" t="str">
        <f t="shared" si="5"/>
        <v xml:space="preserve">strcpy(AMP2_A,("Not Used")); strcpy(AMP2_B,("Not Used")); strcpy(AMP2_C,("Not Used")); strcpy(AMP2_D,("Not Used")); </v>
      </c>
      <c r="D101" s="31" t="s">
        <v>893</v>
      </c>
      <c r="E101" s="42" t="str">
        <f t="shared" si="3"/>
        <v>case 97: strcpy(AMP1_A,("Not Used")); strcpy(AMP1_B,("Not Used")); strcpy(AMP1_C,("Not Used")); strcpy(AMP1_D,("Not Used")); strcpy(AMP2_A,("Not Used")); strcpy(AMP2_B,("Not Used")); strcpy(AMP2_C,("Not Used")); strcpy(AMP2_D,("Not Used"));  break;</v>
      </c>
      <c r="F101" t="s">
        <v>893</v>
      </c>
      <c r="I101" t="s">
        <v>893</v>
      </c>
      <c r="J101" s="45" t="str">
        <f>VLOOKUP(S101,'AMP models AxeFxIII'!$D$2:$H$299,2,FALSE)</f>
        <v>Not Used</v>
      </c>
      <c r="K101" s="45" t="str">
        <f>VLOOKUP(T101,'AMP models AxeFxIII'!$D$2:$H$299,2,FALSE)</f>
        <v>Not Used</v>
      </c>
      <c r="L101" s="45" t="str">
        <f>VLOOKUP(U101,'AMP models AxeFxIII'!$D$2:$H$299,2,FALSE)</f>
        <v>Not Used</v>
      </c>
      <c r="M101" s="45" t="str">
        <f>VLOOKUP(V101,'AMP models AxeFxIII'!$D$2:$H$299,2,FALSE)</f>
        <v>Not Used</v>
      </c>
      <c r="N101" s="45" t="str">
        <f>VLOOKUP(W101,'AMP models AxeFxIII'!$D$2:$H$299,2,FALSE)</f>
        <v>Not Used</v>
      </c>
      <c r="O101" s="45" t="str">
        <f>VLOOKUP(X101,'AMP models AxeFxIII'!$D$2:$H$299,2,FALSE)</f>
        <v>Not Used</v>
      </c>
      <c r="P101" s="45" t="str">
        <f>VLOOKUP(Y101,'AMP models AxeFxIII'!$D$2:$H$299,2,FALSE)</f>
        <v>Not Used</v>
      </c>
      <c r="Q101" s="45" t="str">
        <f>VLOOKUP(Z101,'AMP models AxeFxIII'!$D$2:$H$299,2,FALSE)</f>
        <v>Not Used</v>
      </c>
      <c r="R101" s="4">
        <v>97</v>
      </c>
      <c r="S101" s="46" t="s">
        <v>555</v>
      </c>
      <c r="T101" s="46" t="s">
        <v>555</v>
      </c>
      <c r="U101" s="46" t="s">
        <v>555</v>
      </c>
      <c r="V101" s="46" t="s">
        <v>555</v>
      </c>
      <c r="W101" s="46" t="s">
        <v>555</v>
      </c>
      <c r="X101" s="46" t="s">
        <v>555</v>
      </c>
      <c r="Y101" s="46" t="s">
        <v>555</v>
      </c>
      <c r="Z101" s="46" t="s">
        <v>555</v>
      </c>
    </row>
    <row r="102" spans="1:26">
      <c r="A102" s="41">
        <f>preset_Names!A102</f>
        <v>98</v>
      </c>
      <c r="B102" t="str">
        <f t="shared" si="4"/>
        <v xml:space="preserve">strcpy(AMP1_A,("Not Used")); strcpy(AMP1_B,("Not Used")); strcpy(AMP1_C,("Not Used")); strcpy(AMP1_D,("Not Used")); </v>
      </c>
      <c r="C102" t="str">
        <f t="shared" si="5"/>
        <v xml:space="preserve">strcpy(AMP2_A,("Not Used")); strcpy(AMP2_B,("Not Used")); strcpy(AMP2_C,("Not Used")); strcpy(AMP2_D,("Not Used")); </v>
      </c>
      <c r="D102" s="31" t="s">
        <v>893</v>
      </c>
      <c r="E102" s="42" t="str">
        <f t="shared" si="3"/>
        <v>case 98: strcpy(AMP1_A,("Not Used")); strcpy(AMP1_B,("Not Used")); strcpy(AMP1_C,("Not Used")); strcpy(AMP1_D,("Not Used")); strcpy(AMP2_A,("Not Used")); strcpy(AMP2_B,("Not Used")); strcpy(AMP2_C,("Not Used")); strcpy(AMP2_D,("Not Used"));  break;</v>
      </c>
      <c r="F102" t="s">
        <v>893</v>
      </c>
      <c r="I102" t="s">
        <v>893</v>
      </c>
      <c r="J102" s="45" t="str">
        <f>VLOOKUP(S102,'AMP models AxeFxIII'!$D$2:$H$299,2,FALSE)</f>
        <v>Not Used</v>
      </c>
      <c r="K102" s="45" t="str">
        <f>VLOOKUP(T102,'AMP models AxeFxIII'!$D$2:$H$299,2,FALSE)</f>
        <v>Not Used</v>
      </c>
      <c r="L102" s="45" t="str">
        <f>VLOOKUP(U102,'AMP models AxeFxIII'!$D$2:$H$299,2,FALSE)</f>
        <v>Not Used</v>
      </c>
      <c r="M102" s="45" t="str">
        <f>VLOOKUP(V102,'AMP models AxeFxIII'!$D$2:$H$299,2,FALSE)</f>
        <v>Not Used</v>
      </c>
      <c r="N102" s="45" t="str">
        <f>VLOOKUP(W102,'AMP models AxeFxIII'!$D$2:$H$299,2,FALSE)</f>
        <v>Not Used</v>
      </c>
      <c r="O102" s="45" t="str">
        <f>VLOOKUP(X102,'AMP models AxeFxIII'!$D$2:$H$299,2,FALSE)</f>
        <v>Not Used</v>
      </c>
      <c r="P102" s="45" t="str">
        <f>VLOOKUP(Y102,'AMP models AxeFxIII'!$D$2:$H$299,2,FALSE)</f>
        <v>Not Used</v>
      </c>
      <c r="Q102" s="45" t="str">
        <f>VLOOKUP(Z102,'AMP models AxeFxIII'!$D$2:$H$299,2,FALSE)</f>
        <v>Not Used</v>
      </c>
      <c r="R102" s="4">
        <v>98</v>
      </c>
      <c r="S102" s="46" t="s">
        <v>555</v>
      </c>
      <c r="T102" s="46" t="s">
        <v>555</v>
      </c>
      <c r="U102" s="46" t="s">
        <v>555</v>
      </c>
      <c r="V102" s="46" t="s">
        <v>555</v>
      </c>
      <c r="W102" s="46" t="s">
        <v>555</v>
      </c>
      <c r="X102" s="46" t="s">
        <v>555</v>
      </c>
      <c r="Y102" s="46" t="s">
        <v>555</v>
      </c>
      <c r="Z102" s="46" t="s">
        <v>555</v>
      </c>
    </row>
    <row r="103" spans="1:26">
      <c r="A103" s="41">
        <f>preset_Names!A103</f>
        <v>99</v>
      </c>
      <c r="B103" t="str">
        <f t="shared" si="4"/>
        <v xml:space="preserve">strcpy(AMP1_A,("Not Used")); strcpy(AMP1_B,("Not Used")); strcpy(AMP1_C,("Not Used")); strcpy(AMP1_D,("Not Used")); </v>
      </c>
      <c r="C103" t="str">
        <f t="shared" si="5"/>
        <v xml:space="preserve">strcpy(AMP2_A,("Not Used")); strcpy(AMP2_B,("Not Used")); strcpy(AMP2_C,("Not Used")); strcpy(AMP2_D,("Not Used")); </v>
      </c>
      <c r="D103" s="31" t="s">
        <v>893</v>
      </c>
      <c r="E103" s="42" t="str">
        <f t="shared" si="3"/>
        <v>case 99: strcpy(AMP1_A,("Not Used")); strcpy(AMP1_B,("Not Used")); strcpy(AMP1_C,("Not Used")); strcpy(AMP1_D,("Not Used")); strcpy(AMP2_A,("Not Used")); strcpy(AMP2_B,("Not Used")); strcpy(AMP2_C,("Not Used")); strcpy(AMP2_D,("Not Used"));  break;</v>
      </c>
      <c r="F103" t="s">
        <v>893</v>
      </c>
      <c r="I103" t="s">
        <v>893</v>
      </c>
      <c r="J103" s="45" t="str">
        <f>VLOOKUP(S103,'AMP models AxeFxIII'!$D$2:$H$299,2,FALSE)</f>
        <v>Not Used</v>
      </c>
      <c r="K103" s="45" t="str">
        <f>VLOOKUP(T103,'AMP models AxeFxIII'!$D$2:$H$299,2,FALSE)</f>
        <v>Not Used</v>
      </c>
      <c r="L103" s="45" t="str">
        <f>VLOOKUP(U103,'AMP models AxeFxIII'!$D$2:$H$299,2,FALSE)</f>
        <v>Not Used</v>
      </c>
      <c r="M103" s="45" t="str">
        <f>VLOOKUP(V103,'AMP models AxeFxIII'!$D$2:$H$299,2,FALSE)</f>
        <v>Not Used</v>
      </c>
      <c r="N103" s="45" t="str">
        <f>VLOOKUP(W103,'AMP models AxeFxIII'!$D$2:$H$299,2,FALSE)</f>
        <v>Not Used</v>
      </c>
      <c r="O103" s="45" t="str">
        <f>VLOOKUP(X103,'AMP models AxeFxIII'!$D$2:$H$299,2,FALSE)</f>
        <v>Not Used</v>
      </c>
      <c r="P103" s="45" t="str">
        <f>VLOOKUP(Y103,'AMP models AxeFxIII'!$D$2:$H$299,2,FALSE)</f>
        <v>Not Used</v>
      </c>
      <c r="Q103" s="45" t="str">
        <f>VLOOKUP(Z103,'AMP models AxeFxIII'!$D$2:$H$299,2,FALSE)</f>
        <v>Not Used</v>
      </c>
      <c r="R103" s="4">
        <v>99</v>
      </c>
      <c r="S103" s="46" t="s">
        <v>555</v>
      </c>
      <c r="T103" s="46" t="s">
        <v>555</v>
      </c>
      <c r="U103" s="46" t="s">
        <v>555</v>
      </c>
      <c r="V103" s="46" t="s">
        <v>555</v>
      </c>
      <c r="W103" s="46" t="s">
        <v>555</v>
      </c>
      <c r="X103" s="46" t="s">
        <v>555</v>
      </c>
      <c r="Y103" s="46" t="s">
        <v>555</v>
      </c>
      <c r="Z103" s="46" t="s">
        <v>555</v>
      </c>
    </row>
    <row r="104" spans="1:26">
      <c r="A104" s="41">
        <f>preset_Names!A104</f>
        <v>100</v>
      </c>
      <c r="B104" t="str">
        <f t="shared" si="4"/>
        <v xml:space="preserve">strcpy(AMP1_A,("Not Used")); strcpy(AMP1_B,("Not Used")); strcpy(AMP1_C,("Not Used")); strcpy(AMP1_D,("Not Used")); </v>
      </c>
      <c r="C104" t="str">
        <f t="shared" si="5"/>
        <v xml:space="preserve">strcpy(AMP2_A,("Not Used")); strcpy(AMP2_B,("Not Used")); strcpy(AMP2_C,("Not Used")); strcpy(AMP2_D,("Not Used")); </v>
      </c>
      <c r="D104" s="31" t="s">
        <v>893</v>
      </c>
      <c r="E104" s="42" t="str">
        <f t="shared" si="3"/>
        <v>case 100: strcpy(AMP1_A,("Not Used")); strcpy(AMP1_B,("Not Used")); strcpy(AMP1_C,("Not Used")); strcpy(AMP1_D,("Not Used")); strcpy(AMP2_A,("Not Used")); strcpy(AMP2_B,("Not Used")); strcpy(AMP2_C,("Not Used")); strcpy(AMP2_D,("Not Used"));  break;</v>
      </c>
      <c r="F104" t="s">
        <v>893</v>
      </c>
      <c r="I104" t="s">
        <v>893</v>
      </c>
      <c r="J104" s="45" t="str">
        <f>VLOOKUP(S104,'AMP models AxeFxIII'!$D$2:$H$299,2,FALSE)</f>
        <v>Not Used</v>
      </c>
      <c r="K104" s="45" t="str">
        <f>VLOOKUP(T104,'AMP models AxeFxIII'!$D$2:$H$299,2,FALSE)</f>
        <v>Not Used</v>
      </c>
      <c r="L104" s="45" t="str">
        <f>VLOOKUP(U104,'AMP models AxeFxIII'!$D$2:$H$299,2,FALSE)</f>
        <v>Not Used</v>
      </c>
      <c r="M104" s="45" t="str">
        <f>VLOOKUP(V104,'AMP models AxeFxIII'!$D$2:$H$299,2,FALSE)</f>
        <v>Not Used</v>
      </c>
      <c r="N104" s="45" t="str">
        <f>VLOOKUP(W104,'AMP models AxeFxIII'!$D$2:$H$299,2,FALSE)</f>
        <v>Not Used</v>
      </c>
      <c r="O104" s="45" t="str">
        <f>VLOOKUP(X104,'AMP models AxeFxIII'!$D$2:$H$299,2,FALSE)</f>
        <v>Not Used</v>
      </c>
      <c r="P104" s="45" t="str">
        <f>VLOOKUP(Y104,'AMP models AxeFxIII'!$D$2:$H$299,2,FALSE)</f>
        <v>Not Used</v>
      </c>
      <c r="Q104" s="45" t="str">
        <f>VLOOKUP(Z104,'AMP models AxeFxIII'!$D$2:$H$299,2,FALSE)</f>
        <v>Not Used</v>
      </c>
      <c r="R104" s="4">
        <v>100</v>
      </c>
      <c r="S104" s="46" t="s">
        <v>555</v>
      </c>
      <c r="T104" s="46" t="s">
        <v>555</v>
      </c>
      <c r="U104" s="46" t="s">
        <v>555</v>
      </c>
      <c r="V104" s="46" t="s">
        <v>555</v>
      </c>
      <c r="W104" s="46" t="s">
        <v>555</v>
      </c>
      <c r="X104" s="46" t="s">
        <v>555</v>
      </c>
      <c r="Y104" s="46" t="s">
        <v>555</v>
      </c>
      <c r="Z104" s="46" t="s">
        <v>555</v>
      </c>
    </row>
    <row r="105" spans="1:26">
      <c r="A105" s="41">
        <f>preset_Names!A105</f>
        <v>101</v>
      </c>
      <c r="B105" t="str">
        <f t="shared" si="4"/>
        <v xml:space="preserve">strcpy(AMP1_A,("Not Used")); strcpy(AMP1_B,("Not Used")); strcpy(AMP1_C,("Not Used")); strcpy(AMP1_D,("Not Used")); </v>
      </c>
      <c r="C105" t="str">
        <f t="shared" si="5"/>
        <v xml:space="preserve">strcpy(AMP2_A,("Not Used")); strcpy(AMP2_B,("Not Used")); strcpy(AMP2_C,("Not Used")); strcpy(AMP2_D,("Not Used")); </v>
      </c>
      <c r="D105" s="31" t="s">
        <v>893</v>
      </c>
      <c r="E105" s="42" t="str">
        <f t="shared" si="3"/>
        <v>case 101: strcpy(AMP1_A,("Not Used")); strcpy(AMP1_B,("Not Used")); strcpy(AMP1_C,("Not Used")); strcpy(AMP1_D,("Not Used")); strcpy(AMP2_A,("Not Used")); strcpy(AMP2_B,("Not Used")); strcpy(AMP2_C,("Not Used")); strcpy(AMP2_D,("Not Used"));  break;</v>
      </c>
      <c r="F105" t="s">
        <v>893</v>
      </c>
      <c r="I105" t="s">
        <v>893</v>
      </c>
      <c r="J105" s="45" t="str">
        <f>VLOOKUP(S105,'AMP models AxeFxIII'!$D$2:$H$299,2,FALSE)</f>
        <v>Not Used</v>
      </c>
      <c r="K105" s="45" t="str">
        <f>VLOOKUP(T105,'AMP models AxeFxIII'!$D$2:$H$299,2,FALSE)</f>
        <v>Not Used</v>
      </c>
      <c r="L105" s="45" t="str">
        <f>VLOOKUP(U105,'AMP models AxeFxIII'!$D$2:$H$299,2,FALSE)</f>
        <v>Not Used</v>
      </c>
      <c r="M105" s="45" t="str">
        <f>VLOOKUP(V105,'AMP models AxeFxIII'!$D$2:$H$299,2,FALSE)</f>
        <v>Not Used</v>
      </c>
      <c r="N105" s="45" t="str">
        <f>VLOOKUP(W105,'AMP models AxeFxIII'!$D$2:$H$299,2,FALSE)</f>
        <v>Not Used</v>
      </c>
      <c r="O105" s="45" t="str">
        <f>VLOOKUP(X105,'AMP models AxeFxIII'!$D$2:$H$299,2,FALSE)</f>
        <v>Not Used</v>
      </c>
      <c r="P105" s="45" t="str">
        <f>VLOOKUP(Y105,'AMP models AxeFxIII'!$D$2:$H$299,2,FALSE)</f>
        <v>Not Used</v>
      </c>
      <c r="Q105" s="45" t="str">
        <f>VLOOKUP(Z105,'AMP models AxeFxIII'!$D$2:$H$299,2,FALSE)</f>
        <v>Not Used</v>
      </c>
      <c r="R105" s="4">
        <v>101</v>
      </c>
      <c r="S105" s="46" t="s">
        <v>555</v>
      </c>
      <c r="T105" s="46" t="s">
        <v>555</v>
      </c>
      <c r="U105" s="46" t="s">
        <v>555</v>
      </c>
      <c r="V105" s="46" t="s">
        <v>555</v>
      </c>
      <c r="W105" s="46" t="s">
        <v>555</v>
      </c>
      <c r="X105" s="46" t="s">
        <v>555</v>
      </c>
      <c r="Y105" s="46" t="s">
        <v>555</v>
      </c>
      <c r="Z105" s="46" t="s">
        <v>555</v>
      </c>
    </row>
    <row r="106" spans="1:26">
      <c r="A106" s="41">
        <f>preset_Names!A106</f>
        <v>102</v>
      </c>
      <c r="B106" t="str">
        <f t="shared" si="4"/>
        <v xml:space="preserve">strcpy(AMP1_A,("Not Used")); strcpy(AMP1_B,("Not Used")); strcpy(AMP1_C,("Not Used")); strcpy(AMP1_D,("Not Used")); </v>
      </c>
      <c r="C106" t="str">
        <f t="shared" si="5"/>
        <v xml:space="preserve">strcpy(AMP2_A,("Not Used")); strcpy(AMP2_B,("Not Used")); strcpy(AMP2_C,("Not Used")); strcpy(AMP2_D,("Not Used")); </v>
      </c>
      <c r="D106" s="31" t="s">
        <v>893</v>
      </c>
      <c r="E106" s="42" t="str">
        <f t="shared" si="3"/>
        <v>case 102: strcpy(AMP1_A,("Not Used")); strcpy(AMP1_B,("Not Used")); strcpy(AMP1_C,("Not Used")); strcpy(AMP1_D,("Not Used")); strcpy(AMP2_A,("Not Used")); strcpy(AMP2_B,("Not Used")); strcpy(AMP2_C,("Not Used")); strcpy(AMP2_D,("Not Used"));  break;</v>
      </c>
      <c r="F106" t="s">
        <v>893</v>
      </c>
      <c r="I106" t="s">
        <v>893</v>
      </c>
      <c r="J106" s="45" t="str">
        <f>VLOOKUP(S106,'AMP models AxeFxIII'!$D$2:$H$299,2,FALSE)</f>
        <v>Not Used</v>
      </c>
      <c r="K106" s="45" t="str">
        <f>VLOOKUP(T106,'AMP models AxeFxIII'!$D$2:$H$299,2,FALSE)</f>
        <v>Not Used</v>
      </c>
      <c r="L106" s="45" t="str">
        <f>VLOOKUP(U106,'AMP models AxeFxIII'!$D$2:$H$299,2,FALSE)</f>
        <v>Not Used</v>
      </c>
      <c r="M106" s="45" t="str">
        <f>VLOOKUP(V106,'AMP models AxeFxIII'!$D$2:$H$299,2,FALSE)</f>
        <v>Not Used</v>
      </c>
      <c r="N106" s="45" t="str">
        <f>VLOOKUP(W106,'AMP models AxeFxIII'!$D$2:$H$299,2,FALSE)</f>
        <v>Not Used</v>
      </c>
      <c r="O106" s="45" t="str">
        <f>VLOOKUP(X106,'AMP models AxeFxIII'!$D$2:$H$299,2,FALSE)</f>
        <v>Not Used</v>
      </c>
      <c r="P106" s="45" t="str">
        <f>VLOOKUP(Y106,'AMP models AxeFxIII'!$D$2:$H$299,2,FALSE)</f>
        <v>Not Used</v>
      </c>
      <c r="Q106" s="45" t="str">
        <f>VLOOKUP(Z106,'AMP models AxeFxIII'!$D$2:$H$299,2,FALSE)</f>
        <v>Not Used</v>
      </c>
      <c r="R106" s="4">
        <v>102</v>
      </c>
      <c r="S106" s="46" t="s">
        <v>555</v>
      </c>
      <c r="T106" s="46" t="s">
        <v>555</v>
      </c>
      <c r="U106" s="46" t="s">
        <v>555</v>
      </c>
      <c r="V106" s="46" t="s">
        <v>555</v>
      </c>
      <c r="W106" s="46" t="s">
        <v>555</v>
      </c>
      <c r="X106" s="46" t="s">
        <v>555</v>
      </c>
      <c r="Y106" s="46" t="s">
        <v>555</v>
      </c>
      <c r="Z106" s="46" t="s">
        <v>555</v>
      </c>
    </row>
    <row r="107" spans="1:26">
      <c r="A107" s="41">
        <f>preset_Names!A107</f>
        <v>103</v>
      </c>
      <c r="B107" t="str">
        <f t="shared" si="4"/>
        <v xml:space="preserve">strcpy(AMP1_A,("Not Used")); strcpy(AMP1_B,("Not Used")); strcpy(AMP1_C,("Not Used")); strcpy(AMP1_D,("Not Used")); </v>
      </c>
      <c r="C107" t="str">
        <f t="shared" si="5"/>
        <v xml:space="preserve">strcpy(AMP2_A,("Not Used")); strcpy(AMP2_B,("Not Used")); strcpy(AMP2_C,("Not Used")); strcpy(AMP2_D,("Not Used")); </v>
      </c>
      <c r="D107" s="31" t="s">
        <v>893</v>
      </c>
      <c r="E107" s="42" t="str">
        <f t="shared" si="3"/>
        <v>case 103: strcpy(AMP1_A,("Not Used")); strcpy(AMP1_B,("Not Used")); strcpy(AMP1_C,("Not Used")); strcpy(AMP1_D,("Not Used")); strcpy(AMP2_A,("Not Used")); strcpy(AMP2_B,("Not Used")); strcpy(AMP2_C,("Not Used")); strcpy(AMP2_D,("Not Used"));  break;</v>
      </c>
      <c r="F107" t="s">
        <v>893</v>
      </c>
      <c r="I107" t="s">
        <v>893</v>
      </c>
      <c r="J107" s="45" t="str">
        <f>VLOOKUP(S107,'AMP models AxeFxIII'!$D$2:$H$299,2,FALSE)</f>
        <v>Not Used</v>
      </c>
      <c r="K107" s="45" t="str">
        <f>VLOOKUP(T107,'AMP models AxeFxIII'!$D$2:$H$299,2,FALSE)</f>
        <v>Not Used</v>
      </c>
      <c r="L107" s="45" t="str">
        <f>VLOOKUP(U107,'AMP models AxeFxIII'!$D$2:$H$299,2,FALSE)</f>
        <v>Not Used</v>
      </c>
      <c r="M107" s="45" t="str">
        <f>VLOOKUP(V107,'AMP models AxeFxIII'!$D$2:$H$299,2,FALSE)</f>
        <v>Not Used</v>
      </c>
      <c r="N107" s="45" t="str">
        <f>VLOOKUP(W107,'AMP models AxeFxIII'!$D$2:$H$299,2,FALSE)</f>
        <v>Not Used</v>
      </c>
      <c r="O107" s="45" t="str">
        <f>VLOOKUP(X107,'AMP models AxeFxIII'!$D$2:$H$299,2,FALSE)</f>
        <v>Not Used</v>
      </c>
      <c r="P107" s="45" t="str">
        <f>VLOOKUP(Y107,'AMP models AxeFxIII'!$D$2:$H$299,2,FALSE)</f>
        <v>Not Used</v>
      </c>
      <c r="Q107" s="45" t="str">
        <f>VLOOKUP(Z107,'AMP models AxeFxIII'!$D$2:$H$299,2,FALSE)</f>
        <v>Not Used</v>
      </c>
      <c r="R107" s="4">
        <v>103</v>
      </c>
      <c r="S107" s="46" t="s">
        <v>555</v>
      </c>
      <c r="T107" s="46" t="s">
        <v>555</v>
      </c>
      <c r="U107" s="46" t="s">
        <v>555</v>
      </c>
      <c r="V107" s="46" t="s">
        <v>555</v>
      </c>
      <c r="W107" s="46" t="s">
        <v>555</v>
      </c>
      <c r="X107" s="46" t="s">
        <v>555</v>
      </c>
      <c r="Y107" s="46" t="s">
        <v>555</v>
      </c>
      <c r="Z107" s="46" t="s">
        <v>555</v>
      </c>
    </row>
    <row r="108" spans="1:26">
      <c r="A108" s="41">
        <f>preset_Names!A108</f>
        <v>104</v>
      </c>
      <c r="B108" t="str">
        <f t="shared" si="4"/>
        <v xml:space="preserve">strcpy(AMP1_A,("Not Used")); strcpy(AMP1_B,("Not Used")); strcpy(AMP1_C,("Not Used")); strcpy(AMP1_D,("Not Used")); </v>
      </c>
      <c r="C108" t="str">
        <f t="shared" si="5"/>
        <v xml:space="preserve">strcpy(AMP2_A,("Not Used")); strcpy(AMP2_B,("Not Used")); strcpy(AMP2_C,("Not Used")); strcpy(AMP2_D,("Not Used")); </v>
      </c>
      <c r="D108" s="31" t="s">
        <v>893</v>
      </c>
      <c r="E108" s="42" t="str">
        <f t="shared" si="3"/>
        <v>case 104: strcpy(AMP1_A,("Not Used")); strcpy(AMP1_B,("Not Used")); strcpy(AMP1_C,("Not Used")); strcpy(AMP1_D,("Not Used")); strcpy(AMP2_A,("Not Used")); strcpy(AMP2_B,("Not Used")); strcpy(AMP2_C,("Not Used")); strcpy(AMP2_D,("Not Used"));  break;</v>
      </c>
      <c r="F108" t="s">
        <v>893</v>
      </c>
      <c r="I108" t="s">
        <v>893</v>
      </c>
      <c r="J108" s="45" t="str">
        <f>VLOOKUP(S108,'AMP models AxeFxIII'!$D$2:$H$299,2,FALSE)</f>
        <v>Not Used</v>
      </c>
      <c r="K108" s="45" t="str">
        <f>VLOOKUP(T108,'AMP models AxeFxIII'!$D$2:$H$299,2,FALSE)</f>
        <v>Not Used</v>
      </c>
      <c r="L108" s="45" t="str">
        <f>VLOOKUP(U108,'AMP models AxeFxIII'!$D$2:$H$299,2,FALSE)</f>
        <v>Not Used</v>
      </c>
      <c r="M108" s="45" t="str">
        <f>VLOOKUP(V108,'AMP models AxeFxIII'!$D$2:$H$299,2,FALSE)</f>
        <v>Not Used</v>
      </c>
      <c r="N108" s="45" t="str">
        <f>VLOOKUP(W108,'AMP models AxeFxIII'!$D$2:$H$299,2,FALSE)</f>
        <v>Not Used</v>
      </c>
      <c r="O108" s="45" t="str">
        <f>VLOOKUP(X108,'AMP models AxeFxIII'!$D$2:$H$299,2,FALSE)</f>
        <v>Not Used</v>
      </c>
      <c r="P108" s="45" t="str">
        <f>VLOOKUP(Y108,'AMP models AxeFxIII'!$D$2:$H$299,2,FALSE)</f>
        <v>Not Used</v>
      </c>
      <c r="Q108" s="45" t="str">
        <f>VLOOKUP(Z108,'AMP models AxeFxIII'!$D$2:$H$299,2,FALSE)</f>
        <v>Not Used</v>
      </c>
      <c r="R108" s="4">
        <v>104</v>
      </c>
      <c r="S108" s="46" t="s">
        <v>555</v>
      </c>
      <c r="T108" s="46" t="s">
        <v>555</v>
      </c>
      <c r="U108" s="46" t="s">
        <v>555</v>
      </c>
      <c r="V108" s="46" t="s">
        <v>555</v>
      </c>
      <c r="W108" s="46" t="s">
        <v>555</v>
      </c>
      <c r="X108" s="46" t="s">
        <v>555</v>
      </c>
      <c r="Y108" s="46" t="s">
        <v>555</v>
      </c>
      <c r="Z108" s="46" t="s">
        <v>555</v>
      </c>
    </row>
    <row r="109" spans="1:26">
      <c r="A109" s="41">
        <f>preset_Names!A109</f>
        <v>105</v>
      </c>
      <c r="B109" t="str">
        <f t="shared" si="4"/>
        <v xml:space="preserve">strcpy(AMP1_A,("Not Used")); strcpy(AMP1_B,("Not Used")); strcpy(AMP1_C,("Not Used")); strcpy(AMP1_D,("Not Used")); </v>
      </c>
      <c r="C109" t="str">
        <f t="shared" si="5"/>
        <v xml:space="preserve">strcpy(AMP2_A,("Not Used")); strcpy(AMP2_B,("Not Used")); strcpy(AMP2_C,("Not Used")); strcpy(AMP2_D,("Not Used")); </v>
      </c>
      <c r="D109" s="31" t="s">
        <v>893</v>
      </c>
      <c r="E109" s="42" t="str">
        <f t="shared" si="3"/>
        <v>case 105: strcpy(AMP1_A,("Not Used")); strcpy(AMP1_B,("Not Used")); strcpy(AMP1_C,("Not Used")); strcpy(AMP1_D,("Not Used")); strcpy(AMP2_A,("Not Used")); strcpy(AMP2_B,("Not Used")); strcpy(AMP2_C,("Not Used")); strcpy(AMP2_D,("Not Used"));  break;</v>
      </c>
      <c r="F109" t="s">
        <v>893</v>
      </c>
      <c r="I109" t="s">
        <v>893</v>
      </c>
      <c r="J109" s="45" t="str">
        <f>VLOOKUP(S109,'AMP models AxeFxIII'!$D$2:$H$299,2,FALSE)</f>
        <v>Not Used</v>
      </c>
      <c r="K109" s="45" t="str">
        <f>VLOOKUP(T109,'AMP models AxeFxIII'!$D$2:$H$299,2,FALSE)</f>
        <v>Not Used</v>
      </c>
      <c r="L109" s="45" t="str">
        <f>VLOOKUP(U109,'AMP models AxeFxIII'!$D$2:$H$299,2,FALSE)</f>
        <v>Not Used</v>
      </c>
      <c r="M109" s="45" t="str">
        <f>VLOOKUP(V109,'AMP models AxeFxIII'!$D$2:$H$299,2,FALSE)</f>
        <v>Not Used</v>
      </c>
      <c r="N109" s="45" t="str">
        <f>VLOOKUP(W109,'AMP models AxeFxIII'!$D$2:$H$299,2,FALSE)</f>
        <v>Not Used</v>
      </c>
      <c r="O109" s="45" t="str">
        <f>VLOOKUP(X109,'AMP models AxeFxIII'!$D$2:$H$299,2,FALSE)</f>
        <v>Not Used</v>
      </c>
      <c r="P109" s="45" t="str">
        <f>VLOOKUP(Y109,'AMP models AxeFxIII'!$D$2:$H$299,2,FALSE)</f>
        <v>Not Used</v>
      </c>
      <c r="Q109" s="45" t="str">
        <f>VLOOKUP(Z109,'AMP models AxeFxIII'!$D$2:$H$299,2,FALSE)</f>
        <v>Not Used</v>
      </c>
      <c r="R109" s="4">
        <v>105</v>
      </c>
      <c r="S109" s="46" t="s">
        <v>555</v>
      </c>
      <c r="T109" s="46" t="s">
        <v>555</v>
      </c>
      <c r="U109" s="46" t="s">
        <v>555</v>
      </c>
      <c r="V109" s="46" t="s">
        <v>555</v>
      </c>
      <c r="W109" s="46" t="s">
        <v>555</v>
      </c>
      <c r="X109" s="46" t="s">
        <v>555</v>
      </c>
      <c r="Y109" s="46" t="s">
        <v>555</v>
      </c>
      <c r="Z109" s="46" t="s">
        <v>555</v>
      </c>
    </row>
    <row r="110" spans="1:26">
      <c r="A110" s="41">
        <f>preset_Names!A110</f>
        <v>106</v>
      </c>
      <c r="B110" t="str">
        <f t="shared" si="4"/>
        <v xml:space="preserve">strcpy(AMP1_A,("Not Used")); strcpy(AMP1_B,("Not Used")); strcpy(AMP1_C,("Not Used")); strcpy(AMP1_D,("Not Used")); </v>
      </c>
      <c r="C110" t="str">
        <f t="shared" si="5"/>
        <v xml:space="preserve">strcpy(AMP2_A,("Not Used")); strcpy(AMP2_B,("Not Used")); strcpy(AMP2_C,("Not Used")); strcpy(AMP2_D,("Not Used")); </v>
      </c>
      <c r="D110" s="31" t="s">
        <v>893</v>
      </c>
      <c r="E110" s="42" t="str">
        <f t="shared" si="3"/>
        <v>case 106: strcpy(AMP1_A,("Not Used")); strcpy(AMP1_B,("Not Used")); strcpy(AMP1_C,("Not Used")); strcpy(AMP1_D,("Not Used")); strcpy(AMP2_A,("Not Used")); strcpy(AMP2_B,("Not Used")); strcpy(AMP2_C,("Not Used")); strcpy(AMP2_D,("Not Used"));  break;</v>
      </c>
      <c r="F110" t="s">
        <v>893</v>
      </c>
      <c r="I110" t="s">
        <v>893</v>
      </c>
      <c r="J110" s="45" t="str">
        <f>VLOOKUP(S110,'AMP models AxeFxIII'!$D$2:$H$299,2,FALSE)</f>
        <v>Not Used</v>
      </c>
      <c r="K110" s="45" t="str">
        <f>VLOOKUP(T110,'AMP models AxeFxIII'!$D$2:$H$299,2,FALSE)</f>
        <v>Not Used</v>
      </c>
      <c r="L110" s="45" t="str">
        <f>VLOOKUP(U110,'AMP models AxeFxIII'!$D$2:$H$299,2,FALSE)</f>
        <v>Not Used</v>
      </c>
      <c r="M110" s="45" t="str">
        <f>VLOOKUP(V110,'AMP models AxeFxIII'!$D$2:$H$299,2,FALSE)</f>
        <v>Not Used</v>
      </c>
      <c r="N110" s="45" t="str">
        <f>VLOOKUP(W110,'AMP models AxeFxIII'!$D$2:$H$299,2,FALSE)</f>
        <v>Not Used</v>
      </c>
      <c r="O110" s="45" t="str">
        <f>VLOOKUP(X110,'AMP models AxeFxIII'!$D$2:$H$299,2,FALSE)</f>
        <v>Not Used</v>
      </c>
      <c r="P110" s="45" t="str">
        <f>VLOOKUP(Y110,'AMP models AxeFxIII'!$D$2:$H$299,2,FALSE)</f>
        <v>Not Used</v>
      </c>
      <c r="Q110" s="45" t="str">
        <f>VLOOKUP(Z110,'AMP models AxeFxIII'!$D$2:$H$299,2,FALSE)</f>
        <v>Not Used</v>
      </c>
      <c r="R110" s="4">
        <v>106</v>
      </c>
      <c r="S110" s="46" t="s">
        <v>555</v>
      </c>
      <c r="T110" s="46" t="s">
        <v>555</v>
      </c>
      <c r="U110" s="46" t="s">
        <v>555</v>
      </c>
      <c r="V110" s="46" t="s">
        <v>555</v>
      </c>
      <c r="W110" s="46" t="s">
        <v>555</v>
      </c>
      <c r="X110" s="46" t="s">
        <v>555</v>
      </c>
      <c r="Y110" s="46" t="s">
        <v>555</v>
      </c>
      <c r="Z110" s="46" t="s">
        <v>555</v>
      </c>
    </row>
    <row r="111" spans="1:26">
      <c r="A111" s="41">
        <f>preset_Names!A111</f>
        <v>107</v>
      </c>
      <c r="B111" t="str">
        <f t="shared" si="4"/>
        <v xml:space="preserve">strcpy(AMP1_A,("Not Used")); strcpy(AMP1_B,("Not Used")); strcpy(AMP1_C,("Not Used")); strcpy(AMP1_D,("Not Used")); </v>
      </c>
      <c r="C111" t="str">
        <f t="shared" si="5"/>
        <v xml:space="preserve">strcpy(AMP2_A,("Not Used")); strcpy(AMP2_B,("Not Used")); strcpy(AMP2_C,("Not Used")); strcpy(AMP2_D,("Not Used")); </v>
      </c>
      <c r="D111" s="31" t="s">
        <v>893</v>
      </c>
      <c r="E111" s="42" t="str">
        <f t="shared" si="3"/>
        <v>case 107: strcpy(AMP1_A,("Not Used")); strcpy(AMP1_B,("Not Used")); strcpy(AMP1_C,("Not Used")); strcpy(AMP1_D,("Not Used")); strcpy(AMP2_A,("Not Used")); strcpy(AMP2_B,("Not Used")); strcpy(AMP2_C,("Not Used")); strcpy(AMP2_D,("Not Used"));  break;</v>
      </c>
      <c r="F111" t="s">
        <v>893</v>
      </c>
      <c r="I111" t="s">
        <v>893</v>
      </c>
      <c r="J111" s="45" t="str">
        <f>VLOOKUP(S111,'AMP models AxeFxIII'!$D$2:$H$299,2,FALSE)</f>
        <v>Not Used</v>
      </c>
      <c r="K111" s="45" t="str">
        <f>VLOOKUP(T111,'AMP models AxeFxIII'!$D$2:$H$299,2,FALSE)</f>
        <v>Not Used</v>
      </c>
      <c r="L111" s="45" t="str">
        <f>VLOOKUP(U111,'AMP models AxeFxIII'!$D$2:$H$299,2,FALSE)</f>
        <v>Not Used</v>
      </c>
      <c r="M111" s="45" t="str">
        <f>VLOOKUP(V111,'AMP models AxeFxIII'!$D$2:$H$299,2,FALSE)</f>
        <v>Not Used</v>
      </c>
      <c r="N111" s="45" t="str">
        <f>VLOOKUP(W111,'AMP models AxeFxIII'!$D$2:$H$299,2,FALSE)</f>
        <v>Not Used</v>
      </c>
      <c r="O111" s="45" t="str">
        <f>VLOOKUP(X111,'AMP models AxeFxIII'!$D$2:$H$299,2,FALSE)</f>
        <v>Not Used</v>
      </c>
      <c r="P111" s="45" t="str">
        <f>VLOOKUP(Y111,'AMP models AxeFxIII'!$D$2:$H$299,2,FALSE)</f>
        <v>Not Used</v>
      </c>
      <c r="Q111" s="45" t="str">
        <f>VLOOKUP(Z111,'AMP models AxeFxIII'!$D$2:$H$299,2,FALSE)</f>
        <v>Not Used</v>
      </c>
      <c r="R111" s="4">
        <v>107</v>
      </c>
      <c r="S111" s="46" t="s">
        <v>555</v>
      </c>
      <c r="T111" s="46" t="s">
        <v>555</v>
      </c>
      <c r="U111" s="46" t="s">
        <v>555</v>
      </c>
      <c r="V111" s="46" t="s">
        <v>555</v>
      </c>
      <c r="W111" s="46" t="s">
        <v>555</v>
      </c>
      <c r="X111" s="46" t="s">
        <v>555</v>
      </c>
      <c r="Y111" s="46" t="s">
        <v>555</v>
      </c>
      <c r="Z111" s="46" t="s">
        <v>555</v>
      </c>
    </row>
    <row r="112" spans="1:26">
      <c r="A112" s="41">
        <f>preset_Names!A112</f>
        <v>108</v>
      </c>
      <c r="B112" t="str">
        <f t="shared" si="4"/>
        <v xml:space="preserve">strcpy(AMP1_A,("Not Used")); strcpy(AMP1_B,("Not Used")); strcpy(AMP1_C,("Not Used")); strcpy(AMP1_D,("Not Used")); </v>
      </c>
      <c r="C112" t="str">
        <f t="shared" si="5"/>
        <v xml:space="preserve">strcpy(AMP2_A,("Not Used")); strcpy(AMP2_B,("Not Used")); strcpy(AMP2_C,("Not Used")); strcpy(AMP2_D,("Not Used")); </v>
      </c>
      <c r="D112" s="31" t="s">
        <v>893</v>
      </c>
      <c r="E112" s="42" t="str">
        <f t="shared" si="3"/>
        <v>case 108: strcpy(AMP1_A,("Not Used")); strcpy(AMP1_B,("Not Used")); strcpy(AMP1_C,("Not Used")); strcpy(AMP1_D,("Not Used")); strcpy(AMP2_A,("Not Used")); strcpy(AMP2_B,("Not Used")); strcpy(AMP2_C,("Not Used")); strcpy(AMP2_D,("Not Used"));  break;</v>
      </c>
      <c r="F112" t="s">
        <v>893</v>
      </c>
      <c r="I112" t="s">
        <v>893</v>
      </c>
      <c r="J112" s="45" t="str">
        <f>VLOOKUP(S112,'AMP models AxeFxIII'!$D$2:$H$299,2,FALSE)</f>
        <v>Not Used</v>
      </c>
      <c r="K112" s="45" t="str">
        <f>VLOOKUP(T112,'AMP models AxeFxIII'!$D$2:$H$299,2,FALSE)</f>
        <v>Not Used</v>
      </c>
      <c r="L112" s="45" t="str">
        <f>VLOOKUP(U112,'AMP models AxeFxIII'!$D$2:$H$299,2,FALSE)</f>
        <v>Not Used</v>
      </c>
      <c r="M112" s="45" t="str">
        <f>VLOOKUP(V112,'AMP models AxeFxIII'!$D$2:$H$299,2,FALSE)</f>
        <v>Not Used</v>
      </c>
      <c r="N112" s="45" t="str">
        <f>VLOOKUP(W112,'AMP models AxeFxIII'!$D$2:$H$299,2,FALSE)</f>
        <v>Not Used</v>
      </c>
      <c r="O112" s="45" t="str">
        <f>VLOOKUP(X112,'AMP models AxeFxIII'!$D$2:$H$299,2,FALSE)</f>
        <v>Not Used</v>
      </c>
      <c r="P112" s="45" t="str">
        <f>VLOOKUP(Y112,'AMP models AxeFxIII'!$D$2:$H$299,2,FALSE)</f>
        <v>Not Used</v>
      </c>
      <c r="Q112" s="45" t="str">
        <f>VLOOKUP(Z112,'AMP models AxeFxIII'!$D$2:$H$299,2,FALSE)</f>
        <v>Not Used</v>
      </c>
      <c r="R112" s="4">
        <v>108</v>
      </c>
      <c r="S112" s="46" t="s">
        <v>555</v>
      </c>
      <c r="T112" s="46" t="s">
        <v>555</v>
      </c>
      <c r="U112" s="46" t="s">
        <v>555</v>
      </c>
      <c r="V112" s="46" t="s">
        <v>555</v>
      </c>
      <c r="W112" s="46" t="s">
        <v>555</v>
      </c>
      <c r="X112" s="46" t="s">
        <v>555</v>
      </c>
      <c r="Y112" s="46" t="s">
        <v>555</v>
      </c>
      <c r="Z112" s="46" t="s">
        <v>555</v>
      </c>
    </row>
    <row r="113" spans="1:26">
      <c r="A113" s="41">
        <f>preset_Names!A113</f>
        <v>109</v>
      </c>
      <c r="B113" t="str">
        <f t="shared" si="4"/>
        <v xml:space="preserve">strcpy(AMP1_A,("Not Used")); strcpy(AMP1_B,("Not Used")); strcpy(AMP1_C,("Not Used")); strcpy(AMP1_D,("Not Used")); </v>
      </c>
      <c r="C113" t="str">
        <f t="shared" si="5"/>
        <v xml:space="preserve">strcpy(AMP2_A,("Not Used")); strcpy(AMP2_B,("Not Used")); strcpy(AMP2_C,("Not Used")); strcpy(AMP2_D,("Not Used")); </v>
      </c>
      <c r="D113" s="31" t="s">
        <v>893</v>
      </c>
      <c r="E113" s="42" t="str">
        <f t="shared" si="3"/>
        <v>case 109: strcpy(AMP1_A,("Not Used")); strcpy(AMP1_B,("Not Used")); strcpy(AMP1_C,("Not Used")); strcpy(AMP1_D,("Not Used")); strcpy(AMP2_A,("Not Used")); strcpy(AMP2_B,("Not Used")); strcpy(AMP2_C,("Not Used")); strcpy(AMP2_D,("Not Used"));  break;</v>
      </c>
      <c r="F113" t="s">
        <v>893</v>
      </c>
      <c r="I113" t="s">
        <v>893</v>
      </c>
      <c r="J113" s="45" t="str">
        <f>VLOOKUP(S113,'AMP models AxeFxIII'!$D$2:$H$299,2,FALSE)</f>
        <v>Not Used</v>
      </c>
      <c r="K113" s="45" t="str">
        <f>VLOOKUP(T113,'AMP models AxeFxIII'!$D$2:$H$299,2,FALSE)</f>
        <v>Not Used</v>
      </c>
      <c r="L113" s="45" t="str">
        <f>VLOOKUP(U113,'AMP models AxeFxIII'!$D$2:$H$299,2,FALSE)</f>
        <v>Not Used</v>
      </c>
      <c r="M113" s="45" t="str">
        <f>VLOOKUP(V113,'AMP models AxeFxIII'!$D$2:$H$299,2,FALSE)</f>
        <v>Not Used</v>
      </c>
      <c r="N113" s="45" t="str">
        <f>VLOOKUP(W113,'AMP models AxeFxIII'!$D$2:$H$299,2,FALSE)</f>
        <v>Not Used</v>
      </c>
      <c r="O113" s="45" t="str">
        <f>VLOOKUP(X113,'AMP models AxeFxIII'!$D$2:$H$299,2,FALSE)</f>
        <v>Not Used</v>
      </c>
      <c r="P113" s="45" t="str">
        <f>VLOOKUP(Y113,'AMP models AxeFxIII'!$D$2:$H$299,2,FALSE)</f>
        <v>Not Used</v>
      </c>
      <c r="Q113" s="45" t="str">
        <f>VLOOKUP(Z113,'AMP models AxeFxIII'!$D$2:$H$299,2,FALSE)</f>
        <v>Not Used</v>
      </c>
      <c r="R113" s="4">
        <v>109</v>
      </c>
      <c r="S113" s="46" t="s">
        <v>555</v>
      </c>
      <c r="T113" s="46" t="s">
        <v>555</v>
      </c>
      <c r="U113" s="46" t="s">
        <v>555</v>
      </c>
      <c r="V113" s="46" t="s">
        <v>555</v>
      </c>
      <c r="W113" s="46" t="s">
        <v>555</v>
      </c>
      <c r="X113" s="46" t="s">
        <v>555</v>
      </c>
      <c r="Y113" s="46" t="s">
        <v>555</v>
      </c>
      <c r="Z113" s="46" t="s">
        <v>555</v>
      </c>
    </row>
    <row r="114" spans="1:26">
      <c r="A114" s="41">
        <f>preset_Names!A114</f>
        <v>110</v>
      </c>
      <c r="B114" t="str">
        <f t="shared" si="4"/>
        <v xml:space="preserve">strcpy(AMP1_A,("Not Used")); strcpy(AMP1_B,("Not Used")); strcpy(AMP1_C,("Not Used")); strcpy(AMP1_D,("Not Used")); </v>
      </c>
      <c r="C114" t="str">
        <f t="shared" si="5"/>
        <v xml:space="preserve">strcpy(AMP2_A,("Not Used")); strcpy(AMP2_B,("Not Used")); strcpy(AMP2_C,("Not Used")); strcpy(AMP2_D,("Not Used")); </v>
      </c>
      <c r="D114" s="31" t="s">
        <v>893</v>
      </c>
      <c r="E114" s="42" t="str">
        <f t="shared" si="3"/>
        <v>case 110: strcpy(AMP1_A,("Not Used")); strcpy(AMP1_B,("Not Used")); strcpy(AMP1_C,("Not Used")); strcpy(AMP1_D,("Not Used")); strcpy(AMP2_A,("Not Used")); strcpy(AMP2_B,("Not Used")); strcpy(AMP2_C,("Not Used")); strcpy(AMP2_D,("Not Used"));  break;</v>
      </c>
      <c r="F114" t="s">
        <v>893</v>
      </c>
      <c r="I114" t="s">
        <v>893</v>
      </c>
      <c r="J114" s="45" t="str">
        <f>VLOOKUP(S114,'AMP models AxeFxIII'!$D$2:$H$299,2,FALSE)</f>
        <v>Not Used</v>
      </c>
      <c r="K114" s="45" t="str">
        <f>VLOOKUP(T114,'AMP models AxeFxIII'!$D$2:$H$299,2,FALSE)</f>
        <v>Not Used</v>
      </c>
      <c r="L114" s="45" t="str">
        <f>VLOOKUP(U114,'AMP models AxeFxIII'!$D$2:$H$299,2,FALSE)</f>
        <v>Not Used</v>
      </c>
      <c r="M114" s="45" t="str">
        <f>VLOOKUP(V114,'AMP models AxeFxIII'!$D$2:$H$299,2,FALSE)</f>
        <v>Not Used</v>
      </c>
      <c r="N114" s="45" t="str">
        <f>VLOOKUP(W114,'AMP models AxeFxIII'!$D$2:$H$299,2,FALSE)</f>
        <v>Not Used</v>
      </c>
      <c r="O114" s="45" t="str">
        <f>VLOOKUP(X114,'AMP models AxeFxIII'!$D$2:$H$299,2,FALSE)</f>
        <v>Not Used</v>
      </c>
      <c r="P114" s="45" t="str">
        <f>VLOOKUP(Y114,'AMP models AxeFxIII'!$D$2:$H$299,2,FALSE)</f>
        <v>Not Used</v>
      </c>
      <c r="Q114" s="45" t="str">
        <f>VLOOKUP(Z114,'AMP models AxeFxIII'!$D$2:$H$299,2,FALSE)</f>
        <v>Not Used</v>
      </c>
      <c r="R114" s="4">
        <v>110</v>
      </c>
      <c r="S114" s="46" t="s">
        <v>555</v>
      </c>
      <c r="T114" s="46" t="s">
        <v>555</v>
      </c>
      <c r="U114" s="46" t="s">
        <v>555</v>
      </c>
      <c r="V114" s="46" t="s">
        <v>555</v>
      </c>
      <c r="W114" s="46" t="s">
        <v>555</v>
      </c>
      <c r="X114" s="46" t="s">
        <v>555</v>
      </c>
      <c r="Y114" s="46" t="s">
        <v>555</v>
      </c>
      <c r="Z114" s="46" t="s">
        <v>555</v>
      </c>
    </row>
    <row r="115" spans="1:26">
      <c r="A115" s="41">
        <f>preset_Names!A115</f>
        <v>111</v>
      </c>
      <c r="B115" t="str">
        <f t="shared" si="4"/>
        <v xml:space="preserve">strcpy(AMP1_A,("Not Used")); strcpy(AMP1_B,("Not Used")); strcpy(AMP1_C,("Not Used")); strcpy(AMP1_D,("Not Used")); </v>
      </c>
      <c r="C115" t="str">
        <f t="shared" si="5"/>
        <v xml:space="preserve">strcpy(AMP2_A,("Not Used")); strcpy(AMP2_B,("Not Used")); strcpy(AMP2_C,("Not Used")); strcpy(AMP2_D,("Not Used")); </v>
      </c>
      <c r="D115" s="31" t="s">
        <v>893</v>
      </c>
      <c r="E115" s="42" t="str">
        <f t="shared" si="3"/>
        <v>case 111: strcpy(AMP1_A,("Not Used")); strcpy(AMP1_B,("Not Used")); strcpy(AMP1_C,("Not Used")); strcpy(AMP1_D,("Not Used")); strcpy(AMP2_A,("Not Used")); strcpy(AMP2_B,("Not Used")); strcpy(AMP2_C,("Not Used")); strcpy(AMP2_D,("Not Used"));  break;</v>
      </c>
      <c r="F115" t="s">
        <v>893</v>
      </c>
      <c r="I115" t="s">
        <v>893</v>
      </c>
      <c r="J115" s="45" t="str">
        <f>VLOOKUP(S115,'AMP models AxeFxIII'!$D$2:$H$299,2,FALSE)</f>
        <v>Not Used</v>
      </c>
      <c r="K115" s="45" t="str">
        <f>VLOOKUP(T115,'AMP models AxeFxIII'!$D$2:$H$299,2,FALSE)</f>
        <v>Not Used</v>
      </c>
      <c r="L115" s="45" t="str">
        <f>VLOOKUP(U115,'AMP models AxeFxIII'!$D$2:$H$299,2,FALSE)</f>
        <v>Not Used</v>
      </c>
      <c r="M115" s="45" t="str">
        <f>VLOOKUP(V115,'AMP models AxeFxIII'!$D$2:$H$299,2,FALSE)</f>
        <v>Not Used</v>
      </c>
      <c r="N115" s="45" t="str">
        <f>VLOOKUP(W115,'AMP models AxeFxIII'!$D$2:$H$299,2,FALSE)</f>
        <v>Not Used</v>
      </c>
      <c r="O115" s="45" t="str">
        <f>VLOOKUP(X115,'AMP models AxeFxIII'!$D$2:$H$299,2,FALSE)</f>
        <v>Not Used</v>
      </c>
      <c r="P115" s="45" t="str">
        <f>VLOOKUP(Y115,'AMP models AxeFxIII'!$D$2:$H$299,2,FALSE)</f>
        <v>Not Used</v>
      </c>
      <c r="Q115" s="45" t="str">
        <f>VLOOKUP(Z115,'AMP models AxeFxIII'!$D$2:$H$299,2,FALSE)</f>
        <v>Not Used</v>
      </c>
      <c r="R115" s="4">
        <v>111</v>
      </c>
      <c r="S115" s="46" t="s">
        <v>555</v>
      </c>
      <c r="T115" s="46" t="s">
        <v>555</v>
      </c>
      <c r="U115" s="46" t="s">
        <v>555</v>
      </c>
      <c r="V115" s="46" t="s">
        <v>555</v>
      </c>
      <c r="W115" s="46" t="s">
        <v>555</v>
      </c>
      <c r="X115" s="46" t="s">
        <v>555</v>
      </c>
      <c r="Y115" s="46" t="s">
        <v>555</v>
      </c>
      <c r="Z115" s="46" t="s">
        <v>555</v>
      </c>
    </row>
    <row r="116" spans="1:26">
      <c r="A116" s="41">
        <f>preset_Names!A116</f>
        <v>112</v>
      </c>
      <c r="B116" t="str">
        <f t="shared" si="4"/>
        <v xml:space="preserve">strcpy(AMP1_A,("Not Used")); strcpy(AMP1_B,("Not Used")); strcpy(AMP1_C,("Not Used")); strcpy(AMP1_D,("Not Used")); </v>
      </c>
      <c r="C116" t="str">
        <f t="shared" si="5"/>
        <v xml:space="preserve">strcpy(AMP2_A,("Not Used")); strcpy(AMP2_B,("Not Used")); strcpy(AMP2_C,("Not Used")); strcpy(AMP2_D,("Not Used")); </v>
      </c>
      <c r="D116" s="31" t="s">
        <v>893</v>
      </c>
      <c r="E116" s="42" t="str">
        <f t="shared" si="3"/>
        <v>case 112: strcpy(AMP1_A,("Not Used")); strcpy(AMP1_B,("Not Used")); strcpy(AMP1_C,("Not Used")); strcpy(AMP1_D,("Not Used")); strcpy(AMP2_A,("Not Used")); strcpy(AMP2_B,("Not Used")); strcpy(AMP2_C,("Not Used")); strcpy(AMP2_D,("Not Used"));  break;</v>
      </c>
      <c r="F116" t="s">
        <v>893</v>
      </c>
      <c r="I116" t="s">
        <v>893</v>
      </c>
      <c r="J116" s="45" t="str">
        <f>VLOOKUP(S116,'AMP models AxeFxIII'!$D$2:$H$299,2,FALSE)</f>
        <v>Not Used</v>
      </c>
      <c r="K116" s="45" t="str">
        <f>VLOOKUP(T116,'AMP models AxeFxIII'!$D$2:$H$299,2,FALSE)</f>
        <v>Not Used</v>
      </c>
      <c r="L116" s="45" t="str">
        <f>VLOOKUP(U116,'AMP models AxeFxIII'!$D$2:$H$299,2,FALSE)</f>
        <v>Not Used</v>
      </c>
      <c r="M116" s="45" t="str">
        <f>VLOOKUP(V116,'AMP models AxeFxIII'!$D$2:$H$299,2,FALSE)</f>
        <v>Not Used</v>
      </c>
      <c r="N116" s="45" t="str">
        <f>VLOOKUP(W116,'AMP models AxeFxIII'!$D$2:$H$299,2,FALSE)</f>
        <v>Not Used</v>
      </c>
      <c r="O116" s="45" t="str">
        <f>VLOOKUP(X116,'AMP models AxeFxIII'!$D$2:$H$299,2,FALSE)</f>
        <v>Not Used</v>
      </c>
      <c r="P116" s="45" t="str">
        <f>VLOOKUP(Y116,'AMP models AxeFxIII'!$D$2:$H$299,2,FALSE)</f>
        <v>Not Used</v>
      </c>
      <c r="Q116" s="45" t="str">
        <f>VLOOKUP(Z116,'AMP models AxeFxIII'!$D$2:$H$299,2,FALSE)</f>
        <v>Not Used</v>
      </c>
      <c r="R116" s="4">
        <v>112</v>
      </c>
      <c r="S116" s="46" t="s">
        <v>555</v>
      </c>
      <c r="T116" s="46" t="s">
        <v>555</v>
      </c>
      <c r="U116" s="46" t="s">
        <v>555</v>
      </c>
      <c r="V116" s="46" t="s">
        <v>555</v>
      </c>
      <c r="W116" s="46" t="s">
        <v>555</v>
      </c>
      <c r="X116" s="46" t="s">
        <v>555</v>
      </c>
      <c r="Y116" s="46" t="s">
        <v>555</v>
      </c>
      <c r="Z116" s="46" t="s">
        <v>555</v>
      </c>
    </row>
    <row r="117" spans="1:26">
      <c r="A117" s="41">
        <f>preset_Names!A117</f>
        <v>113</v>
      </c>
      <c r="B117" t="str">
        <f t="shared" si="4"/>
        <v xml:space="preserve">strcpy(AMP1_A,("Not Used")); strcpy(AMP1_B,("Not Used")); strcpy(AMP1_C,("Not Used")); strcpy(AMP1_D,("Not Used")); </v>
      </c>
      <c r="C117" t="str">
        <f t="shared" si="5"/>
        <v xml:space="preserve">strcpy(AMP2_A,("Not Used")); strcpy(AMP2_B,("Not Used")); strcpy(AMP2_C,("Not Used")); strcpy(AMP2_D,("Not Used")); </v>
      </c>
      <c r="D117" s="31" t="s">
        <v>893</v>
      </c>
      <c r="E117" s="42" t="str">
        <f t="shared" si="3"/>
        <v>case 113: strcpy(AMP1_A,("Not Used")); strcpy(AMP1_B,("Not Used")); strcpy(AMP1_C,("Not Used")); strcpy(AMP1_D,("Not Used")); strcpy(AMP2_A,("Not Used")); strcpy(AMP2_B,("Not Used")); strcpy(AMP2_C,("Not Used")); strcpy(AMP2_D,("Not Used"));  break;</v>
      </c>
      <c r="F117" t="s">
        <v>893</v>
      </c>
      <c r="I117" t="s">
        <v>893</v>
      </c>
      <c r="J117" s="45" t="str">
        <f>VLOOKUP(S117,'AMP models AxeFxIII'!$D$2:$H$299,2,FALSE)</f>
        <v>Not Used</v>
      </c>
      <c r="K117" s="45" t="str">
        <f>VLOOKUP(T117,'AMP models AxeFxIII'!$D$2:$H$299,2,FALSE)</f>
        <v>Not Used</v>
      </c>
      <c r="L117" s="45" t="str">
        <f>VLOOKUP(U117,'AMP models AxeFxIII'!$D$2:$H$299,2,FALSE)</f>
        <v>Not Used</v>
      </c>
      <c r="M117" s="45" t="str">
        <f>VLOOKUP(V117,'AMP models AxeFxIII'!$D$2:$H$299,2,FALSE)</f>
        <v>Not Used</v>
      </c>
      <c r="N117" s="45" t="str">
        <f>VLOOKUP(W117,'AMP models AxeFxIII'!$D$2:$H$299,2,FALSE)</f>
        <v>Not Used</v>
      </c>
      <c r="O117" s="45" t="str">
        <f>VLOOKUP(X117,'AMP models AxeFxIII'!$D$2:$H$299,2,FALSE)</f>
        <v>Not Used</v>
      </c>
      <c r="P117" s="45" t="str">
        <f>VLOOKUP(Y117,'AMP models AxeFxIII'!$D$2:$H$299,2,FALSE)</f>
        <v>Not Used</v>
      </c>
      <c r="Q117" s="45" t="str">
        <f>VLOOKUP(Z117,'AMP models AxeFxIII'!$D$2:$H$299,2,FALSE)</f>
        <v>Not Used</v>
      </c>
      <c r="R117" s="4">
        <v>113</v>
      </c>
      <c r="S117" s="46" t="s">
        <v>555</v>
      </c>
      <c r="T117" s="46" t="s">
        <v>555</v>
      </c>
      <c r="U117" s="46" t="s">
        <v>555</v>
      </c>
      <c r="V117" s="46" t="s">
        <v>555</v>
      </c>
      <c r="W117" s="46" t="s">
        <v>555</v>
      </c>
      <c r="X117" s="46" t="s">
        <v>555</v>
      </c>
      <c r="Y117" s="46" t="s">
        <v>555</v>
      </c>
      <c r="Z117" s="46" t="s">
        <v>555</v>
      </c>
    </row>
    <row r="118" spans="1:26">
      <c r="A118" s="41">
        <f>preset_Names!A118</f>
        <v>114</v>
      </c>
      <c r="B118" t="str">
        <f t="shared" si="4"/>
        <v xml:space="preserve">strcpy(AMP1_A,("Not Used")); strcpy(AMP1_B,("Not Used")); strcpy(AMP1_C,("Not Used")); strcpy(AMP1_D,("Not Used")); </v>
      </c>
      <c r="C118" t="str">
        <f t="shared" si="5"/>
        <v xml:space="preserve">strcpy(AMP2_A,("Not Used")); strcpy(AMP2_B,("Not Used")); strcpy(AMP2_C,("Not Used")); strcpy(AMP2_D,("Not Used")); </v>
      </c>
      <c r="D118" s="31" t="s">
        <v>893</v>
      </c>
      <c r="E118" s="42" t="str">
        <f t="shared" si="3"/>
        <v>case 114: strcpy(AMP1_A,("Not Used")); strcpy(AMP1_B,("Not Used")); strcpy(AMP1_C,("Not Used")); strcpy(AMP1_D,("Not Used")); strcpy(AMP2_A,("Not Used")); strcpy(AMP2_B,("Not Used")); strcpy(AMP2_C,("Not Used")); strcpy(AMP2_D,("Not Used"));  break;</v>
      </c>
      <c r="F118" t="s">
        <v>893</v>
      </c>
      <c r="I118" t="s">
        <v>893</v>
      </c>
      <c r="J118" s="45" t="str">
        <f>VLOOKUP(S118,'AMP models AxeFxIII'!$D$2:$H$299,2,FALSE)</f>
        <v>Not Used</v>
      </c>
      <c r="K118" s="45" t="str">
        <f>VLOOKUP(T118,'AMP models AxeFxIII'!$D$2:$H$299,2,FALSE)</f>
        <v>Not Used</v>
      </c>
      <c r="L118" s="45" t="str">
        <f>VLOOKUP(U118,'AMP models AxeFxIII'!$D$2:$H$299,2,FALSE)</f>
        <v>Not Used</v>
      </c>
      <c r="M118" s="45" t="str">
        <f>VLOOKUP(V118,'AMP models AxeFxIII'!$D$2:$H$299,2,FALSE)</f>
        <v>Not Used</v>
      </c>
      <c r="N118" s="45" t="str">
        <f>VLOOKUP(W118,'AMP models AxeFxIII'!$D$2:$H$299,2,FALSE)</f>
        <v>Not Used</v>
      </c>
      <c r="O118" s="45" t="str">
        <f>VLOOKUP(X118,'AMP models AxeFxIII'!$D$2:$H$299,2,FALSE)</f>
        <v>Not Used</v>
      </c>
      <c r="P118" s="45" t="str">
        <f>VLOOKUP(Y118,'AMP models AxeFxIII'!$D$2:$H$299,2,FALSE)</f>
        <v>Not Used</v>
      </c>
      <c r="Q118" s="45" t="str">
        <f>VLOOKUP(Z118,'AMP models AxeFxIII'!$D$2:$H$299,2,FALSE)</f>
        <v>Not Used</v>
      </c>
      <c r="R118" s="4">
        <v>114</v>
      </c>
      <c r="S118" s="46" t="s">
        <v>555</v>
      </c>
      <c r="T118" s="46" t="s">
        <v>555</v>
      </c>
      <c r="U118" s="46" t="s">
        <v>555</v>
      </c>
      <c r="V118" s="46" t="s">
        <v>555</v>
      </c>
      <c r="W118" s="46" t="s">
        <v>555</v>
      </c>
      <c r="X118" s="46" t="s">
        <v>555</v>
      </c>
      <c r="Y118" s="46" t="s">
        <v>555</v>
      </c>
      <c r="Z118" s="46" t="s">
        <v>555</v>
      </c>
    </row>
    <row r="119" spans="1:26">
      <c r="A119" s="41">
        <f>preset_Names!A119</f>
        <v>115</v>
      </c>
      <c r="B119" t="str">
        <f t="shared" si="4"/>
        <v xml:space="preserve">strcpy(AMP1_A,("Not Used")); strcpy(AMP1_B,("Not Used")); strcpy(AMP1_C,("Not Used")); strcpy(AMP1_D,("Not Used")); </v>
      </c>
      <c r="C119" t="str">
        <f t="shared" si="5"/>
        <v xml:space="preserve">strcpy(AMP2_A,("Not Used")); strcpy(AMP2_B,("Not Used")); strcpy(AMP2_C,("Not Used")); strcpy(AMP2_D,("Not Used")); </v>
      </c>
      <c r="D119" s="31" t="s">
        <v>893</v>
      </c>
      <c r="E119" s="42" t="str">
        <f t="shared" si="3"/>
        <v>case 115: strcpy(AMP1_A,("Not Used")); strcpy(AMP1_B,("Not Used")); strcpy(AMP1_C,("Not Used")); strcpy(AMP1_D,("Not Used")); strcpy(AMP2_A,("Not Used")); strcpy(AMP2_B,("Not Used")); strcpy(AMP2_C,("Not Used")); strcpy(AMP2_D,("Not Used"));  break;</v>
      </c>
      <c r="F119" t="s">
        <v>893</v>
      </c>
      <c r="I119" t="s">
        <v>893</v>
      </c>
      <c r="J119" s="45" t="str">
        <f>VLOOKUP(S119,'AMP models AxeFxIII'!$D$2:$H$299,2,FALSE)</f>
        <v>Not Used</v>
      </c>
      <c r="K119" s="45" t="str">
        <f>VLOOKUP(T119,'AMP models AxeFxIII'!$D$2:$H$299,2,FALSE)</f>
        <v>Not Used</v>
      </c>
      <c r="L119" s="45" t="str">
        <f>VLOOKUP(U119,'AMP models AxeFxIII'!$D$2:$H$299,2,FALSE)</f>
        <v>Not Used</v>
      </c>
      <c r="M119" s="45" t="str">
        <f>VLOOKUP(V119,'AMP models AxeFxIII'!$D$2:$H$299,2,FALSE)</f>
        <v>Not Used</v>
      </c>
      <c r="N119" s="45" t="str">
        <f>VLOOKUP(W119,'AMP models AxeFxIII'!$D$2:$H$299,2,FALSE)</f>
        <v>Not Used</v>
      </c>
      <c r="O119" s="45" t="str">
        <f>VLOOKUP(X119,'AMP models AxeFxIII'!$D$2:$H$299,2,FALSE)</f>
        <v>Not Used</v>
      </c>
      <c r="P119" s="45" t="str">
        <f>VLOOKUP(Y119,'AMP models AxeFxIII'!$D$2:$H$299,2,FALSE)</f>
        <v>Not Used</v>
      </c>
      <c r="Q119" s="45" t="str">
        <f>VLOOKUP(Z119,'AMP models AxeFxIII'!$D$2:$H$299,2,FALSE)</f>
        <v>Not Used</v>
      </c>
      <c r="R119" s="4">
        <v>115</v>
      </c>
      <c r="S119" s="46" t="s">
        <v>555</v>
      </c>
      <c r="T119" s="46" t="s">
        <v>555</v>
      </c>
      <c r="U119" s="46" t="s">
        <v>555</v>
      </c>
      <c r="V119" s="46" t="s">
        <v>555</v>
      </c>
      <c r="W119" s="46" t="s">
        <v>555</v>
      </c>
      <c r="X119" s="46" t="s">
        <v>555</v>
      </c>
      <c r="Y119" s="46" t="s">
        <v>555</v>
      </c>
      <c r="Z119" s="46" t="s">
        <v>555</v>
      </c>
    </row>
    <row r="120" spans="1:26">
      <c r="A120" s="41">
        <f>preset_Names!A120</f>
        <v>116</v>
      </c>
      <c r="B120" t="str">
        <f t="shared" si="4"/>
        <v xml:space="preserve">strcpy(AMP1_A,("Not Used")); strcpy(AMP1_B,("Not Used")); strcpy(AMP1_C,("Not Used")); strcpy(AMP1_D,("Not Used")); </v>
      </c>
      <c r="C120" t="str">
        <f t="shared" si="5"/>
        <v xml:space="preserve">strcpy(AMP2_A,("Not Used")); strcpy(AMP2_B,("Not Used")); strcpy(AMP2_C,("Not Used")); strcpy(AMP2_D,("Not Used")); </v>
      </c>
      <c r="D120" s="31" t="s">
        <v>893</v>
      </c>
      <c r="E120" s="42" t="str">
        <f t="shared" si="3"/>
        <v>case 116: strcpy(AMP1_A,("Not Used")); strcpy(AMP1_B,("Not Used")); strcpy(AMP1_C,("Not Used")); strcpy(AMP1_D,("Not Used")); strcpy(AMP2_A,("Not Used")); strcpy(AMP2_B,("Not Used")); strcpy(AMP2_C,("Not Used")); strcpy(AMP2_D,("Not Used"));  break;</v>
      </c>
      <c r="F120" t="s">
        <v>893</v>
      </c>
      <c r="I120" t="s">
        <v>893</v>
      </c>
      <c r="J120" s="45" t="str">
        <f>VLOOKUP(S120,'AMP models AxeFxIII'!$D$2:$H$299,2,FALSE)</f>
        <v>Not Used</v>
      </c>
      <c r="K120" s="45" t="str">
        <f>VLOOKUP(T120,'AMP models AxeFxIII'!$D$2:$H$299,2,FALSE)</f>
        <v>Not Used</v>
      </c>
      <c r="L120" s="45" t="str">
        <f>VLOOKUP(U120,'AMP models AxeFxIII'!$D$2:$H$299,2,FALSE)</f>
        <v>Not Used</v>
      </c>
      <c r="M120" s="45" t="str">
        <f>VLOOKUP(V120,'AMP models AxeFxIII'!$D$2:$H$299,2,FALSE)</f>
        <v>Not Used</v>
      </c>
      <c r="N120" s="45" t="str">
        <f>VLOOKUP(W120,'AMP models AxeFxIII'!$D$2:$H$299,2,FALSE)</f>
        <v>Not Used</v>
      </c>
      <c r="O120" s="45" t="str">
        <f>VLOOKUP(X120,'AMP models AxeFxIII'!$D$2:$H$299,2,FALSE)</f>
        <v>Not Used</v>
      </c>
      <c r="P120" s="45" t="str">
        <f>VLOOKUP(Y120,'AMP models AxeFxIII'!$D$2:$H$299,2,FALSE)</f>
        <v>Not Used</v>
      </c>
      <c r="Q120" s="45" t="str">
        <f>VLOOKUP(Z120,'AMP models AxeFxIII'!$D$2:$H$299,2,FALSE)</f>
        <v>Not Used</v>
      </c>
      <c r="R120" s="4">
        <v>116</v>
      </c>
      <c r="S120" s="46" t="s">
        <v>555</v>
      </c>
      <c r="T120" s="46" t="s">
        <v>555</v>
      </c>
      <c r="U120" s="46" t="s">
        <v>555</v>
      </c>
      <c r="V120" s="46" t="s">
        <v>555</v>
      </c>
      <c r="W120" s="46" t="s">
        <v>555</v>
      </c>
      <c r="X120" s="46" t="s">
        <v>555</v>
      </c>
      <c r="Y120" s="46" t="s">
        <v>555</v>
      </c>
      <c r="Z120" s="46" t="s">
        <v>555</v>
      </c>
    </row>
    <row r="121" spans="1:26">
      <c r="A121" s="41">
        <f>preset_Names!A121</f>
        <v>117</v>
      </c>
      <c r="B121" t="str">
        <f t="shared" si="4"/>
        <v xml:space="preserve">strcpy(AMP1_A,("Not Used")); strcpy(AMP1_B,("Not Used")); strcpy(AMP1_C,("Not Used")); strcpy(AMP1_D,("Not Used")); </v>
      </c>
      <c r="C121" t="str">
        <f t="shared" si="5"/>
        <v xml:space="preserve">strcpy(AMP2_A,("Not Used")); strcpy(AMP2_B,("Not Used")); strcpy(AMP2_C,("Not Used")); strcpy(AMP2_D,("Not Used")); </v>
      </c>
      <c r="D121" s="31" t="s">
        <v>893</v>
      </c>
      <c r="E121" s="42" t="str">
        <f t="shared" si="3"/>
        <v>case 117: strcpy(AMP1_A,("Not Used")); strcpy(AMP1_B,("Not Used")); strcpy(AMP1_C,("Not Used")); strcpy(AMP1_D,("Not Used")); strcpy(AMP2_A,("Not Used")); strcpy(AMP2_B,("Not Used")); strcpy(AMP2_C,("Not Used")); strcpy(AMP2_D,("Not Used"));  break;</v>
      </c>
      <c r="F121" t="s">
        <v>893</v>
      </c>
      <c r="I121" t="s">
        <v>893</v>
      </c>
      <c r="J121" s="45" t="str">
        <f>VLOOKUP(S121,'AMP models AxeFxIII'!$D$2:$H$299,2,FALSE)</f>
        <v>Not Used</v>
      </c>
      <c r="K121" s="45" t="str">
        <f>VLOOKUP(T121,'AMP models AxeFxIII'!$D$2:$H$299,2,FALSE)</f>
        <v>Not Used</v>
      </c>
      <c r="L121" s="45" t="str">
        <f>VLOOKUP(U121,'AMP models AxeFxIII'!$D$2:$H$299,2,FALSE)</f>
        <v>Not Used</v>
      </c>
      <c r="M121" s="45" t="str">
        <f>VLOOKUP(V121,'AMP models AxeFxIII'!$D$2:$H$299,2,FALSE)</f>
        <v>Not Used</v>
      </c>
      <c r="N121" s="45" t="str">
        <f>VLOOKUP(W121,'AMP models AxeFxIII'!$D$2:$H$299,2,FALSE)</f>
        <v>Not Used</v>
      </c>
      <c r="O121" s="45" t="str">
        <f>VLOOKUP(X121,'AMP models AxeFxIII'!$D$2:$H$299,2,FALSE)</f>
        <v>Not Used</v>
      </c>
      <c r="P121" s="45" t="str">
        <f>VLOOKUP(Y121,'AMP models AxeFxIII'!$D$2:$H$299,2,FALSE)</f>
        <v>Not Used</v>
      </c>
      <c r="Q121" s="45" t="str">
        <f>VLOOKUP(Z121,'AMP models AxeFxIII'!$D$2:$H$299,2,FALSE)</f>
        <v>Not Used</v>
      </c>
      <c r="R121" s="4">
        <v>117</v>
      </c>
      <c r="S121" s="46" t="s">
        <v>555</v>
      </c>
      <c r="T121" s="46" t="s">
        <v>555</v>
      </c>
      <c r="U121" s="46" t="s">
        <v>555</v>
      </c>
      <c r="V121" s="46" t="s">
        <v>555</v>
      </c>
      <c r="W121" s="46" t="s">
        <v>555</v>
      </c>
      <c r="X121" s="46" t="s">
        <v>555</v>
      </c>
      <c r="Y121" s="46" t="s">
        <v>555</v>
      </c>
      <c r="Z121" s="46" t="s">
        <v>555</v>
      </c>
    </row>
    <row r="122" spans="1:26">
      <c r="A122" s="41">
        <f>preset_Names!A122</f>
        <v>118</v>
      </c>
      <c r="B122" t="str">
        <f t="shared" si="4"/>
        <v xml:space="preserve">strcpy(AMP1_A,("Not Used")); strcpy(AMP1_B,("Not Used")); strcpy(AMP1_C,("Not Used")); strcpy(AMP1_D,("Not Used")); </v>
      </c>
      <c r="C122" t="str">
        <f t="shared" si="5"/>
        <v xml:space="preserve">strcpy(AMP2_A,("Not Used")); strcpy(AMP2_B,("Not Used")); strcpy(AMP2_C,("Not Used")); strcpy(AMP2_D,("Not Used")); </v>
      </c>
      <c r="D122" s="31" t="s">
        <v>893</v>
      </c>
      <c r="E122" s="42" t="str">
        <f t="shared" si="3"/>
        <v>case 118: strcpy(AMP1_A,("Not Used")); strcpy(AMP1_B,("Not Used")); strcpy(AMP1_C,("Not Used")); strcpy(AMP1_D,("Not Used")); strcpy(AMP2_A,("Not Used")); strcpy(AMP2_B,("Not Used")); strcpy(AMP2_C,("Not Used")); strcpy(AMP2_D,("Not Used"));  break;</v>
      </c>
      <c r="F122" t="s">
        <v>893</v>
      </c>
      <c r="I122" t="s">
        <v>893</v>
      </c>
      <c r="J122" s="45" t="str">
        <f>VLOOKUP(S122,'AMP models AxeFxIII'!$D$2:$H$299,2,FALSE)</f>
        <v>Not Used</v>
      </c>
      <c r="K122" s="45" t="str">
        <f>VLOOKUP(T122,'AMP models AxeFxIII'!$D$2:$H$299,2,FALSE)</f>
        <v>Not Used</v>
      </c>
      <c r="L122" s="45" t="str">
        <f>VLOOKUP(U122,'AMP models AxeFxIII'!$D$2:$H$299,2,FALSE)</f>
        <v>Not Used</v>
      </c>
      <c r="M122" s="45" t="str">
        <f>VLOOKUP(V122,'AMP models AxeFxIII'!$D$2:$H$299,2,FALSE)</f>
        <v>Not Used</v>
      </c>
      <c r="N122" s="45" t="str">
        <f>VLOOKUP(W122,'AMP models AxeFxIII'!$D$2:$H$299,2,FALSE)</f>
        <v>Not Used</v>
      </c>
      <c r="O122" s="45" t="str">
        <f>VLOOKUP(X122,'AMP models AxeFxIII'!$D$2:$H$299,2,FALSE)</f>
        <v>Not Used</v>
      </c>
      <c r="P122" s="45" t="str">
        <f>VLOOKUP(Y122,'AMP models AxeFxIII'!$D$2:$H$299,2,FALSE)</f>
        <v>Not Used</v>
      </c>
      <c r="Q122" s="45" t="str">
        <f>VLOOKUP(Z122,'AMP models AxeFxIII'!$D$2:$H$299,2,FALSE)</f>
        <v>Not Used</v>
      </c>
      <c r="R122" s="4">
        <v>118</v>
      </c>
      <c r="S122" s="46" t="s">
        <v>555</v>
      </c>
      <c r="T122" s="46" t="s">
        <v>555</v>
      </c>
      <c r="U122" s="46" t="s">
        <v>555</v>
      </c>
      <c r="V122" s="46" t="s">
        <v>555</v>
      </c>
      <c r="W122" s="46" t="s">
        <v>555</v>
      </c>
      <c r="X122" s="46" t="s">
        <v>555</v>
      </c>
      <c r="Y122" s="46" t="s">
        <v>555</v>
      </c>
      <c r="Z122" s="46" t="s">
        <v>555</v>
      </c>
    </row>
    <row r="123" spans="1:26">
      <c r="A123" s="41">
        <f>preset_Names!A123</f>
        <v>119</v>
      </c>
      <c r="B123" t="str">
        <f t="shared" si="4"/>
        <v xml:space="preserve">strcpy(AMP1_A,("Not Used")); strcpy(AMP1_B,("Not Used")); strcpy(AMP1_C,("Not Used")); strcpy(AMP1_D,("Not Used")); </v>
      </c>
      <c r="C123" t="str">
        <f t="shared" si="5"/>
        <v xml:space="preserve">strcpy(AMP2_A,("Not Used")); strcpy(AMP2_B,("Not Used")); strcpy(AMP2_C,("Not Used")); strcpy(AMP2_D,("Not Used")); </v>
      </c>
      <c r="D123" s="31" t="s">
        <v>893</v>
      </c>
      <c r="E123" s="42" t="str">
        <f t="shared" si="3"/>
        <v>case 119: strcpy(AMP1_A,("Not Used")); strcpy(AMP1_B,("Not Used")); strcpy(AMP1_C,("Not Used")); strcpy(AMP1_D,("Not Used")); strcpy(AMP2_A,("Not Used")); strcpy(AMP2_B,("Not Used")); strcpy(AMP2_C,("Not Used")); strcpy(AMP2_D,("Not Used"));  break;</v>
      </c>
      <c r="F123" t="s">
        <v>893</v>
      </c>
      <c r="I123" t="s">
        <v>893</v>
      </c>
      <c r="J123" s="45" t="str">
        <f>VLOOKUP(S123,'AMP models AxeFxIII'!$D$2:$H$299,2,FALSE)</f>
        <v>Not Used</v>
      </c>
      <c r="K123" s="45" t="str">
        <f>VLOOKUP(T123,'AMP models AxeFxIII'!$D$2:$H$299,2,FALSE)</f>
        <v>Not Used</v>
      </c>
      <c r="L123" s="45" t="str">
        <f>VLOOKUP(U123,'AMP models AxeFxIII'!$D$2:$H$299,2,FALSE)</f>
        <v>Not Used</v>
      </c>
      <c r="M123" s="45" t="str">
        <f>VLOOKUP(V123,'AMP models AxeFxIII'!$D$2:$H$299,2,FALSE)</f>
        <v>Not Used</v>
      </c>
      <c r="N123" s="45" t="str">
        <f>VLOOKUP(W123,'AMP models AxeFxIII'!$D$2:$H$299,2,FALSE)</f>
        <v>Not Used</v>
      </c>
      <c r="O123" s="45" t="str">
        <f>VLOOKUP(X123,'AMP models AxeFxIII'!$D$2:$H$299,2,FALSE)</f>
        <v>Not Used</v>
      </c>
      <c r="P123" s="45" t="str">
        <f>VLOOKUP(Y123,'AMP models AxeFxIII'!$D$2:$H$299,2,FALSE)</f>
        <v>Not Used</v>
      </c>
      <c r="Q123" s="45" t="str">
        <f>VLOOKUP(Z123,'AMP models AxeFxIII'!$D$2:$H$299,2,FALSE)</f>
        <v>Not Used</v>
      </c>
      <c r="R123" s="4">
        <v>119</v>
      </c>
      <c r="S123" s="46" t="s">
        <v>555</v>
      </c>
      <c r="T123" s="46" t="s">
        <v>555</v>
      </c>
      <c r="U123" s="46" t="s">
        <v>555</v>
      </c>
      <c r="V123" s="46" t="s">
        <v>555</v>
      </c>
      <c r="W123" s="46" t="s">
        <v>555</v>
      </c>
      <c r="X123" s="46" t="s">
        <v>555</v>
      </c>
      <c r="Y123" s="46" t="s">
        <v>555</v>
      </c>
      <c r="Z123" s="46" t="s">
        <v>555</v>
      </c>
    </row>
    <row r="124" spans="1:26">
      <c r="A124" s="41">
        <f>preset_Names!A124</f>
        <v>120</v>
      </c>
      <c r="B124" t="str">
        <f t="shared" si="4"/>
        <v xml:space="preserve">strcpy(AMP1_A,("Not Used")); strcpy(AMP1_B,("Not Used")); strcpy(AMP1_C,("Not Used")); strcpy(AMP1_D,("Not Used")); </v>
      </c>
      <c r="C124" t="str">
        <f t="shared" si="5"/>
        <v xml:space="preserve">strcpy(AMP2_A,("Not Used")); strcpy(AMP2_B,("Not Used")); strcpy(AMP2_C,("Not Used")); strcpy(AMP2_D,("Not Used")); </v>
      </c>
      <c r="D124" s="31" t="s">
        <v>893</v>
      </c>
      <c r="E124" s="42" t="str">
        <f t="shared" si="3"/>
        <v>case 120: strcpy(AMP1_A,("Not Used")); strcpy(AMP1_B,("Not Used")); strcpy(AMP1_C,("Not Used")); strcpy(AMP1_D,("Not Used")); strcpy(AMP2_A,("Not Used")); strcpy(AMP2_B,("Not Used")); strcpy(AMP2_C,("Not Used")); strcpy(AMP2_D,("Not Used"));  break;</v>
      </c>
      <c r="F124" t="s">
        <v>893</v>
      </c>
      <c r="I124" t="s">
        <v>893</v>
      </c>
      <c r="J124" s="45" t="str">
        <f>VLOOKUP(S124,'AMP models AxeFxIII'!$D$2:$H$299,2,FALSE)</f>
        <v>Not Used</v>
      </c>
      <c r="K124" s="45" t="str">
        <f>VLOOKUP(T124,'AMP models AxeFxIII'!$D$2:$H$299,2,FALSE)</f>
        <v>Not Used</v>
      </c>
      <c r="L124" s="45" t="str">
        <f>VLOOKUP(U124,'AMP models AxeFxIII'!$D$2:$H$299,2,FALSE)</f>
        <v>Not Used</v>
      </c>
      <c r="M124" s="45" t="str">
        <f>VLOOKUP(V124,'AMP models AxeFxIII'!$D$2:$H$299,2,FALSE)</f>
        <v>Not Used</v>
      </c>
      <c r="N124" s="45" t="str">
        <f>VLOOKUP(W124,'AMP models AxeFxIII'!$D$2:$H$299,2,FALSE)</f>
        <v>Not Used</v>
      </c>
      <c r="O124" s="45" t="str">
        <f>VLOOKUP(X124,'AMP models AxeFxIII'!$D$2:$H$299,2,FALSE)</f>
        <v>Not Used</v>
      </c>
      <c r="P124" s="45" t="str">
        <f>VLOOKUP(Y124,'AMP models AxeFxIII'!$D$2:$H$299,2,FALSE)</f>
        <v>Not Used</v>
      </c>
      <c r="Q124" s="45" t="str">
        <f>VLOOKUP(Z124,'AMP models AxeFxIII'!$D$2:$H$299,2,FALSE)</f>
        <v>Not Used</v>
      </c>
      <c r="R124" s="4">
        <v>120</v>
      </c>
      <c r="S124" s="46" t="s">
        <v>555</v>
      </c>
      <c r="T124" s="46" t="s">
        <v>555</v>
      </c>
      <c r="U124" s="46" t="s">
        <v>555</v>
      </c>
      <c r="V124" s="46" t="s">
        <v>555</v>
      </c>
      <c r="W124" s="46" t="s">
        <v>555</v>
      </c>
      <c r="X124" s="46" t="s">
        <v>555</v>
      </c>
      <c r="Y124" s="46" t="s">
        <v>555</v>
      </c>
      <c r="Z124" s="46" t="s">
        <v>555</v>
      </c>
    </row>
    <row r="125" spans="1:26">
      <c r="A125" s="41">
        <f>preset_Names!A125</f>
        <v>121</v>
      </c>
      <c r="B125" t="str">
        <f t="shared" si="4"/>
        <v xml:space="preserve">strcpy(AMP1_A,("Not Used")); strcpy(AMP1_B,("Not Used")); strcpy(AMP1_C,("Not Used")); strcpy(AMP1_D,("Not Used")); </v>
      </c>
      <c r="C125" t="str">
        <f t="shared" si="5"/>
        <v xml:space="preserve">strcpy(AMP2_A,("Not Used")); strcpy(AMP2_B,("Not Used")); strcpy(AMP2_C,("Not Used")); strcpy(AMP2_D,("Not Used")); </v>
      </c>
      <c r="D125" s="31" t="s">
        <v>893</v>
      </c>
      <c r="E125" s="42" t="str">
        <f t="shared" si="3"/>
        <v>case 121: strcpy(AMP1_A,("Not Used")); strcpy(AMP1_B,("Not Used")); strcpy(AMP1_C,("Not Used")); strcpy(AMP1_D,("Not Used")); strcpy(AMP2_A,("Not Used")); strcpy(AMP2_B,("Not Used")); strcpy(AMP2_C,("Not Used")); strcpy(AMP2_D,("Not Used"));  break;</v>
      </c>
      <c r="F125" t="s">
        <v>893</v>
      </c>
      <c r="I125" t="s">
        <v>893</v>
      </c>
      <c r="J125" s="45" t="str">
        <f>VLOOKUP(S125,'AMP models AxeFxIII'!$D$2:$H$299,2,FALSE)</f>
        <v>Not Used</v>
      </c>
      <c r="K125" s="45" t="str">
        <f>VLOOKUP(T125,'AMP models AxeFxIII'!$D$2:$H$299,2,FALSE)</f>
        <v>Not Used</v>
      </c>
      <c r="L125" s="45" t="str">
        <f>VLOOKUP(U125,'AMP models AxeFxIII'!$D$2:$H$299,2,FALSE)</f>
        <v>Not Used</v>
      </c>
      <c r="M125" s="45" t="str">
        <f>VLOOKUP(V125,'AMP models AxeFxIII'!$D$2:$H$299,2,FALSE)</f>
        <v>Not Used</v>
      </c>
      <c r="N125" s="45" t="str">
        <f>VLOOKUP(W125,'AMP models AxeFxIII'!$D$2:$H$299,2,FALSE)</f>
        <v>Not Used</v>
      </c>
      <c r="O125" s="45" t="str">
        <f>VLOOKUP(X125,'AMP models AxeFxIII'!$D$2:$H$299,2,FALSE)</f>
        <v>Not Used</v>
      </c>
      <c r="P125" s="45" t="str">
        <f>VLOOKUP(Y125,'AMP models AxeFxIII'!$D$2:$H$299,2,FALSE)</f>
        <v>Not Used</v>
      </c>
      <c r="Q125" s="45" t="str">
        <f>VLOOKUP(Z125,'AMP models AxeFxIII'!$D$2:$H$299,2,FALSE)</f>
        <v>Not Used</v>
      </c>
      <c r="R125" s="4">
        <v>121</v>
      </c>
      <c r="S125" s="46" t="s">
        <v>555</v>
      </c>
      <c r="T125" s="46" t="s">
        <v>555</v>
      </c>
      <c r="U125" s="46" t="s">
        <v>555</v>
      </c>
      <c r="V125" s="46" t="s">
        <v>555</v>
      </c>
      <c r="W125" s="46" t="s">
        <v>555</v>
      </c>
      <c r="X125" s="46" t="s">
        <v>555</v>
      </c>
      <c r="Y125" s="46" t="s">
        <v>555</v>
      </c>
      <c r="Z125" s="46" t="s">
        <v>555</v>
      </c>
    </row>
    <row r="126" spans="1:26">
      <c r="A126" s="41">
        <f>preset_Names!A126</f>
        <v>122</v>
      </c>
      <c r="B126" t="str">
        <f t="shared" si="4"/>
        <v xml:space="preserve">strcpy(AMP1_A,("Not Used")); strcpy(AMP1_B,("Not Used")); strcpy(AMP1_C,("Not Used")); strcpy(AMP1_D,("Not Used")); </v>
      </c>
      <c r="C126" t="str">
        <f t="shared" si="5"/>
        <v xml:space="preserve">strcpy(AMP2_A,("Not Used")); strcpy(AMP2_B,("Not Used")); strcpy(AMP2_C,("Not Used")); strcpy(AMP2_D,("Not Used")); </v>
      </c>
      <c r="D126" s="31" t="s">
        <v>893</v>
      </c>
      <c r="E126" s="42" t="str">
        <f t="shared" si="3"/>
        <v>case 122: strcpy(AMP1_A,("Not Used")); strcpy(AMP1_B,("Not Used")); strcpy(AMP1_C,("Not Used")); strcpy(AMP1_D,("Not Used")); strcpy(AMP2_A,("Not Used")); strcpy(AMP2_B,("Not Used")); strcpy(AMP2_C,("Not Used")); strcpy(AMP2_D,("Not Used"));  break;</v>
      </c>
      <c r="F126" t="s">
        <v>893</v>
      </c>
      <c r="I126" t="s">
        <v>893</v>
      </c>
      <c r="J126" s="45" t="str">
        <f>VLOOKUP(S126,'AMP models AxeFxIII'!$D$2:$H$299,2,FALSE)</f>
        <v>Not Used</v>
      </c>
      <c r="K126" s="45" t="str">
        <f>VLOOKUP(T126,'AMP models AxeFxIII'!$D$2:$H$299,2,FALSE)</f>
        <v>Not Used</v>
      </c>
      <c r="L126" s="45" t="str">
        <f>VLOOKUP(U126,'AMP models AxeFxIII'!$D$2:$H$299,2,FALSE)</f>
        <v>Not Used</v>
      </c>
      <c r="M126" s="45" t="str">
        <f>VLOOKUP(V126,'AMP models AxeFxIII'!$D$2:$H$299,2,FALSE)</f>
        <v>Not Used</v>
      </c>
      <c r="N126" s="45" t="str">
        <f>VLOOKUP(W126,'AMP models AxeFxIII'!$D$2:$H$299,2,FALSE)</f>
        <v>Not Used</v>
      </c>
      <c r="O126" s="45" t="str">
        <f>VLOOKUP(X126,'AMP models AxeFxIII'!$D$2:$H$299,2,FALSE)</f>
        <v>Not Used</v>
      </c>
      <c r="P126" s="45" t="str">
        <f>VLOOKUP(Y126,'AMP models AxeFxIII'!$D$2:$H$299,2,FALSE)</f>
        <v>Not Used</v>
      </c>
      <c r="Q126" s="45" t="str">
        <f>VLOOKUP(Z126,'AMP models AxeFxIII'!$D$2:$H$299,2,FALSE)</f>
        <v>Not Used</v>
      </c>
      <c r="R126" s="4">
        <v>122</v>
      </c>
      <c r="S126" s="46" t="s">
        <v>555</v>
      </c>
      <c r="T126" s="46" t="s">
        <v>555</v>
      </c>
      <c r="U126" s="46" t="s">
        <v>555</v>
      </c>
      <c r="V126" s="46" t="s">
        <v>555</v>
      </c>
      <c r="W126" s="46" t="s">
        <v>555</v>
      </c>
      <c r="X126" s="46" t="s">
        <v>555</v>
      </c>
      <c r="Y126" s="46" t="s">
        <v>555</v>
      </c>
      <c r="Z126" s="46" t="s">
        <v>555</v>
      </c>
    </row>
    <row r="127" spans="1:26">
      <c r="A127" s="41">
        <f>preset_Names!A127</f>
        <v>123</v>
      </c>
      <c r="B127" t="str">
        <f t="shared" si="4"/>
        <v xml:space="preserve">strcpy(AMP1_A,("Not Used")); strcpy(AMP1_B,("Not Used")); strcpy(AMP1_C,("Not Used")); strcpy(AMP1_D,("Not Used")); </v>
      </c>
      <c r="C127" t="str">
        <f t="shared" si="5"/>
        <v xml:space="preserve">strcpy(AMP2_A,("Not Used")); strcpy(AMP2_B,("Not Used")); strcpy(AMP2_C,("Not Used")); strcpy(AMP2_D,("Not Used")); </v>
      </c>
      <c r="D127" s="31" t="s">
        <v>893</v>
      </c>
      <c r="E127" s="42" t="str">
        <f t="shared" si="3"/>
        <v>case 123: strcpy(AMP1_A,("Not Used")); strcpy(AMP1_B,("Not Used")); strcpy(AMP1_C,("Not Used")); strcpy(AMP1_D,("Not Used")); strcpy(AMP2_A,("Not Used")); strcpy(AMP2_B,("Not Used")); strcpy(AMP2_C,("Not Used")); strcpy(AMP2_D,("Not Used"));  break;</v>
      </c>
      <c r="F127" t="s">
        <v>893</v>
      </c>
      <c r="I127" t="s">
        <v>893</v>
      </c>
      <c r="J127" s="45" t="str">
        <f>VLOOKUP(S127,'AMP models AxeFxIII'!$D$2:$H$299,2,FALSE)</f>
        <v>Not Used</v>
      </c>
      <c r="K127" s="45" t="str">
        <f>VLOOKUP(T127,'AMP models AxeFxIII'!$D$2:$H$299,2,FALSE)</f>
        <v>Not Used</v>
      </c>
      <c r="L127" s="45" t="str">
        <f>VLOOKUP(U127,'AMP models AxeFxIII'!$D$2:$H$299,2,FALSE)</f>
        <v>Not Used</v>
      </c>
      <c r="M127" s="45" t="str">
        <f>VLOOKUP(V127,'AMP models AxeFxIII'!$D$2:$H$299,2,FALSE)</f>
        <v>Not Used</v>
      </c>
      <c r="N127" s="45" t="str">
        <f>VLOOKUP(W127,'AMP models AxeFxIII'!$D$2:$H$299,2,FALSE)</f>
        <v>Not Used</v>
      </c>
      <c r="O127" s="45" t="str">
        <f>VLOOKUP(X127,'AMP models AxeFxIII'!$D$2:$H$299,2,FALSE)</f>
        <v>Not Used</v>
      </c>
      <c r="P127" s="45" t="str">
        <f>VLOOKUP(Y127,'AMP models AxeFxIII'!$D$2:$H$299,2,FALSE)</f>
        <v>Not Used</v>
      </c>
      <c r="Q127" s="45" t="str">
        <f>VLOOKUP(Z127,'AMP models AxeFxIII'!$D$2:$H$299,2,FALSE)</f>
        <v>Not Used</v>
      </c>
      <c r="R127" s="4">
        <v>123</v>
      </c>
      <c r="S127" s="46" t="s">
        <v>555</v>
      </c>
      <c r="T127" s="46" t="s">
        <v>555</v>
      </c>
      <c r="U127" s="46" t="s">
        <v>555</v>
      </c>
      <c r="V127" s="46" t="s">
        <v>555</v>
      </c>
      <c r="W127" s="46" t="s">
        <v>555</v>
      </c>
      <c r="X127" s="46" t="s">
        <v>555</v>
      </c>
      <c r="Y127" s="46" t="s">
        <v>555</v>
      </c>
      <c r="Z127" s="46" t="s">
        <v>555</v>
      </c>
    </row>
    <row r="128" spans="1:26">
      <c r="A128" s="41">
        <f>preset_Names!A128</f>
        <v>124</v>
      </c>
      <c r="B128" t="str">
        <f t="shared" si="4"/>
        <v xml:space="preserve">strcpy(AMP1_A,("Not Used")); strcpy(AMP1_B,("Not Used")); strcpy(AMP1_C,("Not Used")); strcpy(AMP1_D,("Not Used")); </v>
      </c>
      <c r="C128" t="str">
        <f t="shared" si="5"/>
        <v xml:space="preserve">strcpy(AMP2_A,("Not Used")); strcpy(AMP2_B,("Not Used")); strcpy(AMP2_C,("Not Used")); strcpy(AMP2_D,("Not Used")); </v>
      </c>
      <c r="D128" s="31" t="s">
        <v>893</v>
      </c>
      <c r="E128" s="42" t="str">
        <f t="shared" si="3"/>
        <v>case 124: strcpy(AMP1_A,("Not Used")); strcpy(AMP1_B,("Not Used")); strcpy(AMP1_C,("Not Used")); strcpy(AMP1_D,("Not Used")); strcpy(AMP2_A,("Not Used")); strcpy(AMP2_B,("Not Used")); strcpy(AMP2_C,("Not Used")); strcpy(AMP2_D,("Not Used"));  break;</v>
      </c>
      <c r="F128" t="s">
        <v>893</v>
      </c>
      <c r="I128" t="s">
        <v>893</v>
      </c>
      <c r="J128" s="45" t="str">
        <f>VLOOKUP(S128,'AMP models AxeFxIII'!$D$2:$H$299,2,FALSE)</f>
        <v>Not Used</v>
      </c>
      <c r="K128" s="45" t="str">
        <f>VLOOKUP(T128,'AMP models AxeFxIII'!$D$2:$H$299,2,FALSE)</f>
        <v>Not Used</v>
      </c>
      <c r="L128" s="45" t="str">
        <f>VLOOKUP(U128,'AMP models AxeFxIII'!$D$2:$H$299,2,FALSE)</f>
        <v>Not Used</v>
      </c>
      <c r="M128" s="45" t="str">
        <f>VLOOKUP(V128,'AMP models AxeFxIII'!$D$2:$H$299,2,FALSE)</f>
        <v>Not Used</v>
      </c>
      <c r="N128" s="45" t="str">
        <f>VLOOKUP(W128,'AMP models AxeFxIII'!$D$2:$H$299,2,FALSE)</f>
        <v>Not Used</v>
      </c>
      <c r="O128" s="45" t="str">
        <f>VLOOKUP(X128,'AMP models AxeFxIII'!$D$2:$H$299,2,FALSE)</f>
        <v>Not Used</v>
      </c>
      <c r="P128" s="45" t="str">
        <f>VLOOKUP(Y128,'AMP models AxeFxIII'!$D$2:$H$299,2,FALSE)</f>
        <v>Not Used</v>
      </c>
      <c r="Q128" s="45" t="str">
        <f>VLOOKUP(Z128,'AMP models AxeFxIII'!$D$2:$H$299,2,FALSE)</f>
        <v>Not Used</v>
      </c>
      <c r="R128" s="4">
        <v>124</v>
      </c>
      <c r="S128" s="46" t="s">
        <v>555</v>
      </c>
      <c r="T128" s="46" t="s">
        <v>555</v>
      </c>
      <c r="U128" s="46" t="s">
        <v>555</v>
      </c>
      <c r="V128" s="46" t="s">
        <v>555</v>
      </c>
      <c r="W128" s="46" t="s">
        <v>555</v>
      </c>
      <c r="X128" s="46" t="s">
        <v>555</v>
      </c>
      <c r="Y128" s="46" t="s">
        <v>555</v>
      </c>
      <c r="Z128" s="46" t="s">
        <v>555</v>
      </c>
    </row>
    <row r="129" spans="1:26">
      <c r="A129" s="41">
        <f>preset_Names!A129</f>
        <v>125</v>
      </c>
      <c r="B129" t="str">
        <f t="shared" si="4"/>
        <v xml:space="preserve">strcpy(AMP1_A,("Not Used")); strcpy(AMP1_B,("Not Used")); strcpy(AMP1_C,("Not Used")); strcpy(AMP1_D,("Not Used")); </v>
      </c>
      <c r="C129" t="str">
        <f t="shared" si="5"/>
        <v xml:space="preserve">strcpy(AMP2_A,("Not Used")); strcpy(AMP2_B,("Not Used")); strcpy(AMP2_C,("Not Used")); strcpy(AMP2_D,("Not Used")); </v>
      </c>
      <c r="D129" s="31" t="s">
        <v>893</v>
      </c>
      <c r="E129" s="42" t="str">
        <f t="shared" si="3"/>
        <v>case 125: strcpy(AMP1_A,("Not Used")); strcpy(AMP1_B,("Not Used")); strcpy(AMP1_C,("Not Used")); strcpy(AMP1_D,("Not Used")); strcpy(AMP2_A,("Not Used")); strcpy(AMP2_B,("Not Used")); strcpy(AMP2_C,("Not Used")); strcpy(AMP2_D,("Not Used"));  break;</v>
      </c>
      <c r="F129" t="s">
        <v>893</v>
      </c>
      <c r="I129" t="s">
        <v>893</v>
      </c>
      <c r="J129" s="45" t="str">
        <f>VLOOKUP(S129,'AMP models AxeFxIII'!$D$2:$H$299,2,FALSE)</f>
        <v>Not Used</v>
      </c>
      <c r="K129" s="45" t="str">
        <f>VLOOKUP(T129,'AMP models AxeFxIII'!$D$2:$H$299,2,FALSE)</f>
        <v>Not Used</v>
      </c>
      <c r="L129" s="45" t="str">
        <f>VLOOKUP(U129,'AMP models AxeFxIII'!$D$2:$H$299,2,FALSE)</f>
        <v>Not Used</v>
      </c>
      <c r="M129" s="45" t="str">
        <f>VLOOKUP(V129,'AMP models AxeFxIII'!$D$2:$H$299,2,FALSE)</f>
        <v>Not Used</v>
      </c>
      <c r="N129" s="45" t="str">
        <f>VLOOKUP(W129,'AMP models AxeFxIII'!$D$2:$H$299,2,FALSE)</f>
        <v>Not Used</v>
      </c>
      <c r="O129" s="45" t="str">
        <f>VLOOKUP(X129,'AMP models AxeFxIII'!$D$2:$H$299,2,FALSE)</f>
        <v>Not Used</v>
      </c>
      <c r="P129" s="45" t="str">
        <f>VLOOKUP(Y129,'AMP models AxeFxIII'!$D$2:$H$299,2,FALSE)</f>
        <v>Not Used</v>
      </c>
      <c r="Q129" s="45" t="str">
        <f>VLOOKUP(Z129,'AMP models AxeFxIII'!$D$2:$H$299,2,FALSE)</f>
        <v>Not Used</v>
      </c>
      <c r="R129" s="4">
        <v>125</v>
      </c>
      <c r="S129" s="46" t="s">
        <v>555</v>
      </c>
      <c r="T129" s="46" t="s">
        <v>555</v>
      </c>
      <c r="U129" s="46" t="s">
        <v>555</v>
      </c>
      <c r="V129" s="46" t="s">
        <v>555</v>
      </c>
      <c r="W129" s="46" t="s">
        <v>555</v>
      </c>
      <c r="X129" s="46" t="s">
        <v>555</v>
      </c>
      <c r="Y129" s="46" t="s">
        <v>555</v>
      </c>
      <c r="Z129" s="46" t="s">
        <v>555</v>
      </c>
    </row>
    <row r="130" spans="1:26">
      <c r="A130" s="41">
        <f>preset_Names!A130</f>
        <v>126</v>
      </c>
      <c r="B130" t="str">
        <f t="shared" si="4"/>
        <v xml:space="preserve">strcpy(AMP1_A,("Not Used")); strcpy(AMP1_B,("Not Used")); strcpy(AMP1_C,("Not Used")); strcpy(AMP1_D,("Not Used")); </v>
      </c>
      <c r="C130" t="str">
        <f t="shared" si="5"/>
        <v xml:space="preserve">strcpy(AMP2_A,("Not Used")); strcpy(AMP2_B,("Not Used")); strcpy(AMP2_C,("Not Used")); strcpy(AMP2_D,("Not Used")); </v>
      </c>
      <c r="D130" s="31" t="s">
        <v>893</v>
      </c>
      <c r="E130" s="42" t="str">
        <f t="shared" si="3"/>
        <v>case 126: strcpy(AMP1_A,("Not Used")); strcpy(AMP1_B,("Not Used")); strcpy(AMP1_C,("Not Used")); strcpy(AMP1_D,("Not Used")); strcpy(AMP2_A,("Not Used")); strcpy(AMP2_B,("Not Used")); strcpy(AMP2_C,("Not Used")); strcpy(AMP2_D,("Not Used"));  break;</v>
      </c>
      <c r="F130" t="s">
        <v>893</v>
      </c>
      <c r="I130" t="s">
        <v>893</v>
      </c>
      <c r="J130" s="45" t="str">
        <f>VLOOKUP(S130,'AMP models AxeFxIII'!$D$2:$H$299,2,FALSE)</f>
        <v>Not Used</v>
      </c>
      <c r="K130" s="45" t="str">
        <f>VLOOKUP(T130,'AMP models AxeFxIII'!$D$2:$H$299,2,FALSE)</f>
        <v>Not Used</v>
      </c>
      <c r="L130" s="45" t="str">
        <f>VLOOKUP(U130,'AMP models AxeFxIII'!$D$2:$H$299,2,FALSE)</f>
        <v>Not Used</v>
      </c>
      <c r="M130" s="45" t="str">
        <f>VLOOKUP(V130,'AMP models AxeFxIII'!$D$2:$H$299,2,FALSE)</f>
        <v>Not Used</v>
      </c>
      <c r="N130" s="45" t="str">
        <f>VLOOKUP(W130,'AMP models AxeFxIII'!$D$2:$H$299,2,FALSE)</f>
        <v>Not Used</v>
      </c>
      <c r="O130" s="45" t="str">
        <f>VLOOKUP(X130,'AMP models AxeFxIII'!$D$2:$H$299,2,FALSE)</f>
        <v>Not Used</v>
      </c>
      <c r="P130" s="45" t="str">
        <f>VLOOKUP(Y130,'AMP models AxeFxIII'!$D$2:$H$299,2,FALSE)</f>
        <v>Not Used</v>
      </c>
      <c r="Q130" s="45" t="str">
        <f>VLOOKUP(Z130,'AMP models AxeFxIII'!$D$2:$H$299,2,FALSE)</f>
        <v>Not Used</v>
      </c>
      <c r="R130" s="4">
        <v>126</v>
      </c>
      <c r="S130" s="46" t="s">
        <v>555</v>
      </c>
      <c r="T130" s="46" t="s">
        <v>555</v>
      </c>
      <c r="U130" s="46" t="s">
        <v>555</v>
      </c>
      <c r="V130" s="46" t="s">
        <v>555</v>
      </c>
      <c r="W130" s="46" t="s">
        <v>555</v>
      </c>
      <c r="X130" s="46" t="s">
        <v>555</v>
      </c>
      <c r="Y130" s="46" t="s">
        <v>555</v>
      </c>
      <c r="Z130" s="46" t="s">
        <v>555</v>
      </c>
    </row>
    <row r="131" spans="1:26">
      <c r="A131" s="41">
        <f>preset_Names!A131</f>
        <v>127</v>
      </c>
      <c r="B131" t="str">
        <f t="shared" si="4"/>
        <v xml:space="preserve">strcpy(AMP1_A,("Not Used")); strcpy(AMP1_B,("Not Used")); strcpy(AMP1_C,("Not Used")); strcpy(AMP1_D,("Not Used")); </v>
      </c>
      <c r="C131" t="str">
        <f t="shared" si="5"/>
        <v xml:space="preserve">strcpy(AMP2_A,("Not Used")); strcpy(AMP2_B,("Not Used")); strcpy(AMP2_C,("Not Used")); strcpy(AMP2_D,("Not Used")); </v>
      </c>
      <c r="D131" s="31" t="s">
        <v>893</v>
      </c>
      <c r="E131" s="42" t="str">
        <f t="shared" si="3"/>
        <v>case 127: strcpy(AMP1_A,("Not Used")); strcpy(AMP1_B,("Not Used")); strcpy(AMP1_C,("Not Used")); strcpy(AMP1_D,("Not Used")); strcpy(AMP2_A,("Not Used")); strcpy(AMP2_B,("Not Used")); strcpy(AMP2_C,("Not Used")); strcpy(AMP2_D,("Not Used"));  break;</v>
      </c>
      <c r="F131" t="s">
        <v>893</v>
      </c>
      <c r="I131" t="s">
        <v>893</v>
      </c>
      <c r="J131" s="45" t="str">
        <f>VLOOKUP(S131,'AMP models AxeFxIII'!$D$2:$H$299,2,FALSE)</f>
        <v>Not Used</v>
      </c>
      <c r="K131" s="45" t="str">
        <f>VLOOKUP(T131,'AMP models AxeFxIII'!$D$2:$H$299,2,FALSE)</f>
        <v>Not Used</v>
      </c>
      <c r="L131" s="45" t="str">
        <f>VLOOKUP(U131,'AMP models AxeFxIII'!$D$2:$H$299,2,FALSE)</f>
        <v>Not Used</v>
      </c>
      <c r="M131" s="45" t="str">
        <f>VLOOKUP(V131,'AMP models AxeFxIII'!$D$2:$H$299,2,FALSE)</f>
        <v>Not Used</v>
      </c>
      <c r="N131" s="45" t="str">
        <f>VLOOKUP(W131,'AMP models AxeFxIII'!$D$2:$H$299,2,FALSE)</f>
        <v>Not Used</v>
      </c>
      <c r="O131" s="45" t="str">
        <f>VLOOKUP(X131,'AMP models AxeFxIII'!$D$2:$H$299,2,FALSE)</f>
        <v>Not Used</v>
      </c>
      <c r="P131" s="45" t="str">
        <f>VLOOKUP(Y131,'AMP models AxeFxIII'!$D$2:$H$299,2,FALSE)</f>
        <v>Not Used</v>
      </c>
      <c r="Q131" s="45" t="str">
        <f>VLOOKUP(Z131,'AMP models AxeFxIII'!$D$2:$H$299,2,FALSE)</f>
        <v>Not Used</v>
      </c>
      <c r="R131" s="4">
        <v>127</v>
      </c>
      <c r="S131" s="46" t="s">
        <v>555</v>
      </c>
      <c r="T131" s="46" t="s">
        <v>555</v>
      </c>
      <c r="U131" s="46" t="s">
        <v>555</v>
      </c>
      <c r="V131" s="46" t="s">
        <v>555</v>
      </c>
      <c r="W131" s="46" t="s">
        <v>555</v>
      </c>
      <c r="X131" s="46" t="s">
        <v>555</v>
      </c>
      <c r="Y131" s="46" t="s">
        <v>555</v>
      </c>
      <c r="Z131" s="46" t="s">
        <v>555</v>
      </c>
    </row>
    <row r="132" spans="1:26">
      <c r="A132" s="41">
        <f>preset_Names!A132</f>
        <v>128</v>
      </c>
      <c r="B132" t="str">
        <f t="shared" si="4"/>
        <v xml:space="preserve">strcpy(AMP1_A,("Not Used")); strcpy(AMP1_B,("Not Used")); strcpy(AMP1_C,("Not Used")); strcpy(AMP1_D,("Not Used")); </v>
      </c>
      <c r="C132" t="str">
        <f t="shared" si="5"/>
        <v xml:space="preserve">strcpy(AMP2_A,("Not Used")); strcpy(AMP2_B,("Not Used")); strcpy(AMP2_C,("Not Used")); strcpy(AMP2_D,("Not Used")); </v>
      </c>
      <c r="D132" s="31" t="s">
        <v>893</v>
      </c>
      <c r="E132" s="42" t="str">
        <f t="shared" si="3"/>
        <v>case 128: strcpy(AMP1_A,("Not Used")); strcpy(AMP1_B,("Not Used")); strcpy(AMP1_C,("Not Used")); strcpy(AMP1_D,("Not Used")); strcpy(AMP2_A,("Not Used")); strcpy(AMP2_B,("Not Used")); strcpy(AMP2_C,("Not Used")); strcpy(AMP2_D,("Not Used"));  break;</v>
      </c>
      <c r="F132" t="s">
        <v>893</v>
      </c>
      <c r="I132" t="s">
        <v>893</v>
      </c>
      <c r="J132" s="45" t="str">
        <f>VLOOKUP(S132,'AMP models AxeFxIII'!$D$2:$H$299,2,FALSE)</f>
        <v>Not Used</v>
      </c>
      <c r="K132" s="45" t="str">
        <f>VLOOKUP(T132,'AMP models AxeFxIII'!$D$2:$H$299,2,FALSE)</f>
        <v>Not Used</v>
      </c>
      <c r="L132" s="45" t="str">
        <f>VLOOKUP(U132,'AMP models AxeFxIII'!$D$2:$H$299,2,FALSE)</f>
        <v>Not Used</v>
      </c>
      <c r="M132" s="45" t="str">
        <f>VLOOKUP(V132,'AMP models AxeFxIII'!$D$2:$H$299,2,FALSE)</f>
        <v>Not Used</v>
      </c>
      <c r="N132" s="45" t="str">
        <f>VLOOKUP(W132,'AMP models AxeFxIII'!$D$2:$H$299,2,FALSE)</f>
        <v>Not Used</v>
      </c>
      <c r="O132" s="45" t="str">
        <f>VLOOKUP(X132,'AMP models AxeFxIII'!$D$2:$H$299,2,FALSE)</f>
        <v>Not Used</v>
      </c>
      <c r="P132" s="45" t="str">
        <f>VLOOKUP(Y132,'AMP models AxeFxIII'!$D$2:$H$299,2,FALSE)</f>
        <v>Not Used</v>
      </c>
      <c r="Q132" s="45" t="str">
        <f>VLOOKUP(Z132,'AMP models AxeFxIII'!$D$2:$H$299,2,FALSE)</f>
        <v>Not Used</v>
      </c>
      <c r="R132" s="4">
        <v>128</v>
      </c>
      <c r="S132" s="46" t="s">
        <v>555</v>
      </c>
      <c r="T132" s="46" t="s">
        <v>555</v>
      </c>
      <c r="U132" s="46" t="s">
        <v>555</v>
      </c>
      <c r="V132" s="46" t="s">
        <v>555</v>
      </c>
      <c r="W132" s="46" t="s">
        <v>555</v>
      </c>
      <c r="X132" s="46" t="s">
        <v>555</v>
      </c>
      <c r="Y132" s="46" t="s">
        <v>555</v>
      </c>
      <c r="Z132" s="46" t="s">
        <v>555</v>
      </c>
    </row>
    <row r="133" spans="1:26">
      <c r="A133" s="41">
        <f>preset_Names!A133</f>
        <v>129</v>
      </c>
      <c r="B133" t="str">
        <f t="shared" si="4"/>
        <v xml:space="preserve">strcpy(AMP1_A,("Not Used")); strcpy(AMP1_B,("Not Used")); strcpy(AMP1_C,("Not Used")); strcpy(AMP1_D,("Not Used")); </v>
      </c>
      <c r="C133" t="str">
        <f t="shared" si="5"/>
        <v xml:space="preserve">strcpy(AMP2_A,("Not Used")); strcpy(AMP2_B,("Not Used")); strcpy(AMP2_C,("Not Used")); strcpy(AMP2_D,("Not Used")); </v>
      </c>
      <c r="D133" s="31" t="s">
        <v>893</v>
      </c>
      <c r="E133" s="42" t="str">
        <f t="shared" ref="E133:E196" si="6" xml:space="preserve"> "case " &amp; A133 &amp; ": " &amp; B133 &amp; C133 &amp; " break;"</f>
        <v>case 129: strcpy(AMP1_A,("Not Used")); strcpy(AMP1_B,("Not Used")); strcpy(AMP1_C,("Not Used")); strcpy(AMP1_D,("Not Used")); strcpy(AMP2_A,("Not Used")); strcpy(AMP2_B,("Not Used")); strcpy(AMP2_C,("Not Used")); strcpy(AMP2_D,("Not Used"));  break;</v>
      </c>
      <c r="F133" t="s">
        <v>893</v>
      </c>
      <c r="I133" t="s">
        <v>893</v>
      </c>
      <c r="J133" s="45" t="str">
        <f>VLOOKUP(S133,'AMP models AxeFxIII'!$D$2:$H$299,2,FALSE)</f>
        <v>Not Used</v>
      </c>
      <c r="K133" s="45" t="str">
        <f>VLOOKUP(T133,'AMP models AxeFxIII'!$D$2:$H$299,2,FALSE)</f>
        <v>Not Used</v>
      </c>
      <c r="L133" s="45" t="str">
        <f>VLOOKUP(U133,'AMP models AxeFxIII'!$D$2:$H$299,2,FALSE)</f>
        <v>Not Used</v>
      </c>
      <c r="M133" s="45" t="str">
        <f>VLOOKUP(V133,'AMP models AxeFxIII'!$D$2:$H$299,2,FALSE)</f>
        <v>Not Used</v>
      </c>
      <c r="N133" s="45" t="str">
        <f>VLOOKUP(W133,'AMP models AxeFxIII'!$D$2:$H$299,2,FALSE)</f>
        <v>Not Used</v>
      </c>
      <c r="O133" s="45" t="str">
        <f>VLOOKUP(X133,'AMP models AxeFxIII'!$D$2:$H$299,2,FALSE)</f>
        <v>Not Used</v>
      </c>
      <c r="P133" s="45" t="str">
        <f>VLOOKUP(Y133,'AMP models AxeFxIII'!$D$2:$H$299,2,FALSE)</f>
        <v>Not Used</v>
      </c>
      <c r="Q133" s="45" t="str">
        <f>VLOOKUP(Z133,'AMP models AxeFxIII'!$D$2:$H$299,2,FALSE)</f>
        <v>Not Used</v>
      </c>
      <c r="R133" s="4">
        <v>129</v>
      </c>
      <c r="S133" s="46" t="s">
        <v>555</v>
      </c>
      <c r="T133" s="46" t="s">
        <v>555</v>
      </c>
      <c r="U133" s="46" t="s">
        <v>555</v>
      </c>
      <c r="V133" s="46" t="s">
        <v>555</v>
      </c>
      <c r="W133" s="46" t="s">
        <v>555</v>
      </c>
      <c r="X133" s="46" t="s">
        <v>555</v>
      </c>
      <c r="Y133" s="46" t="s">
        <v>555</v>
      </c>
      <c r="Z133" s="46" t="s">
        <v>555</v>
      </c>
    </row>
    <row r="134" spans="1:26">
      <c r="A134" s="41">
        <f>preset_Names!A134</f>
        <v>130</v>
      </c>
      <c r="B134" t="str">
        <f t="shared" ref="B134:B197" si="7">$F$4&amp;$J$3&amp;$G$4&amp;J134&amp;$H$4&amp;$F$4&amp;$K$3&amp;$G$4&amp;K134&amp;$H$4&amp;$F$4&amp;$L$3&amp;$G$4&amp;L134&amp;$H$4&amp;$F$4&amp;$M$3&amp;$G$4&amp;M134&amp;$H$4</f>
        <v xml:space="preserve">strcpy(AMP1_A,("Not Used")); strcpy(AMP1_B,("Not Used")); strcpy(AMP1_C,("Not Used")); strcpy(AMP1_D,("Not Used")); </v>
      </c>
      <c r="C134" t="str">
        <f t="shared" ref="C134:C197" si="8">$F$4&amp;$N$3&amp;$G$4&amp;N134&amp;$H$4&amp;$F$4&amp;$O$3&amp;$G$4&amp;O134&amp;$H$4&amp;$F$4&amp;$P$3&amp;$G$4&amp;P134&amp;$H$4&amp;$F$4&amp;$Q$3&amp;$G$4&amp;Q134&amp;$H$4</f>
        <v xml:space="preserve">strcpy(AMP2_A,("Not Used")); strcpy(AMP2_B,("Not Used")); strcpy(AMP2_C,("Not Used")); strcpy(AMP2_D,("Not Used")); </v>
      </c>
      <c r="D134" s="31" t="s">
        <v>893</v>
      </c>
      <c r="E134" s="42" t="str">
        <f t="shared" si="6"/>
        <v>case 130: strcpy(AMP1_A,("Not Used")); strcpy(AMP1_B,("Not Used")); strcpy(AMP1_C,("Not Used")); strcpy(AMP1_D,("Not Used")); strcpy(AMP2_A,("Not Used")); strcpy(AMP2_B,("Not Used")); strcpy(AMP2_C,("Not Used")); strcpy(AMP2_D,("Not Used"));  break;</v>
      </c>
      <c r="F134" t="s">
        <v>893</v>
      </c>
      <c r="I134" t="s">
        <v>893</v>
      </c>
      <c r="J134" s="45" t="str">
        <f>VLOOKUP(S134,'AMP models AxeFxIII'!$D$2:$H$299,2,FALSE)</f>
        <v>Not Used</v>
      </c>
      <c r="K134" s="45" t="str">
        <f>VLOOKUP(T134,'AMP models AxeFxIII'!$D$2:$H$299,2,FALSE)</f>
        <v>Not Used</v>
      </c>
      <c r="L134" s="45" t="str">
        <f>VLOOKUP(U134,'AMP models AxeFxIII'!$D$2:$H$299,2,FALSE)</f>
        <v>Not Used</v>
      </c>
      <c r="M134" s="45" t="str">
        <f>VLOOKUP(V134,'AMP models AxeFxIII'!$D$2:$H$299,2,FALSE)</f>
        <v>Not Used</v>
      </c>
      <c r="N134" s="45" t="str">
        <f>VLOOKUP(W134,'AMP models AxeFxIII'!$D$2:$H$299,2,FALSE)</f>
        <v>Not Used</v>
      </c>
      <c r="O134" s="45" t="str">
        <f>VLOOKUP(X134,'AMP models AxeFxIII'!$D$2:$H$299,2,FALSE)</f>
        <v>Not Used</v>
      </c>
      <c r="P134" s="45" t="str">
        <f>VLOOKUP(Y134,'AMP models AxeFxIII'!$D$2:$H$299,2,FALSE)</f>
        <v>Not Used</v>
      </c>
      <c r="Q134" s="45" t="str">
        <f>VLOOKUP(Z134,'AMP models AxeFxIII'!$D$2:$H$299,2,FALSE)</f>
        <v>Not Used</v>
      </c>
      <c r="R134" s="4">
        <v>130</v>
      </c>
      <c r="S134" s="46" t="s">
        <v>555</v>
      </c>
      <c r="T134" s="46" t="s">
        <v>555</v>
      </c>
      <c r="U134" s="46" t="s">
        <v>555</v>
      </c>
      <c r="V134" s="46" t="s">
        <v>555</v>
      </c>
      <c r="W134" s="46" t="s">
        <v>555</v>
      </c>
      <c r="X134" s="46" t="s">
        <v>555</v>
      </c>
      <c r="Y134" s="46" t="s">
        <v>555</v>
      </c>
      <c r="Z134" s="46" t="s">
        <v>555</v>
      </c>
    </row>
    <row r="135" spans="1:26">
      <c r="A135" s="41">
        <f>preset_Names!A135</f>
        <v>131</v>
      </c>
      <c r="B135" t="str">
        <f t="shared" si="7"/>
        <v xml:space="preserve">strcpy(AMP1_A,("Not Used")); strcpy(AMP1_B,("Not Used")); strcpy(AMP1_C,("Not Used")); strcpy(AMP1_D,("Not Used")); </v>
      </c>
      <c r="C135" t="str">
        <f t="shared" si="8"/>
        <v xml:space="preserve">strcpy(AMP2_A,("Not Used")); strcpy(AMP2_B,("Not Used")); strcpy(AMP2_C,("Not Used")); strcpy(AMP2_D,("Not Used")); </v>
      </c>
      <c r="D135" s="31" t="s">
        <v>893</v>
      </c>
      <c r="E135" s="42" t="str">
        <f t="shared" si="6"/>
        <v>case 131: strcpy(AMP1_A,("Not Used")); strcpy(AMP1_B,("Not Used")); strcpy(AMP1_C,("Not Used")); strcpy(AMP1_D,("Not Used")); strcpy(AMP2_A,("Not Used")); strcpy(AMP2_B,("Not Used")); strcpy(AMP2_C,("Not Used")); strcpy(AMP2_D,("Not Used"));  break;</v>
      </c>
      <c r="F135" t="s">
        <v>893</v>
      </c>
      <c r="I135" t="s">
        <v>893</v>
      </c>
      <c r="J135" s="45" t="str">
        <f>VLOOKUP(S135,'AMP models AxeFxIII'!$D$2:$H$299,2,FALSE)</f>
        <v>Not Used</v>
      </c>
      <c r="K135" s="45" t="str">
        <f>VLOOKUP(T135,'AMP models AxeFxIII'!$D$2:$H$299,2,FALSE)</f>
        <v>Not Used</v>
      </c>
      <c r="L135" s="45" t="str">
        <f>VLOOKUP(U135,'AMP models AxeFxIII'!$D$2:$H$299,2,FALSE)</f>
        <v>Not Used</v>
      </c>
      <c r="M135" s="45" t="str">
        <f>VLOOKUP(V135,'AMP models AxeFxIII'!$D$2:$H$299,2,FALSE)</f>
        <v>Not Used</v>
      </c>
      <c r="N135" s="45" t="str">
        <f>VLOOKUP(W135,'AMP models AxeFxIII'!$D$2:$H$299,2,FALSE)</f>
        <v>Not Used</v>
      </c>
      <c r="O135" s="45" t="str">
        <f>VLOOKUP(X135,'AMP models AxeFxIII'!$D$2:$H$299,2,FALSE)</f>
        <v>Not Used</v>
      </c>
      <c r="P135" s="45" t="str">
        <f>VLOOKUP(Y135,'AMP models AxeFxIII'!$D$2:$H$299,2,FALSE)</f>
        <v>Not Used</v>
      </c>
      <c r="Q135" s="45" t="str">
        <f>VLOOKUP(Z135,'AMP models AxeFxIII'!$D$2:$H$299,2,FALSE)</f>
        <v>Not Used</v>
      </c>
      <c r="R135" s="4">
        <v>131</v>
      </c>
      <c r="S135" s="46" t="s">
        <v>555</v>
      </c>
      <c r="T135" s="46" t="s">
        <v>555</v>
      </c>
      <c r="U135" s="46" t="s">
        <v>555</v>
      </c>
      <c r="V135" s="46" t="s">
        <v>555</v>
      </c>
      <c r="W135" s="46" t="s">
        <v>555</v>
      </c>
      <c r="X135" s="46" t="s">
        <v>555</v>
      </c>
      <c r="Y135" s="46" t="s">
        <v>555</v>
      </c>
      <c r="Z135" s="46" t="s">
        <v>555</v>
      </c>
    </row>
    <row r="136" spans="1:26">
      <c r="A136" s="41">
        <f>preset_Names!A136</f>
        <v>132</v>
      </c>
      <c r="B136" t="str">
        <f t="shared" si="7"/>
        <v xml:space="preserve">strcpy(AMP1_A,("Not Used")); strcpy(AMP1_B,("Not Used")); strcpy(AMP1_C,("Not Used")); strcpy(AMP1_D,("Not Used")); </v>
      </c>
      <c r="C136" t="str">
        <f t="shared" si="8"/>
        <v xml:space="preserve">strcpy(AMP2_A,("Not Used")); strcpy(AMP2_B,("Not Used")); strcpy(AMP2_C,("Not Used")); strcpy(AMP2_D,("Not Used")); </v>
      </c>
      <c r="D136" s="31" t="s">
        <v>893</v>
      </c>
      <c r="E136" s="42" t="str">
        <f t="shared" si="6"/>
        <v>case 132: strcpy(AMP1_A,("Not Used")); strcpy(AMP1_B,("Not Used")); strcpy(AMP1_C,("Not Used")); strcpy(AMP1_D,("Not Used")); strcpy(AMP2_A,("Not Used")); strcpy(AMP2_B,("Not Used")); strcpy(AMP2_C,("Not Used")); strcpy(AMP2_D,("Not Used"));  break;</v>
      </c>
      <c r="F136" t="s">
        <v>893</v>
      </c>
      <c r="I136" t="s">
        <v>893</v>
      </c>
      <c r="J136" s="45" t="str">
        <f>VLOOKUP(S136,'AMP models AxeFxIII'!$D$2:$H$299,2,FALSE)</f>
        <v>Not Used</v>
      </c>
      <c r="K136" s="45" t="str">
        <f>VLOOKUP(T136,'AMP models AxeFxIII'!$D$2:$H$299,2,FALSE)</f>
        <v>Not Used</v>
      </c>
      <c r="L136" s="45" t="str">
        <f>VLOOKUP(U136,'AMP models AxeFxIII'!$D$2:$H$299,2,FALSE)</f>
        <v>Not Used</v>
      </c>
      <c r="M136" s="45" t="str">
        <f>VLOOKUP(V136,'AMP models AxeFxIII'!$D$2:$H$299,2,FALSE)</f>
        <v>Not Used</v>
      </c>
      <c r="N136" s="45" t="str">
        <f>VLOOKUP(W136,'AMP models AxeFxIII'!$D$2:$H$299,2,FALSE)</f>
        <v>Not Used</v>
      </c>
      <c r="O136" s="45" t="str">
        <f>VLOOKUP(X136,'AMP models AxeFxIII'!$D$2:$H$299,2,FALSE)</f>
        <v>Not Used</v>
      </c>
      <c r="P136" s="45" t="str">
        <f>VLOOKUP(Y136,'AMP models AxeFxIII'!$D$2:$H$299,2,FALSE)</f>
        <v>Not Used</v>
      </c>
      <c r="Q136" s="45" t="str">
        <f>VLOOKUP(Z136,'AMP models AxeFxIII'!$D$2:$H$299,2,FALSE)</f>
        <v>Not Used</v>
      </c>
      <c r="R136" s="4">
        <v>132</v>
      </c>
      <c r="S136" s="46" t="s">
        <v>555</v>
      </c>
      <c r="T136" s="46" t="s">
        <v>555</v>
      </c>
      <c r="U136" s="46" t="s">
        <v>555</v>
      </c>
      <c r="V136" s="46" t="s">
        <v>555</v>
      </c>
      <c r="W136" s="46" t="s">
        <v>555</v>
      </c>
      <c r="X136" s="46" t="s">
        <v>555</v>
      </c>
      <c r="Y136" s="46" t="s">
        <v>555</v>
      </c>
      <c r="Z136" s="46" t="s">
        <v>555</v>
      </c>
    </row>
    <row r="137" spans="1:26">
      <c r="A137" s="41">
        <f>preset_Names!A137</f>
        <v>133</v>
      </c>
      <c r="B137" t="str">
        <f t="shared" si="7"/>
        <v xml:space="preserve">strcpy(AMP1_A,("Not Used")); strcpy(AMP1_B,("Not Used")); strcpy(AMP1_C,("Not Used")); strcpy(AMP1_D,("Not Used")); </v>
      </c>
      <c r="C137" t="str">
        <f t="shared" si="8"/>
        <v xml:space="preserve">strcpy(AMP2_A,("Not Used")); strcpy(AMP2_B,("Not Used")); strcpy(AMP2_C,("Not Used")); strcpy(AMP2_D,("Not Used")); </v>
      </c>
      <c r="D137" s="31" t="s">
        <v>893</v>
      </c>
      <c r="E137" s="42" t="str">
        <f t="shared" si="6"/>
        <v>case 133: strcpy(AMP1_A,("Not Used")); strcpy(AMP1_B,("Not Used")); strcpy(AMP1_C,("Not Used")); strcpy(AMP1_D,("Not Used")); strcpy(AMP2_A,("Not Used")); strcpy(AMP2_B,("Not Used")); strcpy(AMP2_C,("Not Used")); strcpy(AMP2_D,("Not Used"));  break;</v>
      </c>
      <c r="F137" t="s">
        <v>893</v>
      </c>
      <c r="I137" t="s">
        <v>893</v>
      </c>
      <c r="J137" s="45" t="str">
        <f>VLOOKUP(S137,'AMP models AxeFxIII'!$D$2:$H$299,2,FALSE)</f>
        <v>Not Used</v>
      </c>
      <c r="K137" s="45" t="str">
        <f>VLOOKUP(T137,'AMP models AxeFxIII'!$D$2:$H$299,2,FALSE)</f>
        <v>Not Used</v>
      </c>
      <c r="L137" s="45" t="str">
        <f>VLOOKUP(U137,'AMP models AxeFxIII'!$D$2:$H$299,2,FALSE)</f>
        <v>Not Used</v>
      </c>
      <c r="M137" s="45" t="str">
        <f>VLOOKUP(V137,'AMP models AxeFxIII'!$D$2:$H$299,2,FALSE)</f>
        <v>Not Used</v>
      </c>
      <c r="N137" s="45" t="str">
        <f>VLOOKUP(W137,'AMP models AxeFxIII'!$D$2:$H$299,2,FALSE)</f>
        <v>Not Used</v>
      </c>
      <c r="O137" s="45" t="str">
        <f>VLOOKUP(X137,'AMP models AxeFxIII'!$D$2:$H$299,2,FALSE)</f>
        <v>Not Used</v>
      </c>
      <c r="P137" s="45" t="str">
        <f>VLOOKUP(Y137,'AMP models AxeFxIII'!$D$2:$H$299,2,FALSE)</f>
        <v>Not Used</v>
      </c>
      <c r="Q137" s="45" t="str">
        <f>VLOOKUP(Z137,'AMP models AxeFxIII'!$D$2:$H$299,2,FALSE)</f>
        <v>Not Used</v>
      </c>
      <c r="R137" s="4">
        <v>133</v>
      </c>
      <c r="S137" s="46" t="s">
        <v>555</v>
      </c>
      <c r="T137" s="46" t="s">
        <v>555</v>
      </c>
      <c r="U137" s="46" t="s">
        <v>555</v>
      </c>
      <c r="V137" s="46" t="s">
        <v>555</v>
      </c>
      <c r="W137" s="46" t="s">
        <v>555</v>
      </c>
      <c r="X137" s="46" t="s">
        <v>555</v>
      </c>
      <c r="Y137" s="46" t="s">
        <v>555</v>
      </c>
      <c r="Z137" s="46" t="s">
        <v>555</v>
      </c>
    </row>
    <row r="138" spans="1:26">
      <c r="A138" s="41">
        <f>preset_Names!A138</f>
        <v>134</v>
      </c>
      <c r="B138" t="str">
        <f t="shared" si="7"/>
        <v xml:space="preserve">strcpy(AMP1_A,("Not Used")); strcpy(AMP1_B,("Not Used")); strcpy(AMP1_C,("Not Used")); strcpy(AMP1_D,("Not Used")); </v>
      </c>
      <c r="C138" t="str">
        <f t="shared" si="8"/>
        <v xml:space="preserve">strcpy(AMP2_A,("Not Used")); strcpy(AMP2_B,("Not Used")); strcpy(AMP2_C,("Not Used")); strcpy(AMP2_D,("Not Used")); </v>
      </c>
      <c r="D138" s="31" t="s">
        <v>893</v>
      </c>
      <c r="E138" s="42" t="str">
        <f t="shared" si="6"/>
        <v>case 134: strcpy(AMP1_A,("Not Used")); strcpy(AMP1_B,("Not Used")); strcpy(AMP1_C,("Not Used")); strcpy(AMP1_D,("Not Used")); strcpy(AMP2_A,("Not Used")); strcpy(AMP2_B,("Not Used")); strcpy(AMP2_C,("Not Used")); strcpy(AMP2_D,("Not Used"));  break;</v>
      </c>
      <c r="F138" t="s">
        <v>893</v>
      </c>
      <c r="I138" t="s">
        <v>893</v>
      </c>
      <c r="J138" s="45" t="str">
        <f>VLOOKUP(S138,'AMP models AxeFxIII'!$D$2:$H$299,2,FALSE)</f>
        <v>Not Used</v>
      </c>
      <c r="K138" s="45" t="str">
        <f>VLOOKUP(T138,'AMP models AxeFxIII'!$D$2:$H$299,2,FALSE)</f>
        <v>Not Used</v>
      </c>
      <c r="L138" s="45" t="str">
        <f>VLOOKUP(U138,'AMP models AxeFxIII'!$D$2:$H$299,2,FALSE)</f>
        <v>Not Used</v>
      </c>
      <c r="M138" s="45" t="str">
        <f>VLOOKUP(V138,'AMP models AxeFxIII'!$D$2:$H$299,2,FALSE)</f>
        <v>Not Used</v>
      </c>
      <c r="N138" s="45" t="str">
        <f>VLOOKUP(W138,'AMP models AxeFxIII'!$D$2:$H$299,2,FALSE)</f>
        <v>Not Used</v>
      </c>
      <c r="O138" s="45" t="str">
        <f>VLOOKUP(X138,'AMP models AxeFxIII'!$D$2:$H$299,2,FALSE)</f>
        <v>Not Used</v>
      </c>
      <c r="P138" s="45" t="str">
        <f>VLOOKUP(Y138,'AMP models AxeFxIII'!$D$2:$H$299,2,FALSE)</f>
        <v>Not Used</v>
      </c>
      <c r="Q138" s="45" t="str">
        <f>VLOOKUP(Z138,'AMP models AxeFxIII'!$D$2:$H$299,2,FALSE)</f>
        <v>Not Used</v>
      </c>
      <c r="R138" s="4">
        <v>134</v>
      </c>
      <c r="S138" s="46" t="s">
        <v>555</v>
      </c>
      <c r="T138" s="46" t="s">
        <v>555</v>
      </c>
      <c r="U138" s="46" t="s">
        <v>555</v>
      </c>
      <c r="V138" s="46" t="s">
        <v>555</v>
      </c>
      <c r="W138" s="46" t="s">
        <v>555</v>
      </c>
      <c r="X138" s="46" t="s">
        <v>555</v>
      </c>
      <c r="Y138" s="46" t="s">
        <v>555</v>
      </c>
      <c r="Z138" s="46" t="s">
        <v>555</v>
      </c>
    </row>
    <row r="139" spans="1:26">
      <c r="A139" s="41">
        <f>preset_Names!A139</f>
        <v>135</v>
      </c>
      <c r="B139" t="str">
        <f t="shared" si="7"/>
        <v xml:space="preserve">strcpy(AMP1_A,("Not Used")); strcpy(AMP1_B,("Not Used")); strcpy(AMP1_C,("Not Used")); strcpy(AMP1_D,("Not Used")); </v>
      </c>
      <c r="C139" t="str">
        <f t="shared" si="8"/>
        <v xml:space="preserve">strcpy(AMP2_A,("Not Used")); strcpy(AMP2_B,("Not Used")); strcpy(AMP2_C,("Not Used")); strcpy(AMP2_D,("Not Used")); </v>
      </c>
      <c r="D139" s="31" t="s">
        <v>893</v>
      </c>
      <c r="E139" s="42" t="str">
        <f t="shared" si="6"/>
        <v>case 135: strcpy(AMP1_A,("Not Used")); strcpy(AMP1_B,("Not Used")); strcpy(AMP1_C,("Not Used")); strcpy(AMP1_D,("Not Used")); strcpy(AMP2_A,("Not Used")); strcpy(AMP2_B,("Not Used")); strcpy(AMP2_C,("Not Used")); strcpy(AMP2_D,("Not Used"));  break;</v>
      </c>
      <c r="F139" t="s">
        <v>893</v>
      </c>
      <c r="I139" t="s">
        <v>893</v>
      </c>
      <c r="J139" s="45" t="str">
        <f>VLOOKUP(S139,'AMP models AxeFxIII'!$D$2:$H$299,2,FALSE)</f>
        <v>Not Used</v>
      </c>
      <c r="K139" s="45" t="str">
        <f>VLOOKUP(T139,'AMP models AxeFxIII'!$D$2:$H$299,2,FALSE)</f>
        <v>Not Used</v>
      </c>
      <c r="L139" s="45" t="str">
        <f>VLOOKUP(U139,'AMP models AxeFxIII'!$D$2:$H$299,2,FALSE)</f>
        <v>Not Used</v>
      </c>
      <c r="M139" s="45" t="str">
        <f>VLOOKUP(V139,'AMP models AxeFxIII'!$D$2:$H$299,2,FALSE)</f>
        <v>Not Used</v>
      </c>
      <c r="N139" s="45" t="str">
        <f>VLOOKUP(W139,'AMP models AxeFxIII'!$D$2:$H$299,2,FALSE)</f>
        <v>Not Used</v>
      </c>
      <c r="O139" s="45" t="str">
        <f>VLOOKUP(X139,'AMP models AxeFxIII'!$D$2:$H$299,2,FALSE)</f>
        <v>Not Used</v>
      </c>
      <c r="P139" s="45" t="str">
        <f>VLOOKUP(Y139,'AMP models AxeFxIII'!$D$2:$H$299,2,FALSE)</f>
        <v>Not Used</v>
      </c>
      <c r="Q139" s="45" t="str">
        <f>VLOOKUP(Z139,'AMP models AxeFxIII'!$D$2:$H$299,2,FALSE)</f>
        <v>Not Used</v>
      </c>
      <c r="R139" s="4">
        <v>135</v>
      </c>
      <c r="S139" s="46" t="s">
        <v>555</v>
      </c>
      <c r="T139" s="46" t="s">
        <v>555</v>
      </c>
      <c r="U139" s="46" t="s">
        <v>555</v>
      </c>
      <c r="V139" s="46" t="s">
        <v>555</v>
      </c>
      <c r="W139" s="46" t="s">
        <v>555</v>
      </c>
      <c r="X139" s="46" t="s">
        <v>555</v>
      </c>
      <c r="Y139" s="46" t="s">
        <v>555</v>
      </c>
      <c r="Z139" s="46" t="s">
        <v>555</v>
      </c>
    </row>
    <row r="140" spans="1:26">
      <c r="A140" s="41">
        <f>preset_Names!A140</f>
        <v>136</v>
      </c>
      <c r="B140" t="str">
        <f t="shared" si="7"/>
        <v xml:space="preserve">strcpy(AMP1_A,("Not Used")); strcpy(AMP1_B,("Not Used")); strcpy(AMP1_C,("Not Used")); strcpy(AMP1_D,("Not Used")); </v>
      </c>
      <c r="C140" t="str">
        <f t="shared" si="8"/>
        <v xml:space="preserve">strcpy(AMP2_A,("Not Used")); strcpy(AMP2_B,("Not Used")); strcpy(AMP2_C,("Not Used")); strcpy(AMP2_D,("Not Used")); </v>
      </c>
      <c r="D140" s="31" t="s">
        <v>893</v>
      </c>
      <c r="E140" s="42" t="str">
        <f t="shared" si="6"/>
        <v>case 136: strcpy(AMP1_A,("Not Used")); strcpy(AMP1_B,("Not Used")); strcpy(AMP1_C,("Not Used")); strcpy(AMP1_D,("Not Used")); strcpy(AMP2_A,("Not Used")); strcpy(AMP2_B,("Not Used")); strcpy(AMP2_C,("Not Used")); strcpy(AMP2_D,("Not Used"));  break;</v>
      </c>
      <c r="F140" t="s">
        <v>893</v>
      </c>
      <c r="I140" t="s">
        <v>893</v>
      </c>
      <c r="J140" s="45" t="str">
        <f>VLOOKUP(S140,'AMP models AxeFxIII'!$D$2:$H$299,2,FALSE)</f>
        <v>Not Used</v>
      </c>
      <c r="K140" s="45" t="str">
        <f>VLOOKUP(T140,'AMP models AxeFxIII'!$D$2:$H$299,2,FALSE)</f>
        <v>Not Used</v>
      </c>
      <c r="L140" s="45" t="str">
        <f>VLOOKUP(U140,'AMP models AxeFxIII'!$D$2:$H$299,2,FALSE)</f>
        <v>Not Used</v>
      </c>
      <c r="M140" s="45" t="str">
        <f>VLOOKUP(V140,'AMP models AxeFxIII'!$D$2:$H$299,2,FALSE)</f>
        <v>Not Used</v>
      </c>
      <c r="N140" s="45" t="str">
        <f>VLOOKUP(W140,'AMP models AxeFxIII'!$D$2:$H$299,2,FALSE)</f>
        <v>Not Used</v>
      </c>
      <c r="O140" s="45" t="str">
        <f>VLOOKUP(X140,'AMP models AxeFxIII'!$D$2:$H$299,2,FALSE)</f>
        <v>Not Used</v>
      </c>
      <c r="P140" s="45" t="str">
        <f>VLOOKUP(Y140,'AMP models AxeFxIII'!$D$2:$H$299,2,FALSE)</f>
        <v>Not Used</v>
      </c>
      <c r="Q140" s="45" t="str">
        <f>VLOOKUP(Z140,'AMP models AxeFxIII'!$D$2:$H$299,2,FALSE)</f>
        <v>Not Used</v>
      </c>
      <c r="R140" s="4">
        <v>136</v>
      </c>
      <c r="S140" s="46" t="s">
        <v>555</v>
      </c>
      <c r="T140" s="46" t="s">
        <v>555</v>
      </c>
      <c r="U140" s="46" t="s">
        <v>555</v>
      </c>
      <c r="V140" s="46" t="s">
        <v>555</v>
      </c>
      <c r="W140" s="46" t="s">
        <v>555</v>
      </c>
      <c r="X140" s="46" t="s">
        <v>555</v>
      </c>
      <c r="Y140" s="46" t="s">
        <v>555</v>
      </c>
      <c r="Z140" s="46" t="s">
        <v>555</v>
      </c>
    </row>
    <row r="141" spans="1:26">
      <c r="A141" s="41">
        <f>preset_Names!A141</f>
        <v>137</v>
      </c>
      <c r="B141" t="str">
        <f t="shared" si="7"/>
        <v xml:space="preserve">strcpy(AMP1_A,("Not Used")); strcpy(AMP1_B,("Not Used")); strcpy(AMP1_C,("Not Used")); strcpy(AMP1_D,("Not Used")); </v>
      </c>
      <c r="C141" t="str">
        <f t="shared" si="8"/>
        <v xml:space="preserve">strcpy(AMP2_A,("Not Used")); strcpy(AMP2_B,("Not Used")); strcpy(AMP2_C,("Not Used")); strcpy(AMP2_D,("Not Used")); </v>
      </c>
      <c r="D141" s="31" t="s">
        <v>893</v>
      </c>
      <c r="E141" s="42" t="str">
        <f t="shared" si="6"/>
        <v>case 137: strcpy(AMP1_A,("Not Used")); strcpy(AMP1_B,("Not Used")); strcpy(AMP1_C,("Not Used")); strcpy(AMP1_D,("Not Used")); strcpy(AMP2_A,("Not Used")); strcpy(AMP2_B,("Not Used")); strcpy(AMP2_C,("Not Used")); strcpy(AMP2_D,("Not Used"));  break;</v>
      </c>
      <c r="F141" t="s">
        <v>893</v>
      </c>
      <c r="I141" t="s">
        <v>893</v>
      </c>
      <c r="J141" s="45" t="str">
        <f>VLOOKUP(S141,'AMP models AxeFxIII'!$D$2:$H$299,2,FALSE)</f>
        <v>Not Used</v>
      </c>
      <c r="K141" s="45" t="str">
        <f>VLOOKUP(T141,'AMP models AxeFxIII'!$D$2:$H$299,2,FALSE)</f>
        <v>Not Used</v>
      </c>
      <c r="L141" s="45" t="str">
        <f>VLOOKUP(U141,'AMP models AxeFxIII'!$D$2:$H$299,2,FALSE)</f>
        <v>Not Used</v>
      </c>
      <c r="M141" s="45" t="str">
        <f>VLOOKUP(V141,'AMP models AxeFxIII'!$D$2:$H$299,2,FALSE)</f>
        <v>Not Used</v>
      </c>
      <c r="N141" s="45" t="str">
        <f>VLOOKUP(W141,'AMP models AxeFxIII'!$D$2:$H$299,2,FALSE)</f>
        <v>Not Used</v>
      </c>
      <c r="O141" s="45" t="str">
        <f>VLOOKUP(X141,'AMP models AxeFxIII'!$D$2:$H$299,2,FALSE)</f>
        <v>Not Used</v>
      </c>
      <c r="P141" s="45" t="str">
        <f>VLOOKUP(Y141,'AMP models AxeFxIII'!$D$2:$H$299,2,FALSE)</f>
        <v>Not Used</v>
      </c>
      <c r="Q141" s="45" t="str">
        <f>VLOOKUP(Z141,'AMP models AxeFxIII'!$D$2:$H$299,2,FALSE)</f>
        <v>Not Used</v>
      </c>
      <c r="R141" s="4">
        <v>137</v>
      </c>
      <c r="S141" s="46" t="s">
        <v>555</v>
      </c>
      <c r="T141" s="46" t="s">
        <v>555</v>
      </c>
      <c r="U141" s="46" t="s">
        <v>555</v>
      </c>
      <c r="V141" s="46" t="s">
        <v>555</v>
      </c>
      <c r="W141" s="46" t="s">
        <v>555</v>
      </c>
      <c r="X141" s="46" t="s">
        <v>555</v>
      </c>
      <c r="Y141" s="46" t="s">
        <v>555</v>
      </c>
      <c r="Z141" s="46" t="s">
        <v>555</v>
      </c>
    </row>
    <row r="142" spans="1:26">
      <c r="A142" s="41">
        <f>preset_Names!A142</f>
        <v>138</v>
      </c>
      <c r="B142" t="str">
        <f t="shared" si="7"/>
        <v xml:space="preserve">strcpy(AMP1_A,("Not Used")); strcpy(AMP1_B,("Not Used")); strcpy(AMP1_C,("Not Used")); strcpy(AMP1_D,("Not Used")); </v>
      </c>
      <c r="C142" t="str">
        <f t="shared" si="8"/>
        <v xml:space="preserve">strcpy(AMP2_A,("Not Used")); strcpy(AMP2_B,("Not Used")); strcpy(AMP2_C,("Not Used")); strcpy(AMP2_D,("Not Used")); </v>
      </c>
      <c r="D142" s="31" t="s">
        <v>893</v>
      </c>
      <c r="E142" s="42" t="str">
        <f t="shared" si="6"/>
        <v>case 138: strcpy(AMP1_A,("Not Used")); strcpy(AMP1_B,("Not Used")); strcpy(AMP1_C,("Not Used")); strcpy(AMP1_D,("Not Used")); strcpy(AMP2_A,("Not Used")); strcpy(AMP2_B,("Not Used")); strcpy(AMP2_C,("Not Used")); strcpy(AMP2_D,("Not Used"));  break;</v>
      </c>
      <c r="F142" t="s">
        <v>893</v>
      </c>
      <c r="I142" t="s">
        <v>893</v>
      </c>
      <c r="J142" s="45" t="str">
        <f>VLOOKUP(S142,'AMP models AxeFxIII'!$D$2:$H$299,2,FALSE)</f>
        <v>Not Used</v>
      </c>
      <c r="K142" s="45" t="str">
        <f>VLOOKUP(T142,'AMP models AxeFxIII'!$D$2:$H$299,2,FALSE)</f>
        <v>Not Used</v>
      </c>
      <c r="L142" s="45" t="str">
        <f>VLOOKUP(U142,'AMP models AxeFxIII'!$D$2:$H$299,2,FALSE)</f>
        <v>Not Used</v>
      </c>
      <c r="M142" s="45" t="str">
        <f>VLOOKUP(V142,'AMP models AxeFxIII'!$D$2:$H$299,2,FALSE)</f>
        <v>Not Used</v>
      </c>
      <c r="N142" s="45" t="str">
        <f>VLOOKUP(W142,'AMP models AxeFxIII'!$D$2:$H$299,2,FALSE)</f>
        <v>Not Used</v>
      </c>
      <c r="O142" s="45" t="str">
        <f>VLOOKUP(X142,'AMP models AxeFxIII'!$D$2:$H$299,2,FALSE)</f>
        <v>Not Used</v>
      </c>
      <c r="P142" s="45" t="str">
        <f>VLOOKUP(Y142,'AMP models AxeFxIII'!$D$2:$H$299,2,FALSE)</f>
        <v>Not Used</v>
      </c>
      <c r="Q142" s="45" t="str">
        <f>VLOOKUP(Z142,'AMP models AxeFxIII'!$D$2:$H$299,2,FALSE)</f>
        <v>Not Used</v>
      </c>
      <c r="R142" s="4">
        <v>138</v>
      </c>
      <c r="S142" s="46" t="s">
        <v>555</v>
      </c>
      <c r="T142" s="46" t="s">
        <v>555</v>
      </c>
      <c r="U142" s="46" t="s">
        <v>555</v>
      </c>
      <c r="V142" s="46" t="s">
        <v>555</v>
      </c>
      <c r="W142" s="46" t="s">
        <v>555</v>
      </c>
      <c r="X142" s="46" t="s">
        <v>555</v>
      </c>
      <c r="Y142" s="46" t="s">
        <v>555</v>
      </c>
      <c r="Z142" s="46" t="s">
        <v>555</v>
      </c>
    </row>
    <row r="143" spans="1:26">
      <c r="A143" s="41">
        <f>preset_Names!A143</f>
        <v>139</v>
      </c>
      <c r="B143" t="str">
        <f t="shared" si="7"/>
        <v xml:space="preserve">strcpy(AMP1_A,("Not Used")); strcpy(AMP1_B,("Not Used")); strcpy(AMP1_C,("Not Used")); strcpy(AMP1_D,("Not Used")); </v>
      </c>
      <c r="C143" t="str">
        <f t="shared" si="8"/>
        <v xml:space="preserve">strcpy(AMP2_A,("Not Used")); strcpy(AMP2_B,("Not Used")); strcpy(AMP2_C,("Not Used")); strcpy(AMP2_D,("Not Used")); </v>
      </c>
      <c r="D143" s="31" t="s">
        <v>893</v>
      </c>
      <c r="E143" s="42" t="str">
        <f t="shared" si="6"/>
        <v>case 139: strcpy(AMP1_A,("Not Used")); strcpy(AMP1_B,("Not Used")); strcpy(AMP1_C,("Not Used")); strcpy(AMP1_D,("Not Used")); strcpy(AMP2_A,("Not Used")); strcpy(AMP2_B,("Not Used")); strcpy(AMP2_C,("Not Used")); strcpy(AMP2_D,("Not Used"));  break;</v>
      </c>
      <c r="F143" t="s">
        <v>893</v>
      </c>
      <c r="I143" t="s">
        <v>893</v>
      </c>
      <c r="J143" s="45" t="str">
        <f>VLOOKUP(S143,'AMP models AxeFxIII'!$D$2:$H$299,2,FALSE)</f>
        <v>Not Used</v>
      </c>
      <c r="K143" s="45" t="str">
        <f>VLOOKUP(T143,'AMP models AxeFxIII'!$D$2:$H$299,2,FALSE)</f>
        <v>Not Used</v>
      </c>
      <c r="L143" s="45" t="str">
        <f>VLOOKUP(U143,'AMP models AxeFxIII'!$D$2:$H$299,2,FALSE)</f>
        <v>Not Used</v>
      </c>
      <c r="M143" s="45" t="str">
        <f>VLOOKUP(V143,'AMP models AxeFxIII'!$D$2:$H$299,2,FALSE)</f>
        <v>Not Used</v>
      </c>
      <c r="N143" s="45" t="str">
        <f>VLOOKUP(W143,'AMP models AxeFxIII'!$D$2:$H$299,2,FALSE)</f>
        <v>Not Used</v>
      </c>
      <c r="O143" s="45" t="str">
        <f>VLOOKUP(X143,'AMP models AxeFxIII'!$D$2:$H$299,2,FALSE)</f>
        <v>Not Used</v>
      </c>
      <c r="P143" s="45" t="str">
        <f>VLOOKUP(Y143,'AMP models AxeFxIII'!$D$2:$H$299,2,FALSE)</f>
        <v>Not Used</v>
      </c>
      <c r="Q143" s="45" t="str">
        <f>VLOOKUP(Z143,'AMP models AxeFxIII'!$D$2:$H$299,2,FALSE)</f>
        <v>Not Used</v>
      </c>
      <c r="R143" s="4">
        <v>139</v>
      </c>
      <c r="S143" s="46" t="s">
        <v>555</v>
      </c>
      <c r="T143" s="46" t="s">
        <v>555</v>
      </c>
      <c r="U143" s="46" t="s">
        <v>555</v>
      </c>
      <c r="V143" s="46" t="s">
        <v>555</v>
      </c>
      <c r="W143" s="46" t="s">
        <v>555</v>
      </c>
      <c r="X143" s="46" t="s">
        <v>555</v>
      </c>
      <c r="Y143" s="46" t="s">
        <v>555</v>
      </c>
      <c r="Z143" s="46" t="s">
        <v>555</v>
      </c>
    </row>
    <row r="144" spans="1:26">
      <c r="A144" s="41">
        <f>preset_Names!A144</f>
        <v>140</v>
      </c>
      <c r="B144" t="str">
        <f t="shared" si="7"/>
        <v xml:space="preserve">strcpy(AMP1_A,("Not Used")); strcpy(AMP1_B,("Not Used")); strcpy(AMP1_C,("Not Used")); strcpy(AMP1_D,("Not Used")); </v>
      </c>
      <c r="C144" t="str">
        <f t="shared" si="8"/>
        <v xml:space="preserve">strcpy(AMP2_A,("Not Used")); strcpy(AMP2_B,("Not Used")); strcpy(AMP2_C,("Not Used")); strcpy(AMP2_D,("Not Used")); </v>
      </c>
      <c r="D144" s="31" t="s">
        <v>893</v>
      </c>
      <c r="E144" s="42" t="str">
        <f t="shared" si="6"/>
        <v>case 140: strcpy(AMP1_A,("Not Used")); strcpy(AMP1_B,("Not Used")); strcpy(AMP1_C,("Not Used")); strcpy(AMP1_D,("Not Used")); strcpy(AMP2_A,("Not Used")); strcpy(AMP2_B,("Not Used")); strcpy(AMP2_C,("Not Used")); strcpy(AMP2_D,("Not Used"));  break;</v>
      </c>
      <c r="F144" t="s">
        <v>893</v>
      </c>
      <c r="I144" t="s">
        <v>893</v>
      </c>
      <c r="J144" s="45" t="str">
        <f>VLOOKUP(S144,'AMP models AxeFxIII'!$D$2:$H$299,2,FALSE)</f>
        <v>Not Used</v>
      </c>
      <c r="K144" s="45" t="str">
        <f>VLOOKUP(T144,'AMP models AxeFxIII'!$D$2:$H$299,2,FALSE)</f>
        <v>Not Used</v>
      </c>
      <c r="L144" s="45" t="str">
        <f>VLOOKUP(U144,'AMP models AxeFxIII'!$D$2:$H$299,2,FALSE)</f>
        <v>Not Used</v>
      </c>
      <c r="M144" s="45" t="str">
        <f>VLOOKUP(V144,'AMP models AxeFxIII'!$D$2:$H$299,2,FALSE)</f>
        <v>Not Used</v>
      </c>
      <c r="N144" s="45" t="str">
        <f>VLOOKUP(W144,'AMP models AxeFxIII'!$D$2:$H$299,2,FALSE)</f>
        <v>Not Used</v>
      </c>
      <c r="O144" s="45" t="str">
        <f>VLOOKUP(X144,'AMP models AxeFxIII'!$D$2:$H$299,2,FALSE)</f>
        <v>Not Used</v>
      </c>
      <c r="P144" s="45" t="str">
        <f>VLOOKUP(Y144,'AMP models AxeFxIII'!$D$2:$H$299,2,FALSE)</f>
        <v>Not Used</v>
      </c>
      <c r="Q144" s="45" t="str">
        <f>VLOOKUP(Z144,'AMP models AxeFxIII'!$D$2:$H$299,2,FALSE)</f>
        <v>Not Used</v>
      </c>
      <c r="R144" s="4">
        <v>140</v>
      </c>
      <c r="S144" s="46" t="s">
        <v>555</v>
      </c>
      <c r="T144" s="46" t="s">
        <v>555</v>
      </c>
      <c r="U144" s="46" t="s">
        <v>555</v>
      </c>
      <c r="V144" s="46" t="s">
        <v>555</v>
      </c>
      <c r="W144" s="46" t="s">
        <v>555</v>
      </c>
      <c r="X144" s="46" t="s">
        <v>555</v>
      </c>
      <c r="Y144" s="46" t="s">
        <v>555</v>
      </c>
      <c r="Z144" s="46" t="s">
        <v>555</v>
      </c>
    </row>
    <row r="145" spans="1:26">
      <c r="A145" s="41">
        <f>preset_Names!A145</f>
        <v>141</v>
      </c>
      <c r="B145" t="str">
        <f t="shared" si="7"/>
        <v xml:space="preserve">strcpy(AMP1_A,("Not Used")); strcpy(AMP1_B,("Not Used")); strcpy(AMP1_C,("Not Used")); strcpy(AMP1_D,("Not Used")); </v>
      </c>
      <c r="C145" t="str">
        <f t="shared" si="8"/>
        <v xml:space="preserve">strcpy(AMP2_A,("Not Used")); strcpy(AMP2_B,("Not Used")); strcpy(AMP2_C,("Not Used")); strcpy(AMP2_D,("Not Used")); </v>
      </c>
      <c r="D145" s="31" t="s">
        <v>893</v>
      </c>
      <c r="E145" s="42" t="str">
        <f t="shared" si="6"/>
        <v>case 141: strcpy(AMP1_A,("Not Used")); strcpy(AMP1_B,("Not Used")); strcpy(AMP1_C,("Not Used")); strcpy(AMP1_D,("Not Used")); strcpy(AMP2_A,("Not Used")); strcpy(AMP2_B,("Not Used")); strcpy(AMP2_C,("Not Used")); strcpy(AMP2_D,("Not Used"));  break;</v>
      </c>
      <c r="F145" t="s">
        <v>893</v>
      </c>
      <c r="I145" t="s">
        <v>893</v>
      </c>
      <c r="J145" s="45" t="str">
        <f>VLOOKUP(S145,'AMP models AxeFxIII'!$D$2:$H$299,2,FALSE)</f>
        <v>Not Used</v>
      </c>
      <c r="K145" s="45" t="str">
        <f>VLOOKUP(T145,'AMP models AxeFxIII'!$D$2:$H$299,2,FALSE)</f>
        <v>Not Used</v>
      </c>
      <c r="L145" s="45" t="str">
        <f>VLOOKUP(U145,'AMP models AxeFxIII'!$D$2:$H$299,2,FALSE)</f>
        <v>Not Used</v>
      </c>
      <c r="M145" s="45" t="str">
        <f>VLOOKUP(V145,'AMP models AxeFxIII'!$D$2:$H$299,2,FALSE)</f>
        <v>Not Used</v>
      </c>
      <c r="N145" s="45" t="str">
        <f>VLOOKUP(W145,'AMP models AxeFxIII'!$D$2:$H$299,2,FALSE)</f>
        <v>Not Used</v>
      </c>
      <c r="O145" s="45" t="str">
        <f>VLOOKUP(X145,'AMP models AxeFxIII'!$D$2:$H$299,2,FALSE)</f>
        <v>Not Used</v>
      </c>
      <c r="P145" s="45" t="str">
        <f>VLOOKUP(Y145,'AMP models AxeFxIII'!$D$2:$H$299,2,FALSE)</f>
        <v>Not Used</v>
      </c>
      <c r="Q145" s="45" t="str">
        <f>VLOOKUP(Z145,'AMP models AxeFxIII'!$D$2:$H$299,2,FALSE)</f>
        <v>Not Used</v>
      </c>
      <c r="R145" s="4">
        <v>141</v>
      </c>
      <c r="S145" s="46" t="s">
        <v>555</v>
      </c>
      <c r="T145" s="46" t="s">
        <v>555</v>
      </c>
      <c r="U145" s="46" t="s">
        <v>555</v>
      </c>
      <c r="V145" s="46" t="s">
        <v>555</v>
      </c>
      <c r="W145" s="46" t="s">
        <v>555</v>
      </c>
      <c r="X145" s="46" t="s">
        <v>555</v>
      </c>
      <c r="Y145" s="46" t="s">
        <v>555</v>
      </c>
      <c r="Z145" s="46" t="s">
        <v>555</v>
      </c>
    </row>
    <row r="146" spans="1:26">
      <c r="A146" s="41">
        <f>preset_Names!A146</f>
        <v>142</v>
      </c>
      <c r="B146" t="str">
        <f t="shared" si="7"/>
        <v xml:space="preserve">strcpy(AMP1_A,("Not Used")); strcpy(AMP1_B,("Not Used")); strcpy(AMP1_C,("Not Used")); strcpy(AMP1_D,("Not Used")); </v>
      </c>
      <c r="C146" t="str">
        <f t="shared" si="8"/>
        <v xml:space="preserve">strcpy(AMP2_A,("Not Used")); strcpy(AMP2_B,("Not Used")); strcpy(AMP2_C,("Not Used")); strcpy(AMP2_D,("Not Used")); </v>
      </c>
      <c r="D146" s="31" t="s">
        <v>893</v>
      </c>
      <c r="E146" s="42" t="str">
        <f t="shared" si="6"/>
        <v>case 142: strcpy(AMP1_A,("Not Used")); strcpy(AMP1_B,("Not Used")); strcpy(AMP1_C,("Not Used")); strcpy(AMP1_D,("Not Used")); strcpy(AMP2_A,("Not Used")); strcpy(AMP2_B,("Not Used")); strcpy(AMP2_C,("Not Used")); strcpy(AMP2_D,("Not Used"));  break;</v>
      </c>
      <c r="F146" t="s">
        <v>893</v>
      </c>
      <c r="I146" t="s">
        <v>893</v>
      </c>
      <c r="J146" s="45" t="str">
        <f>VLOOKUP(S146,'AMP models AxeFxIII'!$D$2:$H$299,2,FALSE)</f>
        <v>Not Used</v>
      </c>
      <c r="K146" s="45" t="str">
        <f>VLOOKUP(T146,'AMP models AxeFxIII'!$D$2:$H$299,2,FALSE)</f>
        <v>Not Used</v>
      </c>
      <c r="L146" s="45" t="str">
        <f>VLOOKUP(U146,'AMP models AxeFxIII'!$D$2:$H$299,2,FALSE)</f>
        <v>Not Used</v>
      </c>
      <c r="M146" s="45" t="str">
        <f>VLOOKUP(V146,'AMP models AxeFxIII'!$D$2:$H$299,2,FALSE)</f>
        <v>Not Used</v>
      </c>
      <c r="N146" s="45" t="str">
        <f>VLOOKUP(W146,'AMP models AxeFxIII'!$D$2:$H$299,2,FALSE)</f>
        <v>Not Used</v>
      </c>
      <c r="O146" s="45" t="str">
        <f>VLOOKUP(X146,'AMP models AxeFxIII'!$D$2:$H$299,2,FALSE)</f>
        <v>Not Used</v>
      </c>
      <c r="P146" s="45" t="str">
        <f>VLOOKUP(Y146,'AMP models AxeFxIII'!$D$2:$H$299,2,FALSE)</f>
        <v>Not Used</v>
      </c>
      <c r="Q146" s="45" t="str">
        <f>VLOOKUP(Z146,'AMP models AxeFxIII'!$D$2:$H$299,2,FALSE)</f>
        <v>Not Used</v>
      </c>
      <c r="R146" s="4">
        <v>142</v>
      </c>
      <c r="S146" s="46" t="s">
        <v>555</v>
      </c>
      <c r="T146" s="46" t="s">
        <v>555</v>
      </c>
      <c r="U146" s="46" t="s">
        <v>555</v>
      </c>
      <c r="V146" s="46" t="s">
        <v>555</v>
      </c>
      <c r="W146" s="46" t="s">
        <v>555</v>
      </c>
      <c r="X146" s="46" t="s">
        <v>555</v>
      </c>
      <c r="Y146" s="46" t="s">
        <v>555</v>
      </c>
      <c r="Z146" s="46" t="s">
        <v>555</v>
      </c>
    </row>
    <row r="147" spans="1:26">
      <c r="A147" s="41">
        <f>preset_Names!A147</f>
        <v>143</v>
      </c>
      <c r="B147" t="str">
        <f t="shared" si="7"/>
        <v xml:space="preserve">strcpy(AMP1_A,("Not Used")); strcpy(AMP1_B,("Not Used")); strcpy(AMP1_C,("Not Used")); strcpy(AMP1_D,("Not Used")); </v>
      </c>
      <c r="C147" t="str">
        <f t="shared" si="8"/>
        <v xml:space="preserve">strcpy(AMP2_A,("Not Used")); strcpy(AMP2_B,("Not Used")); strcpy(AMP2_C,("Not Used")); strcpy(AMP2_D,("Not Used")); </v>
      </c>
      <c r="D147" s="31" t="s">
        <v>893</v>
      </c>
      <c r="E147" s="42" t="str">
        <f t="shared" si="6"/>
        <v>case 143: strcpy(AMP1_A,("Not Used")); strcpy(AMP1_B,("Not Used")); strcpy(AMP1_C,("Not Used")); strcpy(AMP1_D,("Not Used")); strcpy(AMP2_A,("Not Used")); strcpy(AMP2_B,("Not Used")); strcpy(AMP2_C,("Not Used")); strcpy(AMP2_D,("Not Used"));  break;</v>
      </c>
      <c r="F147" t="s">
        <v>893</v>
      </c>
      <c r="I147" t="s">
        <v>893</v>
      </c>
      <c r="J147" s="45" t="str">
        <f>VLOOKUP(S147,'AMP models AxeFxIII'!$D$2:$H$299,2,FALSE)</f>
        <v>Not Used</v>
      </c>
      <c r="K147" s="45" t="str">
        <f>VLOOKUP(T147,'AMP models AxeFxIII'!$D$2:$H$299,2,FALSE)</f>
        <v>Not Used</v>
      </c>
      <c r="L147" s="45" t="str">
        <f>VLOOKUP(U147,'AMP models AxeFxIII'!$D$2:$H$299,2,FALSE)</f>
        <v>Not Used</v>
      </c>
      <c r="M147" s="45" t="str">
        <f>VLOOKUP(V147,'AMP models AxeFxIII'!$D$2:$H$299,2,FALSE)</f>
        <v>Not Used</v>
      </c>
      <c r="N147" s="45" t="str">
        <f>VLOOKUP(W147,'AMP models AxeFxIII'!$D$2:$H$299,2,FALSE)</f>
        <v>Not Used</v>
      </c>
      <c r="O147" s="45" t="str">
        <f>VLOOKUP(X147,'AMP models AxeFxIII'!$D$2:$H$299,2,FALSE)</f>
        <v>Not Used</v>
      </c>
      <c r="P147" s="45" t="str">
        <f>VLOOKUP(Y147,'AMP models AxeFxIII'!$D$2:$H$299,2,FALSE)</f>
        <v>Not Used</v>
      </c>
      <c r="Q147" s="45" t="str">
        <f>VLOOKUP(Z147,'AMP models AxeFxIII'!$D$2:$H$299,2,FALSE)</f>
        <v>Not Used</v>
      </c>
      <c r="R147" s="4">
        <v>143</v>
      </c>
      <c r="S147" s="46" t="s">
        <v>555</v>
      </c>
      <c r="T147" s="46" t="s">
        <v>555</v>
      </c>
      <c r="U147" s="46" t="s">
        <v>555</v>
      </c>
      <c r="V147" s="46" t="s">
        <v>555</v>
      </c>
      <c r="W147" s="46" t="s">
        <v>555</v>
      </c>
      <c r="X147" s="46" t="s">
        <v>555</v>
      </c>
      <c r="Y147" s="46" t="s">
        <v>555</v>
      </c>
      <c r="Z147" s="46" t="s">
        <v>555</v>
      </c>
    </row>
    <row r="148" spans="1:26">
      <c r="A148" s="41">
        <f>preset_Names!A148</f>
        <v>144</v>
      </c>
      <c r="B148" t="str">
        <f t="shared" si="7"/>
        <v xml:space="preserve">strcpy(AMP1_A,("Not Used")); strcpy(AMP1_B,("Not Used")); strcpy(AMP1_C,("Not Used")); strcpy(AMP1_D,("Not Used")); </v>
      </c>
      <c r="C148" t="str">
        <f t="shared" si="8"/>
        <v xml:space="preserve">strcpy(AMP2_A,("Not Used")); strcpy(AMP2_B,("Not Used")); strcpy(AMP2_C,("Not Used")); strcpy(AMP2_D,("Not Used")); </v>
      </c>
      <c r="D148" s="31" t="s">
        <v>893</v>
      </c>
      <c r="E148" s="42" t="str">
        <f t="shared" si="6"/>
        <v>case 144: strcpy(AMP1_A,("Not Used")); strcpy(AMP1_B,("Not Used")); strcpy(AMP1_C,("Not Used")); strcpy(AMP1_D,("Not Used")); strcpy(AMP2_A,("Not Used")); strcpy(AMP2_B,("Not Used")); strcpy(AMP2_C,("Not Used")); strcpy(AMP2_D,("Not Used"));  break;</v>
      </c>
      <c r="F148" t="s">
        <v>893</v>
      </c>
      <c r="I148" t="s">
        <v>893</v>
      </c>
      <c r="J148" s="45" t="str">
        <f>VLOOKUP(S148,'AMP models AxeFxIII'!$D$2:$H$299,2,FALSE)</f>
        <v>Not Used</v>
      </c>
      <c r="K148" s="45" t="str">
        <f>VLOOKUP(T148,'AMP models AxeFxIII'!$D$2:$H$299,2,FALSE)</f>
        <v>Not Used</v>
      </c>
      <c r="L148" s="45" t="str">
        <f>VLOOKUP(U148,'AMP models AxeFxIII'!$D$2:$H$299,2,FALSE)</f>
        <v>Not Used</v>
      </c>
      <c r="M148" s="45" t="str">
        <f>VLOOKUP(V148,'AMP models AxeFxIII'!$D$2:$H$299,2,FALSE)</f>
        <v>Not Used</v>
      </c>
      <c r="N148" s="45" t="str">
        <f>VLOOKUP(W148,'AMP models AxeFxIII'!$D$2:$H$299,2,FALSE)</f>
        <v>Not Used</v>
      </c>
      <c r="O148" s="45" t="str">
        <f>VLOOKUP(X148,'AMP models AxeFxIII'!$D$2:$H$299,2,FALSE)</f>
        <v>Not Used</v>
      </c>
      <c r="P148" s="45" t="str">
        <f>VLOOKUP(Y148,'AMP models AxeFxIII'!$D$2:$H$299,2,FALSE)</f>
        <v>Not Used</v>
      </c>
      <c r="Q148" s="45" t="str">
        <f>VLOOKUP(Z148,'AMP models AxeFxIII'!$D$2:$H$299,2,FALSE)</f>
        <v>Not Used</v>
      </c>
      <c r="R148" s="4">
        <v>144</v>
      </c>
      <c r="S148" s="46" t="s">
        <v>555</v>
      </c>
      <c r="T148" s="46" t="s">
        <v>555</v>
      </c>
      <c r="U148" s="46" t="s">
        <v>555</v>
      </c>
      <c r="V148" s="46" t="s">
        <v>555</v>
      </c>
      <c r="W148" s="46" t="s">
        <v>555</v>
      </c>
      <c r="X148" s="46" t="s">
        <v>555</v>
      </c>
      <c r="Y148" s="46" t="s">
        <v>555</v>
      </c>
      <c r="Z148" s="46" t="s">
        <v>555</v>
      </c>
    </row>
    <row r="149" spans="1:26">
      <c r="A149" s="41">
        <f>preset_Names!A149</f>
        <v>145</v>
      </c>
      <c r="B149" t="str">
        <f t="shared" si="7"/>
        <v xml:space="preserve">strcpy(AMP1_A,("Not Used")); strcpy(AMP1_B,("Not Used")); strcpy(AMP1_C,("Not Used")); strcpy(AMP1_D,("Not Used")); </v>
      </c>
      <c r="C149" t="str">
        <f t="shared" si="8"/>
        <v xml:space="preserve">strcpy(AMP2_A,("Not Used")); strcpy(AMP2_B,("Not Used")); strcpy(AMP2_C,("Not Used")); strcpy(AMP2_D,("Not Used")); </v>
      </c>
      <c r="D149" s="31" t="s">
        <v>893</v>
      </c>
      <c r="E149" s="42" t="str">
        <f t="shared" si="6"/>
        <v>case 145: strcpy(AMP1_A,("Not Used")); strcpy(AMP1_B,("Not Used")); strcpy(AMP1_C,("Not Used")); strcpy(AMP1_D,("Not Used")); strcpy(AMP2_A,("Not Used")); strcpy(AMP2_B,("Not Used")); strcpy(AMP2_C,("Not Used")); strcpy(AMP2_D,("Not Used"));  break;</v>
      </c>
      <c r="F149" t="s">
        <v>893</v>
      </c>
      <c r="I149" t="s">
        <v>893</v>
      </c>
      <c r="J149" s="45" t="str">
        <f>VLOOKUP(S149,'AMP models AxeFxIII'!$D$2:$H$299,2,FALSE)</f>
        <v>Not Used</v>
      </c>
      <c r="K149" s="45" t="str">
        <f>VLOOKUP(T149,'AMP models AxeFxIII'!$D$2:$H$299,2,FALSE)</f>
        <v>Not Used</v>
      </c>
      <c r="L149" s="45" t="str">
        <f>VLOOKUP(U149,'AMP models AxeFxIII'!$D$2:$H$299,2,FALSE)</f>
        <v>Not Used</v>
      </c>
      <c r="M149" s="45" t="str">
        <f>VLOOKUP(V149,'AMP models AxeFxIII'!$D$2:$H$299,2,FALSE)</f>
        <v>Not Used</v>
      </c>
      <c r="N149" s="45" t="str">
        <f>VLOOKUP(W149,'AMP models AxeFxIII'!$D$2:$H$299,2,FALSE)</f>
        <v>Not Used</v>
      </c>
      <c r="O149" s="45" t="str">
        <f>VLOOKUP(X149,'AMP models AxeFxIII'!$D$2:$H$299,2,FALSE)</f>
        <v>Not Used</v>
      </c>
      <c r="P149" s="45" t="str">
        <f>VLOOKUP(Y149,'AMP models AxeFxIII'!$D$2:$H$299,2,FALSE)</f>
        <v>Not Used</v>
      </c>
      <c r="Q149" s="45" t="str">
        <f>VLOOKUP(Z149,'AMP models AxeFxIII'!$D$2:$H$299,2,FALSE)</f>
        <v>Not Used</v>
      </c>
      <c r="R149" s="4">
        <v>145</v>
      </c>
      <c r="S149" s="46" t="s">
        <v>555</v>
      </c>
      <c r="T149" s="46" t="s">
        <v>555</v>
      </c>
      <c r="U149" s="46" t="s">
        <v>555</v>
      </c>
      <c r="V149" s="46" t="s">
        <v>555</v>
      </c>
      <c r="W149" s="46" t="s">
        <v>555</v>
      </c>
      <c r="X149" s="46" t="s">
        <v>555</v>
      </c>
      <c r="Y149" s="46" t="s">
        <v>555</v>
      </c>
      <c r="Z149" s="46" t="s">
        <v>555</v>
      </c>
    </row>
    <row r="150" spans="1:26">
      <c r="A150" s="41">
        <f>preset_Names!A150</f>
        <v>146</v>
      </c>
      <c r="B150" t="str">
        <f t="shared" si="7"/>
        <v xml:space="preserve">strcpy(AMP1_A,("Not Used")); strcpy(AMP1_B,("Not Used")); strcpy(AMP1_C,("Not Used")); strcpy(AMP1_D,("Not Used")); </v>
      </c>
      <c r="C150" t="str">
        <f t="shared" si="8"/>
        <v xml:space="preserve">strcpy(AMP2_A,("Not Used")); strcpy(AMP2_B,("Not Used")); strcpy(AMP2_C,("Not Used")); strcpy(AMP2_D,("Not Used")); </v>
      </c>
      <c r="D150" s="31" t="s">
        <v>893</v>
      </c>
      <c r="E150" s="42" t="str">
        <f t="shared" si="6"/>
        <v>case 146: strcpy(AMP1_A,("Not Used")); strcpy(AMP1_B,("Not Used")); strcpy(AMP1_C,("Not Used")); strcpy(AMP1_D,("Not Used")); strcpy(AMP2_A,("Not Used")); strcpy(AMP2_B,("Not Used")); strcpy(AMP2_C,("Not Used")); strcpy(AMP2_D,("Not Used"));  break;</v>
      </c>
      <c r="F150" t="s">
        <v>893</v>
      </c>
      <c r="I150" t="s">
        <v>893</v>
      </c>
      <c r="J150" s="45" t="str">
        <f>VLOOKUP(S150,'AMP models AxeFxIII'!$D$2:$H$299,2,FALSE)</f>
        <v>Not Used</v>
      </c>
      <c r="K150" s="45" t="str">
        <f>VLOOKUP(T150,'AMP models AxeFxIII'!$D$2:$H$299,2,FALSE)</f>
        <v>Not Used</v>
      </c>
      <c r="L150" s="45" t="str">
        <f>VLOOKUP(U150,'AMP models AxeFxIII'!$D$2:$H$299,2,FALSE)</f>
        <v>Not Used</v>
      </c>
      <c r="M150" s="45" t="str">
        <f>VLOOKUP(V150,'AMP models AxeFxIII'!$D$2:$H$299,2,FALSE)</f>
        <v>Not Used</v>
      </c>
      <c r="N150" s="45" t="str">
        <f>VLOOKUP(W150,'AMP models AxeFxIII'!$D$2:$H$299,2,FALSE)</f>
        <v>Not Used</v>
      </c>
      <c r="O150" s="45" t="str">
        <f>VLOOKUP(X150,'AMP models AxeFxIII'!$D$2:$H$299,2,FALSE)</f>
        <v>Not Used</v>
      </c>
      <c r="P150" s="45" t="str">
        <f>VLOOKUP(Y150,'AMP models AxeFxIII'!$D$2:$H$299,2,FALSE)</f>
        <v>Not Used</v>
      </c>
      <c r="Q150" s="45" t="str">
        <f>VLOOKUP(Z150,'AMP models AxeFxIII'!$D$2:$H$299,2,FALSE)</f>
        <v>Not Used</v>
      </c>
      <c r="R150" s="4">
        <v>146</v>
      </c>
      <c r="S150" s="46" t="s">
        <v>555</v>
      </c>
      <c r="T150" s="46" t="s">
        <v>555</v>
      </c>
      <c r="U150" s="46" t="s">
        <v>555</v>
      </c>
      <c r="V150" s="46" t="s">
        <v>555</v>
      </c>
      <c r="W150" s="46" t="s">
        <v>555</v>
      </c>
      <c r="X150" s="46" t="s">
        <v>555</v>
      </c>
      <c r="Y150" s="46" t="s">
        <v>555</v>
      </c>
      <c r="Z150" s="46" t="s">
        <v>555</v>
      </c>
    </row>
    <row r="151" spans="1:26">
      <c r="A151" s="41">
        <f>preset_Names!A151</f>
        <v>147</v>
      </c>
      <c r="B151" t="str">
        <f t="shared" si="7"/>
        <v xml:space="preserve">strcpy(AMP1_A,("Not Used")); strcpy(AMP1_B,("Not Used")); strcpy(AMP1_C,("Not Used")); strcpy(AMP1_D,("Not Used")); </v>
      </c>
      <c r="C151" t="str">
        <f t="shared" si="8"/>
        <v xml:space="preserve">strcpy(AMP2_A,("Not Used")); strcpy(AMP2_B,("Not Used")); strcpy(AMP2_C,("Not Used")); strcpy(AMP2_D,("Not Used")); </v>
      </c>
      <c r="D151" s="31" t="s">
        <v>893</v>
      </c>
      <c r="E151" s="42" t="str">
        <f t="shared" si="6"/>
        <v>case 147: strcpy(AMP1_A,("Not Used")); strcpy(AMP1_B,("Not Used")); strcpy(AMP1_C,("Not Used")); strcpy(AMP1_D,("Not Used")); strcpy(AMP2_A,("Not Used")); strcpy(AMP2_B,("Not Used")); strcpy(AMP2_C,("Not Used")); strcpy(AMP2_D,("Not Used"));  break;</v>
      </c>
      <c r="F151" t="s">
        <v>893</v>
      </c>
      <c r="I151" t="s">
        <v>893</v>
      </c>
      <c r="J151" s="45" t="str">
        <f>VLOOKUP(S151,'AMP models AxeFxIII'!$D$2:$H$299,2,FALSE)</f>
        <v>Not Used</v>
      </c>
      <c r="K151" s="45" t="str">
        <f>VLOOKUP(T151,'AMP models AxeFxIII'!$D$2:$H$299,2,FALSE)</f>
        <v>Not Used</v>
      </c>
      <c r="L151" s="45" t="str">
        <f>VLOOKUP(U151,'AMP models AxeFxIII'!$D$2:$H$299,2,FALSE)</f>
        <v>Not Used</v>
      </c>
      <c r="M151" s="45" t="str">
        <f>VLOOKUP(V151,'AMP models AxeFxIII'!$D$2:$H$299,2,FALSE)</f>
        <v>Not Used</v>
      </c>
      <c r="N151" s="45" t="str">
        <f>VLOOKUP(W151,'AMP models AxeFxIII'!$D$2:$H$299,2,FALSE)</f>
        <v>Not Used</v>
      </c>
      <c r="O151" s="45" t="str">
        <f>VLOOKUP(X151,'AMP models AxeFxIII'!$D$2:$H$299,2,FALSE)</f>
        <v>Not Used</v>
      </c>
      <c r="P151" s="45" t="str">
        <f>VLOOKUP(Y151,'AMP models AxeFxIII'!$D$2:$H$299,2,FALSE)</f>
        <v>Not Used</v>
      </c>
      <c r="Q151" s="45" t="str">
        <f>VLOOKUP(Z151,'AMP models AxeFxIII'!$D$2:$H$299,2,FALSE)</f>
        <v>Not Used</v>
      </c>
      <c r="R151" s="4">
        <v>147</v>
      </c>
      <c r="S151" s="46" t="s">
        <v>555</v>
      </c>
      <c r="T151" s="46" t="s">
        <v>555</v>
      </c>
      <c r="U151" s="46" t="s">
        <v>555</v>
      </c>
      <c r="V151" s="46" t="s">
        <v>555</v>
      </c>
      <c r="W151" s="46" t="s">
        <v>555</v>
      </c>
      <c r="X151" s="46" t="s">
        <v>555</v>
      </c>
      <c r="Y151" s="46" t="s">
        <v>555</v>
      </c>
      <c r="Z151" s="46" t="s">
        <v>555</v>
      </c>
    </row>
    <row r="152" spans="1:26">
      <c r="A152" s="41">
        <f>preset_Names!A152</f>
        <v>148</v>
      </c>
      <c r="B152" t="str">
        <f t="shared" si="7"/>
        <v xml:space="preserve">strcpy(AMP1_A,("Not Used")); strcpy(AMP1_B,("Not Used")); strcpy(AMP1_C,("Not Used")); strcpy(AMP1_D,("Not Used")); </v>
      </c>
      <c r="C152" t="str">
        <f t="shared" si="8"/>
        <v xml:space="preserve">strcpy(AMP2_A,("Not Used")); strcpy(AMP2_B,("Not Used")); strcpy(AMP2_C,("Not Used")); strcpy(AMP2_D,("Not Used")); </v>
      </c>
      <c r="D152" s="31" t="s">
        <v>893</v>
      </c>
      <c r="E152" s="42" t="str">
        <f t="shared" si="6"/>
        <v>case 148: strcpy(AMP1_A,("Not Used")); strcpy(AMP1_B,("Not Used")); strcpy(AMP1_C,("Not Used")); strcpy(AMP1_D,("Not Used")); strcpy(AMP2_A,("Not Used")); strcpy(AMP2_B,("Not Used")); strcpy(AMP2_C,("Not Used")); strcpy(AMP2_D,("Not Used"));  break;</v>
      </c>
      <c r="F152" t="s">
        <v>893</v>
      </c>
      <c r="I152" t="s">
        <v>893</v>
      </c>
      <c r="J152" s="45" t="str">
        <f>VLOOKUP(S152,'AMP models AxeFxIII'!$D$2:$H$299,2,FALSE)</f>
        <v>Not Used</v>
      </c>
      <c r="K152" s="45" t="str">
        <f>VLOOKUP(T152,'AMP models AxeFxIII'!$D$2:$H$299,2,FALSE)</f>
        <v>Not Used</v>
      </c>
      <c r="L152" s="45" t="str">
        <f>VLOOKUP(U152,'AMP models AxeFxIII'!$D$2:$H$299,2,FALSE)</f>
        <v>Not Used</v>
      </c>
      <c r="M152" s="45" t="str">
        <f>VLOOKUP(V152,'AMP models AxeFxIII'!$D$2:$H$299,2,FALSE)</f>
        <v>Not Used</v>
      </c>
      <c r="N152" s="45" t="str">
        <f>VLOOKUP(W152,'AMP models AxeFxIII'!$D$2:$H$299,2,FALSE)</f>
        <v>Not Used</v>
      </c>
      <c r="O152" s="45" t="str">
        <f>VLOOKUP(X152,'AMP models AxeFxIII'!$D$2:$H$299,2,FALSE)</f>
        <v>Not Used</v>
      </c>
      <c r="P152" s="45" t="str">
        <f>VLOOKUP(Y152,'AMP models AxeFxIII'!$D$2:$H$299,2,FALSE)</f>
        <v>Not Used</v>
      </c>
      <c r="Q152" s="45" t="str">
        <f>VLOOKUP(Z152,'AMP models AxeFxIII'!$D$2:$H$299,2,FALSE)</f>
        <v>Not Used</v>
      </c>
      <c r="R152" s="4">
        <v>148</v>
      </c>
      <c r="S152" s="46" t="s">
        <v>555</v>
      </c>
      <c r="T152" s="46" t="s">
        <v>555</v>
      </c>
      <c r="U152" s="46" t="s">
        <v>555</v>
      </c>
      <c r="V152" s="46" t="s">
        <v>555</v>
      </c>
      <c r="W152" s="46" t="s">
        <v>555</v>
      </c>
      <c r="X152" s="46" t="s">
        <v>555</v>
      </c>
      <c r="Y152" s="46" t="s">
        <v>555</v>
      </c>
      <c r="Z152" s="46" t="s">
        <v>555</v>
      </c>
    </row>
    <row r="153" spans="1:26">
      <c r="A153" s="41">
        <f>preset_Names!A153</f>
        <v>149</v>
      </c>
      <c r="B153" t="str">
        <f t="shared" si="7"/>
        <v xml:space="preserve">strcpy(AMP1_A,("Not Used")); strcpy(AMP1_B,("Not Used")); strcpy(AMP1_C,("Not Used")); strcpy(AMP1_D,("Not Used")); </v>
      </c>
      <c r="C153" t="str">
        <f t="shared" si="8"/>
        <v xml:space="preserve">strcpy(AMP2_A,("Not Used")); strcpy(AMP2_B,("Not Used")); strcpy(AMP2_C,("Not Used")); strcpy(AMP2_D,("Not Used")); </v>
      </c>
      <c r="D153" s="31" t="s">
        <v>893</v>
      </c>
      <c r="E153" s="42" t="str">
        <f t="shared" si="6"/>
        <v>case 149: strcpy(AMP1_A,("Not Used")); strcpy(AMP1_B,("Not Used")); strcpy(AMP1_C,("Not Used")); strcpy(AMP1_D,("Not Used")); strcpy(AMP2_A,("Not Used")); strcpy(AMP2_B,("Not Used")); strcpy(AMP2_C,("Not Used")); strcpy(AMP2_D,("Not Used"));  break;</v>
      </c>
      <c r="F153" t="s">
        <v>893</v>
      </c>
      <c r="I153" t="s">
        <v>893</v>
      </c>
      <c r="J153" s="45" t="str">
        <f>VLOOKUP(S153,'AMP models AxeFxIII'!$D$2:$H$299,2,FALSE)</f>
        <v>Not Used</v>
      </c>
      <c r="K153" s="45" t="str">
        <f>VLOOKUP(T153,'AMP models AxeFxIII'!$D$2:$H$299,2,FALSE)</f>
        <v>Not Used</v>
      </c>
      <c r="L153" s="45" t="str">
        <f>VLOOKUP(U153,'AMP models AxeFxIII'!$D$2:$H$299,2,FALSE)</f>
        <v>Not Used</v>
      </c>
      <c r="M153" s="45" t="str">
        <f>VLOOKUP(V153,'AMP models AxeFxIII'!$D$2:$H$299,2,FALSE)</f>
        <v>Not Used</v>
      </c>
      <c r="N153" s="45" t="str">
        <f>VLOOKUP(W153,'AMP models AxeFxIII'!$D$2:$H$299,2,FALSE)</f>
        <v>Not Used</v>
      </c>
      <c r="O153" s="45" t="str">
        <f>VLOOKUP(X153,'AMP models AxeFxIII'!$D$2:$H$299,2,FALSE)</f>
        <v>Not Used</v>
      </c>
      <c r="P153" s="45" t="str">
        <f>VLOOKUP(Y153,'AMP models AxeFxIII'!$D$2:$H$299,2,FALSE)</f>
        <v>Not Used</v>
      </c>
      <c r="Q153" s="45" t="str">
        <f>VLOOKUP(Z153,'AMP models AxeFxIII'!$D$2:$H$299,2,FALSE)</f>
        <v>Not Used</v>
      </c>
      <c r="R153" s="4">
        <v>149</v>
      </c>
      <c r="S153" s="46" t="s">
        <v>555</v>
      </c>
      <c r="T153" s="46" t="s">
        <v>555</v>
      </c>
      <c r="U153" s="46" t="s">
        <v>555</v>
      </c>
      <c r="V153" s="46" t="s">
        <v>555</v>
      </c>
      <c r="W153" s="46" t="s">
        <v>555</v>
      </c>
      <c r="X153" s="46" t="s">
        <v>555</v>
      </c>
      <c r="Y153" s="46" t="s">
        <v>555</v>
      </c>
      <c r="Z153" s="46" t="s">
        <v>555</v>
      </c>
    </row>
    <row r="154" spans="1:26">
      <c r="A154" s="41">
        <f>preset_Names!A154</f>
        <v>150</v>
      </c>
      <c r="B154" t="str">
        <f t="shared" si="7"/>
        <v xml:space="preserve">strcpy(AMP1_A,("Not Used")); strcpy(AMP1_B,("Not Used")); strcpy(AMP1_C,("Not Used")); strcpy(AMP1_D,("Not Used")); </v>
      </c>
      <c r="C154" t="str">
        <f t="shared" si="8"/>
        <v xml:space="preserve">strcpy(AMP2_A,("Not Used")); strcpy(AMP2_B,("Not Used")); strcpy(AMP2_C,("Not Used")); strcpy(AMP2_D,("Not Used")); </v>
      </c>
      <c r="D154" s="31" t="s">
        <v>893</v>
      </c>
      <c r="E154" s="42" t="str">
        <f t="shared" si="6"/>
        <v>case 150: strcpy(AMP1_A,("Not Used")); strcpy(AMP1_B,("Not Used")); strcpy(AMP1_C,("Not Used")); strcpy(AMP1_D,("Not Used")); strcpy(AMP2_A,("Not Used")); strcpy(AMP2_B,("Not Used")); strcpy(AMP2_C,("Not Used")); strcpy(AMP2_D,("Not Used"));  break;</v>
      </c>
      <c r="F154" t="s">
        <v>893</v>
      </c>
      <c r="I154" t="s">
        <v>893</v>
      </c>
      <c r="J154" s="45" t="str">
        <f>VLOOKUP(S154,'AMP models AxeFxIII'!$D$2:$H$299,2,FALSE)</f>
        <v>Not Used</v>
      </c>
      <c r="K154" s="45" t="str">
        <f>VLOOKUP(T154,'AMP models AxeFxIII'!$D$2:$H$299,2,FALSE)</f>
        <v>Not Used</v>
      </c>
      <c r="L154" s="45" t="str">
        <f>VLOOKUP(U154,'AMP models AxeFxIII'!$D$2:$H$299,2,FALSE)</f>
        <v>Not Used</v>
      </c>
      <c r="M154" s="45" t="str">
        <f>VLOOKUP(V154,'AMP models AxeFxIII'!$D$2:$H$299,2,FALSE)</f>
        <v>Not Used</v>
      </c>
      <c r="N154" s="45" t="str">
        <f>VLOOKUP(W154,'AMP models AxeFxIII'!$D$2:$H$299,2,FALSE)</f>
        <v>Not Used</v>
      </c>
      <c r="O154" s="45" t="str">
        <f>VLOOKUP(X154,'AMP models AxeFxIII'!$D$2:$H$299,2,FALSE)</f>
        <v>Not Used</v>
      </c>
      <c r="P154" s="45" t="str">
        <f>VLOOKUP(Y154,'AMP models AxeFxIII'!$D$2:$H$299,2,FALSE)</f>
        <v>Not Used</v>
      </c>
      <c r="Q154" s="45" t="str">
        <f>VLOOKUP(Z154,'AMP models AxeFxIII'!$D$2:$H$299,2,FALSE)</f>
        <v>Not Used</v>
      </c>
      <c r="R154" s="4">
        <v>150</v>
      </c>
      <c r="S154" s="46" t="s">
        <v>555</v>
      </c>
      <c r="T154" s="46" t="s">
        <v>555</v>
      </c>
      <c r="U154" s="46" t="s">
        <v>555</v>
      </c>
      <c r="V154" s="46" t="s">
        <v>555</v>
      </c>
      <c r="W154" s="46" t="s">
        <v>555</v>
      </c>
      <c r="X154" s="46" t="s">
        <v>555</v>
      </c>
      <c r="Y154" s="46" t="s">
        <v>555</v>
      </c>
      <c r="Z154" s="46" t="s">
        <v>555</v>
      </c>
    </row>
    <row r="155" spans="1:26">
      <c r="A155" s="41">
        <f>preset_Names!A155</f>
        <v>151</v>
      </c>
      <c r="B155" t="str">
        <f t="shared" si="7"/>
        <v xml:space="preserve">strcpy(AMP1_A,("Not Used")); strcpy(AMP1_B,("Not Used")); strcpy(AMP1_C,("Not Used")); strcpy(AMP1_D,("Not Used")); </v>
      </c>
      <c r="C155" t="str">
        <f t="shared" si="8"/>
        <v xml:space="preserve">strcpy(AMP2_A,("Not Used")); strcpy(AMP2_B,("Not Used")); strcpy(AMP2_C,("Not Used")); strcpy(AMP2_D,("Not Used")); </v>
      </c>
      <c r="D155" s="31" t="s">
        <v>893</v>
      </c>
      <c r="E155" s="42" t="str">
        <f t="shared" si="6"/>
        <v>case 151: strcpy(AMP1_A,("Not Used")); strcpy(AMP1_B,("Not Used")); strcpy(AMP1_C,("Not Used")); strcpy(AMP1_D,("Not Used")); strcpy(AMP2_A,("Not Used")); strcpy(AMP2_B,("Not Used")); strcpy(AMP2_C,("Not Used")); strcpy(AMP2_D,("Not Used"));  break;</v>
      </c>
      <c r="F155" t="s">
        <v>893</v>
      </c>
      <c r="I155" t="s">
        <v>893</v>
      </c>
      <c r="J155" s="45" t="str">
        <f>VLOOKUP(S155,'AMP models AxeFxIII'!$D$2:$H$299,2,FALSE)</f>
        <v>Not Used</v>
      </c>
      <c r="K155" s="45" t="str">
        <f>VLOOKUP(T155,'AMP models AxeFxIII'!$D$2:$H$299,2,FALSE)</f>
        <v>Not Used</v>
      </c>
      <c r="L155" s="45" t="str">
        <f>VLOOKUP(U155,'AMP models AxeFxIII'!$D$2:$H$299,2,FALSE)</f>
        <v>Not Used</v>
      </c>
      <c r="M155" s="45" t="str">
        <f>VLOOKUP(V155,'AMP models AxeFxIII'!$D$2:$H$299,2,FALSE)</f>
        <v>Not Used</v>
      </c>
      <c r="N155" s="45" t="str">
        <f>VLOOKUP(W155,'AMP models AxeFxIII'!$D$2:$H$299,2,FALSE)</f>
        <v>Not Used</v>
      </c>
      <c r="O155" s="45" t="str">
        <f>VLOOKUP(X155,'AMP models AxeFxIII'!$D$2:$H$299,2,FALSE)</f>
        <v>Not Used</v>
      </c>
      <c r="P155" s="45" t="str">
        <f>VLOOKUP(Y155,'AMP models AxeFxIII'!$D$2:$H$299,2,FALSE)</f>
        <v>Not Used</v>
      </c>
      <c r="Q155" s="45" t="str">
        <f>VLOOKUP(Z155,'AMP models AxeFxIII'!$D$2:$H$299,2,FALSE)</f>
        <v>Not Used</v>
      </c>
      <c r="R155" s="4">
        <v>151</v>
      </c>
      <c r="S155" s="46" t="s">
        <v>555</v>
      </c>
      <c r="T155" s="46" t="s">
        <v>555</v>
      </c>
      <c r="U155" s="46" t="s">
        <v>555</v>
      </c>
      <c r="V155" s="46" t="s">
        <v>555</v>
      </c>
      <c r="W155" s="46" t="s">
        <v>555</v>
      </c>
      <c r="X155" s="46" t="s">
        <v>555</v>
      </c>
      <c r="Y155" s="46" t="s">
        <v>555</v>
      </c>
      <c r="Z155" s="46" t="s">
        <v>555</v>
      </c>
    </row>
    <row r="156" spans="1:26">
      <c r="A156" s="41">
        <f>preset_Names!A156</f>
        <v>152</v>
      </c>
      <c r="B156" t="str">
        <f t="shared" si="7"/>
        <v xml:space="preserve">strcpy(AMP1_A,("Not Used")); strcpy(AMP1_B,("Not Used")); strcpy(AMP1_C,("Not Used")); strcpy(AMP1_D,("Not Used")); </v>
      </c>
      <c r="C156" t="str">
        <f t="shared" si="8"/>
        <v xml:space="preserve">strcpy(AMP2_A,("Not Used")); strcpy(AMP2_B,("Not Used")); strcpy(AMP2_C,("Not Used")); strcpy(AMP2_D,("Not Used")); </v>
      </c>
      <c r="D156" s="31" t="s">
        <v>893</v>
      </c>
      <c r="E156" s="42" t="str">
        <f t="shared" si="6"/>
        <v>case 152: strcpy(AMP1_A,("Not Used")); strcpy(AMP1_B,("Not Used")); strcpy(AMP1_C,("Not Used")); strcpy(AMP1_D,("Not Used")); strcpy(AMP2_A,("Not Used")); strcpy(AMP2_B,("Not Used")); strcpy(AMP2_C,("Not Used")); strcpy(AMP2_D,("Not Used"));  break;</v>
      </c>
      <c r="F156" t="s">
        <v>893</v>
      </c>
      <c r="I156" t="s">
        <v>893</v>
      </c>
      <c r="J156" s="45" t="str">
        <f>VLOOKUP(S156,'AMP models AxeFxIII'!$D$2:$H$299,2,FALSE)</f>
        <v>Not Used</v>
      </c>
      <c r="K156" s="45" t="str">
        <f>VLOOKUP(T156,'AMP models AxeFxIII'!$D$2:$H$299,2,FALSE)</f>
        <v>Not Used</v>
      </c>
      <c r="L156" s="45" t="str">
        <f>VLOOKUP(U156,'AMP models AxeFxIII'!$D$2:$H$299,2,FALSE)</f>
        <v>Not Used</v>
      </c>
      <c r="M156" s="45" t="str">
        <f>VLOOKUP(V156,'AMP models AxeFxIII'!$D$2:$H$299,2,FALSE)</f>
        <v>Not Used</v>
      </c>
      <c r="N156" s="45" t="str">
        <f>VLOOKUP(W156,'AMP models AxeFxIII'!$D$2:$H$299,2,FALSE)</f>
        <v>Not Used</v>
      </c>
      <c r="O156" s="45" t="str">
        <f>VLOOKUP(X156,'AMP models AxeFxIII'!$D$2:$H$299,2,FALSE)</f>
        <v>Not Used</v>
      </c>
      <c r="P156" s="45" t="str">
        <f>VLOOKUP(Y156,'AMP models AxeFxIII'!$D$2:$H$299,2,FALSE)</f>
        <v>Not Used</v>
      </c>
      <c r="Q156" s="45" t="str">
        <f>VLOOKUP(Z156,'AMP models AxeFxIII'!$D$2:$H$299,2,FALSE)</f>
        <v>Not Used</v>
      </c>
      <c r="R156" s="4">
        <v>152</v>
      </c>
      <c r="S156" s="46" t="s">
        <v>555</v>
      </c>
      <c r="T156" s="46" t="s">
        <v>555</v>
      </c>
      <c r="U156" s="46" t="s">
        <v>555</v>
      </c>
      <c r="V156" s="46" t="s">
        <v>555</v>
      </c>
      <c r="W156" s="46" t="s">
        <v>555</v>
      </c>
      <c r="X156" s="46" t="s">
        <v>555</v>
      </c>
      <c r="Y156" s="46" t="s">
        <v>555</v>
      </c>
      <c r="Z156" s="46" t="s">
        <v>555</v>
      </c>
    </row>
    <row r="157" spans="1:26">
      <c r="A157" s="41">
        <f>preset_Names!A157</f>
        <v>153</v>
      </c>
      <c r="B157" t="str">
        <f t="shared" si="7"/>
        <v xml:space="preserve">strcpy(AMP1_A,("Not Used")); strcpy(AMP1_B,("Not Used")); strcpy(AMP1_C,("Not Used")); strcpy(AMP1_D,("Not Used")); </v>
      </c>
      <c r="C157" t="str">
        <f t="shared" si="8"/>
        <v xml:space="preserve">strcpy(AMP2_A,("Not Used")); strcpy(AMP2_B,("Not Used")); strcpy(AMP2_C,("Not Used")); strcpy(AMP2_D,("Not Used")); </v>
      </c>
      <c r="D157" s="31" t="s">
        <v>893</v>
      </c>
      <c r="E157" s="42" t="str">
        <f t="shared" si="6"/>
        <v>case 153: strcpy(AMP1_A,("Not Used")); strcpy(AMP1_B,("Not Used")); strcpy(AMP1_C,("Not Used")); strcpy(AMP1_D,("Not Used")); strcpy(AMP2_A,("Not Used")); strcpy(AMP2_B,("Not Used")); strcpy(AMP2_C,("Not Used")); strcpy(AMP2_D,("Not Used"));  break;</v>
      </c>
      <c r="F157" t="s">
        <v>893</v>
      </c>
      <c r="I157" t="s">
        <v>893</v>
      </c>
      <c r="J157" s="45" t="str">
        <f>VLOOKUP(S157,'AMP models AxeFxIII'!$D$2:$H$299,2,FALSE)</f>
        <v>Not Used</v>
      </c>
      <c r="K157" s="45" t="str">
        <f>VLOOKUP(T157,'AMP models AxeFxIII'!$D$2:$H$299,2,FALSE)</f>
        <v>Not Used</v>
      </c>
      <c r="L157" s="45" t="str">
        <f>VLOOKUP(U157,'AMP models AxeFxIII'!$D$2:$H$299,2,FALSE)</f>
        <v>Not Used</v>
      </c>
      <c r="M157" s="45" t="str">
        <f>VLOOKUP(V157,'AMP models AxeFxIII'!$D$2:$H$299,2,FALSE)</f>
        <v>Not Used</v>
      </c>
      <c r="N157" s="45" t="str">
        <f>VLOOKUP(W157,'AMP models AxeFxIII'!$D$2:$H$299,2,FALSE)</f>
        <v>Not Used</v>
      </c>
      <c r="O157" s="45" t="str">
        <f>VLOOKUP(X157,'AMP models AxeFxIII'!$D$2:$H$299,2,FALSE)</f>
        <v>Not Used</v>
      </c>
      <c r="P157" s="45" t="str">
        <f>VLOOKUP(Y157,'AMP models AxeFxIII'!$D$2:$H$299,2,FALSE)</f>
        <v>Not Used</v>
      </c>
      <c r="Q157" s="45" t="str">
        <f>VLOOKUP(Z157,'AMP models AxeFxIII'!$D$2:$H$299,2,FALSE)</f>
        <v>Not Used</v>
      </c>
      <c r="R157" s="4">
        <v>153</v>
      </c>
      <c r="S157" s="46" t="s">
        <v>555</v>
      </c>
      <c r="T157" s="46" t="s">
        <v>555</v>
      </c>
      <c r="U157" s="46" t="s">
        <v>555</v>
      </c>
      <c r="V157" s="46" t="s">
        <v>555</v>
      </c>
      <c r="W157" s="46" t="s">
        <v>555</v>
      </c>
      <c r="X157" s="46" t="s">
        <v>555</v>
      </c>
      <c r="Y157" s="46" t="s">
        <v>555</v>
      </c>
      <c r="Z157" s="46" t="s">
        <v>555</v>
      </c>
    </row>
    <row r="158" spans="1:26">
      <c r="A158" s="41">
        <f>preset_Names!A158</f>
        <v>154</v>
      </c>
      <c r="B158" t="str">
        <f t="shared" si="7"/>
        <v xml:space="preserve">strcpy(AMP1_A,("Not Used")); strcpy(AMP1_B,("Not Used")); strcpy(AMP1_C,("Not Used")); strcpy(AMP1_D,("Not Used")); </v>
      </c>
      <c r="C158" t="str">
        <f t="shared" si="8"/>
        <v xml:space="preserve">strcpy(AMP2_A,("Not Used")); strcpy(AMP2_B,("Not Used")); strcpy(AMP2_C,("Not Used")); strcpy(AMP2_D,("Not Used")); </v>
      </c>
      <c r="D158" s="31" t="s">
        <v>893</v>
      </c>
      <c r="E158" s="42" t="str">
        <f t="shared" si="6"/>
        <v>case 154: strcpy(AMP1_A,("Not Used")); strcpy(AMP1_B,("Not Used")); strcpy(AMP1_C,("Not Used")); strcpy(AMP1_D,("Not Used")); strcpy(AMP2_A,("Not Used")); strcpy(AMP2_B,("Not Used")); strcpy(AMP2_C,("Not Used")); strcpy(AMP2_D,("Not Used"));  break;</v>
      </c>
      <c r="F158" t="s">
        <v>893</v>
      </c>
      <c r="I158" t="s">
        <v>893</v>
      </c>
      <c r="J158" s="45" t="str">
        <f>VLOOKUP(S158,'AMP models AxeFxIII'!$D$2:$H$299,2,FALSE)</f>
        <v>Not Used</v>
      </c>
      <c r="K158" s="45" t="str">
        <f>VLOOKUP(T158,'AMP models AxeFxIII'!$D$2:$H$299,2,FALSE)</f>
        <v>Not Used</v>
      </c>
      <c r="L158" s="45" t="str">
        <f>VLOOKUP(U158,'AMP models AxeFxIII'!$D$2:$H$299,2,FALSE)</f>
        <v>Not Used</v>
      </c>
      <c r="M158" s="45" t="str">
        <f>VLOOKUP(V158,'AMP models AxeFxIII'!$D$2:$H$299,2,FALSE)</f>
        <v>Not Used</v>
      </c>
      <c r="N158" s="45" t="str">
        <f>VLOOKUP(W158,'AMP models AxeFxIII'!$D$2:$H$299,2,FALSE)</f>
        <v>Not Used</v>
      </c>
      <c r="O158" s="45" t="str">
        <f>VLOOKUP(X158,'AMP models AxeFxIII'!$D$2:$H$299,2,FALSE)</f>
        <v>Not Used</v>
      </c>
      <c r="P158" s="45" t="str">
        <f>VLOOKUP(Y158,'AMP models AxeFxIII'!$D$2:$H$299,2,FALSE)</f>
        <v>Not Used</v>
      </c>
      <c r="Q158" s="45" t="str">
        <f>VLOOKUP(Z158,'AMP models AxeFxIII'!$D$2:$H$299,2,FALSE)</f>
        <v>Not Used</v>
      </c>
      <c r="R158" s="4">
        <v>154</v>
      </c>
      <c r="S158" s="46" t="s">
        <v>555</v>
      </c>
      <c r="T158" s="46" t="s">
        <v>555</v>
      </c>
      <c r="U158" s="46" t="s">
        <v>555</v>
      </c>
      <c r="V158" s="46" t="s">
        <v>555</v>
      </c>
      <c r="W158" s="46" t="s">
        <v>555</v>
      </c>
      <c r="X158" s="46" t="s">
        <v>555</v>
      </c>
      <c r="Y158" s="46" t="s">
        <v>555</v>
      </c>
      <c r="Z158" s="46" t="s">
        <v>555</v>
      </c>
    </row>
    <row r="159" spans="1:26">
      <c r="A159" s="41">
        <f>preset_Names!A159</f>
        <v>155</v>
      </c>
      <c r="B159" t="str">
        <f t="shared" si="7"/>
        <v xml:space="preserve">strcpy(AMP1_A,("Not Used")); strcpy(AMP1_B,("Not Used")); strcpy(AMP1_C,("Not Used")); strcpy(AMP1_D,("Not Used")); </v>
      </c>
      <c r="C159" t="str">
        <f t="shared" si="8"/>
        <v xml:space="preserve">strcpy(AMP2_A,("Not Used")); strcpy(AMP2_B,("Not Used")); strcpy(AMP2_C,("Not Used")); strcpy(AMP2_D,("Not Used")); </v>
      </c>
      <c r="D159" s="31" t="s">
        <v>893</v>
      </c>
      <c r="E159" s="42" t="str">
        <f t="shared" si="6"/>
        <v>case 155: strcpy(AMP1_A,("Not Used")); strcpy(AMP1_B,("Not Used")); strcpy(AMP1_C,("Not Used")); strcpy(AMP1_D,("Not Used")); strcpy(AMP2_A,("Not Used")); strcpy(AMP2_B,("Not Used")); strcpy(AMP2_C,("Not Used")); strcpy(AMP2_D,("Not Used"));  break;</v>
      </c>
      <c r="F159" t="s">
        <v>893</v>
      </c>
      <c r="I159" t="s">
        <v>893</v>
      </c>
      <c r="J159" s="45" t="str">
        <f>VLOOKUP(S159,'AMP models AxeFxIII'!$D$2:$H$299,2,FALSE)</f>
        <v>Not Used</v>
      </c>
      <c r="K159" s="45" t="str">
        <f>VLOOKUP(T159,'AMP models AxeFxIII'!$D$2:$H$299,2,FALSE)</f>
        <v>Not Used</v>
      </c>
      <c r="L159" s="45" t="str">
        <f>VLOOKUP(U159,'AMP models AxeFxIII'!$D$2:$H$299,2,FALSE)</f>
        <v>Not Used</v>
      </c>
      <c r="M159" s="45" t="str">
        <f>VLOOKUP(V159,'AMP models AxeFxIII'!$D$2:$H$299,2,FALSE)</f>
        <v>Not Used</v>
      </c>
      <c r="N159" s="45" t="str">
        <f>VLOOKUP(W159,'AMP models AxeFxIII'!$D$2:$H$299,2,FALSE)</f>
        <v>Not Used</v>
      </c>
      <c r="O159" s="45" t="str">
        <f>VLOOKUP(X159,'AMP models AxeFxIII'!$D$2:$H$299,2,FALSE)</f>
        <v>Not Used</v>
      </c>
      <c r="P159" s="45" t="str">
        <f>VLOOKUP(Y159,'AMP models AxeFxIII'!$D$2:$H$299,2,FALSE)</f>
        <v>Not Used</v>
      </c>
      <c r="Q159" s="45" t="str">
        <f>VLOOKUP(Z159,'AMP models AxeFxIII'!$D$2:$H$299,2,FALSE)</f>
        <v>Not Used</v>
      </c>
      <c r="R159" s="4">
        <v>155</v>
      </c>
      <c r="S159" s="46" t="s">
        <v>555</v>
      </c>
      <c r="T159" s="46" t="s">
        <v>555</v>
      </c>
      <c r="U159" s="46" t="s">
        <v>555</v>
      </c>
      <c r="V159" s="46" t="s">
        <v>555</v>
      </c>
      <c r="W159" s="46" t="s">
        <v>555</v>
      </c>
      <c r="X159" s="46" t="s">
        <v>555</v>
      </c>
      <c r="Y159" s="46" t="s">
        <v>555</v>
      </c>
      <c r="Z159" s="46" t="s">
        <v>555</v>
      </c>
    </row>
    <row r="160" spans="1:26">
      <c r="A160" s="41">
        <f>preset_Names!A160</f>
        <v>156</v>
      </c>
      <c r="B160" t="str">
        <f t="shared" si="7"/>
        <v xml:space="preserve">strcpy(AMP1_A,("Not Used")); strcpy(AMP1_B,("Not Used")); strcpy(AMP1_C,("Not Used")); strcpy(AMP1_D,("Not Used")); </v>
      </c>
      <c r="C160" t="str">
        <f t="shared" si="8"/>
        <v xml:space="preserve">strcpy(AMP2_A,("Not Used")); strcpy(AMP2_B,("Not Used")); strcpy(AMP2_C,("Not Used")); strcpy(AMP2_D,("Not Used")); </v>
      </c>
      <c r="D160" s="31" t="s">
        <v>893</v>
      </c>
      <c r="E160" s="42" t="str">
        <f t="shared" si="6"/>
        <v>case 156: strcpy(AMP1_A,("Not Used")); strcpy(AMP1_B,("Not Used")); strcpy(AMP1_C,("Not Used")); strcpy(AMP1_D,("Not Used")); strcpy(AMP2_A,("Not Used")); strcpy(AMP2_B,("Not Used")); strcpy(AMP2_C,("Not Used")); strcpy(AMP2_D,("Not Used"));  break;</v>
      </c>
      <c r="F160" t="s">
        <v>893</v>
      </c>
      <c r="I160" t="s">
        <v>893</v>
      </c>
      <c r="J160" s="45" t="str">
        <f>VLOOKUP(S160,'AMP models AxeFxIII'!$D$2:$H$299,2,FALSE)</f>
        <v>Not Used</v>
      </c>
      <c r="K160" s="45" t="str">
        <f>VLOOKUP(T160,'AMP models AxeFxIII'!$D$2:$H$299,2,FALSE)</f>
        <v>Not Used</v>
      </c>
      <c r="L160" s="45" t="str">
        <f>VLOOKUP(U160,'AMP models AxeFxIII'!$D$2:$H$299,2,FALSE)</f>
        <v>Not Used</v>
      </c>
      <c r="M160" s="45" t="str">
        <f>VLOOKUP(V160,'AMP models AxeFxIII'!$D$2:$H$299,2,FALSE)</f>
        <v>Not Used</v>
      </c>
      <c r="N160" s="45" t="str">
        <f>VLOOKUP(W160,'AMP models AxeFxIII'!$D$2:$H$299,2,FALSE)</f>
        <v>Not Used</v>
      </c>
      <c r="O160" s="45" t="str">
        <f>VLOOKUP(X160,'AMP models AxeFxIII'!$D$2:$H$299,2,FALSE)</f>
        <v>Not Used</v>
      </c>
      <c r="P160" s="45" t="str">
        <f>VLOOKUP(Y160,'AMP models AxeFxIII'!$D$2:$H$299,2,FALSE)</f>
        <v>Not Used</v>
      </c>
      <c r="Q160" s="45" t="str">
        <f>VLOOKUP(Z160,'AMP models AxeFxIII'!$D$2:$H$299,2,FALSE)</f>
        <v>Not Used</v>
      </c>
      <c r="R160" s="4">
        <v>156</v>
      </c>
      <c r="S160" s="46" t="s">
        <v>555</v>
      </c>
      <c r="T160" s="46" t="s">
        <v>555</v>
      </c>
      <c r="U160" s="46" t="s">
        <v>555</v>
      </c>
      <c r="V160" s="46" t="s">
        <v>555</v>
      </c>
      <c r="W160" s="46" t="s">
        <v>555</v>
      </c>
      <c r="X160" s="46" t="s">
        <v>555</v>
      </c>
      <c r="Y160" s="46" t="s">
        <v>555</v>
      </c>
      <c r="Z160" s="46" t="s">
        <v>555</v>
      </c>
    </row>
    <row r="161" spans="1:26">
      <c r="A161" s="41">
        <f>preset_Names!A161</f>
        <v>157</v>
      </c>
      <c r="B161" t="str">
        <f t="shared" si="7"/>
        <v xml:space="preserve">strcpy(AMP1_A,("Not Used")); strcpy(AMP1_B,("Not Used")); strcpy(AMP1_C,("Not Used")); strcpy(AMP1_D,("Not Used")); </v>
      </c>
      <c r="C161" t="str">
        <f t="shared" si="8"/>
        <v xml:space="preserve">strcpy(AMP2_A,("Not Used")); strcpy(AMP2_B,("Not Used")); strcpy(AMP2_C,("Not Used")); strcpy(AMP2_D,("Not Used")); </v>
      </c>
      <c r="D161" s="31" t="s">
        <v>893</v>
      </c>
      <c r="E161" s="42" t="str">
        <f t="shared" si="6"/>
        <v>case 157: strcpy(AMP1_A,("Not Used")); strcpy(AMP1_B,("Not Used")); strcpy(AMP1_C,("Not Used")); strcpy(AMP1_D,("Not Used")); strcpy(AMP2_A,("Not Used")); strcpy(AMP2_B,("Not Used")); strcpy(AMP2_C,("Not Used")); strcpy(AMP2_D,("Not Used"));  break;</v>
      </c>
      <c r="F161" t="s">
        <v>893</v>
      </c>
      <c r="I161" t="s">
        <v>893</v>
      </c>
      <c r="J161" s="45" t="str">
        <f>VLOOKUP(S161,'AMP models AxeFxIII'!$D$2:$H$299,2,FALSE)</f>
        <v>Not Used</v>
      </c>
      <c r="K161" s="45" t="str">
        <f>VLOOKUP(T161,'AMP models AxeFxIII'!$D$2:$H$299,2,FALSE)</f>
        <v>Not Used</v>
      </c>
      <c r="L161" s="45" t="str">
        <f>VLOOKUP(U161,'AMP models AxeFxIII'!$D$2:$H$299,2,FALSE)</f>
        <v>Not Used</v>
      </c>
      <c r="M161" s="45" t="str">
        <f>VLOOKUP(V161,'AMP models AxeFxIII'!$D$2:$H$299,2,FALSE)</f>
        <v>Not Used</v>
      </c>
      <c r="N161" s="45" t="str">
        <f>VLOOKUP(W161,'AMP models AxeFxIII'!$D$2:$H$299,2,FALSE)</f>
        <v>Not Used</v>
      </c>
      <c r="O161" s="45" t="str">
        <f>VLOOKUP(X161,'AMP models AxeFxIII'!$D$2:$H$299,2,FALSE)</f>
        <v>Not Used</v>
      </c>
      <c r="P161" s="45" t="str">
        <f>VLOOKUP(Y161,'AMP models AxeFxIII'!$D$2:$H$299,2,FALSE)</f>
        <v>Not Used</v>
      </c>
      <c r="Q161" s="45" t="str">
        <f>VLOOKUP(Z161,'AMP models AxeFxIII'!$D$2:$H$299,2,FALSE)</f>
        <v>Not Used</v>
      </c>
      <c r="R161" s="4">
        <v>157</v>
      </c>
      <c r="S161" s="46" t="s">
        <v>555</v>
      </c>
      <c r="T161" s="46" t="s">
        <v>555</v>
      </c>
      <c r="U161" s="46" t="s">
        <v>555</v>
      </c>
      <c r="V161" s="46" t="s">
        <v>555</v>
      </c>
      <c r="W161" s="46" t="s">
        <v>555</v>
      </c>
      <c r="X161" s="46" t="s">
        <v>555</v>
      </c>
      <c r="Y161" s="46" t="s">
        <v>555</v>
      </c>
      <c r="Z161" s="46" t="s">
        <v>555</v>
      </c>
    </row>
    <row r="162" spans="1:26">
      <c r="A162" s="41">
        <f>preset_Names!A162</f>
        <v>158</v>
      </c>
      <c r="B162" t="str">
        <f t="shared" si="7"/>
        <v xml:space="preserve">strcpy(AMP1_A,("Not Used")); strcpy(AMP1_B,("Not Used")); strcpy(AMP1_C,("Not Used")); strcpy(AMP1_D,("Not Used")); </v>
      </c>
      <c r="C162" t="str">
        <f t="shared" si="8"/>
        <v xml:space="preserve">strcpy(AMP2_A,("Not Used")); strcpy(AMP2_B,("Not Used")); strcpy(AMP2_C,("Not Used")); strcpy(AMP2_D,("Not Used")); </v>
      </c>
      <c r="D162" s="31" t="s">
        <v>893</v>
      </c>
      <c r="E162" s="42" t="str">
        <f t="shared" si="6"/>
        <v>case 158: strcpy(AMP1_A,("Not Used")); strcpy(AMP1_B,("Not Used")); strcpy(AMP1_C,("Not Used")); strcpy(AMP1_D,("Not Used")); strcpy(AMP2_A,("Not Used")); strcpy(AMP2_B,("Not Used")); strcpy(AMP2_C,("Not Used")); strcpy(AMP2_D,("Not Used"));  break;</v>
      </c>
      <c r="F162" t="s">
        <v>893</v>
      </c>
      <c r="I162" t="s">
        <v>893</v>
      </c>
      <c r="J162" s="45" t="str">
        <f>VLOOKUP(S162,'AMP models AxeFxIII'!$D$2:$H$299,2,FALSE)</f>
        <v>Not Used</v>
      </c>
      <c r="K162" s="45" t="str">
        <f>VLOOKUP(T162,'AMP models AxeFxIII'!$D$2:$H$299,2,FALSE)</f>
        <v>Not Used</v>
      </c>
      <c r="L162" s="45" t="str">
        <f>VLOOKUP(U162,'AMP models AxeFxIII'!$D$2:$H$299,2,FALSE)</f>
        <v>Not Used</v>
      </c>
      <c r="M162" s="45" t="str">
        <f>VLOOKUP(V162,'AMP models AxeFxIII'!$D$2:$H$299,2,FALSE)</f>
        <v>Not Used</v>
      </c>
      <c r="N162" s="45" t="str">
        <f>VLOOKUP(W162,'AMP models AxeFxIII'!$D$2:$H$299,2,FALSE)</f>
        <v>Not Used</v>
      </c>
      <c r="O162" s="45" t="str">
        <f>VLOOKUP(X162,'AMP models AxeFxIII'!$D$2:$H$299,2,FALSE)</f>
        <v>Not Used</v>
      </c>
      <c r="P162" s="45" t="str">
        <f>VLOOKUP(Y162,'AMP models AxeFxIII'!$D$2:$H$299,2,FALSE)</f>
        <v>Not Used</v>
      </c>
      <c r="Q162" s="45" t="str">
        <f>VLOOKUP(Z162,'AMP models AxeFxIII'!$D$2:$H$299,2,FALSE)</f>
        <v>Not Used</v>
      </c>
      <c r="R162" s="4">
        <v>158</v>
      </c>
      <c r="S162" s="46" t="s">
        <v>555</v>
      </c>
      <c r="T162" s="46" t="s">
        <v>555</v>
      </c>
      <c r="U162" s="46" t="s">
        <v>555</v>
      </c>
      <c r="V162" s="46" t="s">
        <v>555</v>
      </c>
      <c r="W162" s="46" t="s">
        <v>555</v>
      </c>
      <c r="X162" s="46" t="s">
        <v>555</v>
      </c>
      <c r="Y162" s="46" t="s">
        <v>555</v>
      </c>
      <c r="Z162" s="46" t="s">
        <v>555</v>
      </c>
    </row>
    <row r="163" spans="1:26">
      <c r="A163" s="41">
        <f>preset_Names!A163</f>
        <v>159</v>
      </c>
      <c r="B163" t="str">
        <f t="shared" si="7"/>
        <v xml:space="preserve">strcpy(AMP1_A,("Not Used")); strcpy(AMP1_B,("Not Used")); strcpy(AMP1_C,("Not Used")); strcpy(AMP1_D,("Not Used")); </v>
      </c>
      <c r="C163" t="str">
        <f t="shared" si="8"/>
        <v xml:space="preserve">strcpy(AMP2_A,("Not Used")); strcpy(AMP2_B,("Not Used")); strcpy(AMP2_C,("Not Used")); strcpy(AMP2_D,("Not Used")); </v>
      </c>
      <c r="D163" s="31" t="s">
        <v>893</v>
      </c>
      <c r="E163" s="42" t="str">
        <f t="shared" si="6"/>
        <v>case 159: strcpy(AMP1_A,("Not Used")); strcpy(AMP1_B,("Not Used")); strcpy(AMP1_C,("Not Used")); strcpy(AMP1_D,("Not Used")); strcpy(AMP2_A,("Not Used")); strcpy(AMP2_B,("Not Used")); strcpy(AMP2_C,("Not Used")); strcpy(AMP2_D,("Not Used"));  break;</v>
      </c>
      <c r="F163" t="s">
        <v>893</v>
      </c>
      <c r="I163" t="s">
        <v>893</v>
      </c>
      <c r="J163" s="45" t="str">
        <f>VLOOKUP(S163,'AMP models AxeFxIII'!$D$2:$H$299,2,FALSE)</f>
        <v>Not Used</v>
      </c>
      <c r="K163" s="45" t="str">
        <f>VLOOKUP(T163,'AMP models AxeFxIII'!$D$2:$H$299,2,FALSE)</f>
        <v>Not Used</v>
      </c>
      <c r="L163" s="45" t="str">
        <f>VLOOKUP(U163,'AMP models AxeFxIII'!$D$2:$H$299,2,FALSE)</f>
        <v>Not Used</v>
      </c>
      <c r="M163" s="45" t="str">
        <f>VLOOKUP(V163,'AMP models AxeFxIII'!$D$2:$H$299,2,FALSE)</f>
        <v>Not Used</v>
      </c>
      <c r="N163" s="45" t="str">
        <f>VLOOKUP(W163,'AMP models AxeFxIII'!$D$2:$H$299,2,FALSE)</f>
        <v>Not Used</v>
      </c>
      <c r="O163" s="45" t="str">
        <f>VLOOKUP(X163,'AMP models AxeFxIII'!$D$2:$H$299,2,FALSE)</f>
        <v>Not Used</v>
      </c>
      <c r="P163" s="45" t="str">
        <f>VLOOKUP(Y163,'AMP models AxeFxIII'!$D$2:$H$299,2,FALSE)</f>
        <v>Not Used</v>
      </c>
      <c r="Q163" s="45" t="str">
        <f>VLOOKUP(Z163,'AMP models AxeFxIII'!$D$2:$H$299,2,FALSE)</f>
        <v>Not Used</v>
      </c>
      <c r="R163" s="4">
        <v>159</v>
      </c>
      <c r="S163" s="46" t="s">
        <v>555</v>
      </c>
      <c r="T163" s="46" t="s">
        <v>555</v>
      </c>
      <c r="U163" s="46" t="s">
        <v>555</v>
      </c>
      <c r="V163" s="46" t="s">
        <v>555</v>
      </c>
      <c r="W163" s="46" t="s">
        <v>555</v>
      </c>
      <c r="X163" s="46" t="s">
        <v>555</v>
      </c>
      <c r="Y163" s="46" t="s">
        <v>555</v>
      </c>
      <c r="Z163" s="46" t="s">
        <v>555</v>
      </c>
    </row>
    <row r="164" spans="1:26">
      <c r="A164" s="41">
        <f>preset_Names!A164</f>
        <v>160</v>
      </c>
      <c r="B164" t="str">
        <f t="shared" si="7"/>
        <v xml:space="preserve">strcpy(AMP1_A,("Not Used")); strcpy(AMP1_B,("Not Used")); strcpy(AMP1_C,("Not Used")); strcpy(AMP1_D,("Not Used")); </v>
      </c>
      <c r="C164" t="str">
        <f t="shared" si="8"/>
        <v xml:space="preserve">strcpy(AMP2_A,("Not Used")); strcpy(AMP2_B,("Not Used")); strcpy(AMP2_C,("Not Used")); strcpy(AMP2_D,("Not Used")); </v>
      </c>
      <c r="D164" s="31" t="s">
        <v>893</v>
      </c>
      <c r="E164" s="42" t="str">
        <f t="shared" si="6"/>
        <v>case 160: strcpy(AMP1_A,("Not Used")); strcpy(AMP1_B,("Not Used")); strcpy(AMP1_C,("Not Used")); strcpy(AMP1_D,("Not Used")); strcpy(AMP2_A,("Not Used")); strcpy(AMP2_B,("Not Used")); strcpy(AMP2_C,("Not Used")); strcpy(AMP2_D,("Not Used"));  break;</v>
      </c>
      <c r="F164" t="s">
        <v>893</v>
      </c>
      <c r="I164" t="s">
        <v>893</v>
      </c>
      <c r="J164" s="45" t="str">
        <f>VLOOKUP(S164,'AMP models AxeFxIII'!$D$2:$H$299,2,FALSE)</f>
        <v>Not Used</v>
      </c>
      <c r="K164" s="45" t="str">
        <f>VLOOKUP(T164,'AMP models AxeFxIII'!$D$2:$H$299,2,FALSE)</f>
        <v>Not Used</v>
      </c>
      <c r="L164" s="45" t="str">
        <f>VLOOKUP(U164,'AMP models AxeFxIII'!$D$2:$H$299,2,FALSE)</f>
        <v>Not Used</v>
      </c>
      <c r="M164" s="45" t="str">
        <f>VLOOKUP(V164,'AMP models AxeFxIII'!$D$2:$H$299,2,FALSE)</f>
        <v>Not Used</v>
      </c>
      <c r="N164" s="45" t="str">
        <f>VLOOKUP(W164,'AMP models AxeFxIII'!$D$2:$H$299,2,FALSE)</f>
        <v>Not Used</v>
      </c>
      <c r="O164" s="45" t="str">
        <f>VLOOKUP(X164,'AMP models AxeFxIII'!$D$2:$H$299,2,FALSE)</f>
        <v>Not Used</v>
      </c>
      <c r="P164" s="45" t="str">
        <f>VLOOKUP(Y164,'AMP models AxeFxIII'!$D$2:$H$299,2,FALSE)</f>
        <v>Not Used</v>
      </c>
      <c r="Q164" s="45" t="str">
        <f>VLOOKUP(Z164,'AMP models AxeFxIII'!$D$2:$H$299,2,FALSE)</f>
        <v>Not Used</v>
      </c>
      <c r="R164" s="4">
        <v>160</v>
      </c>
      <c r="S164" s="46" t="s">
        <v>555</v>
      </c>
      <c r="T164" s="46" t="s">
        <v>555</v>
      </c>
      <c r="U164" s="46" t="s">
        <v>555</v>
      </c>
      <c r="V164" s="46" t="s">
        <v>555</v>
      </c>
      <c r="W164" s="46" t="s">
        <v>555</v>
      </c>
      <c r="X164" s="46" t="s">
        <v>555</v>
      </c>
      <c r="Y164" s="46" t="s">
        <v>555</v>
      </c>
      <c r="Z164" s="46" t="s">
        <v>555</v>
      </c>
    </row>
    <row r="165" spans="1:26">
      <c r="A165" s="41">
        <f>preset_Names!A165</f>
        <v>161</v>
      </c>
      <c r="B165" t="str">
        <f t="shared" si="7"/>
        <v xml:space="preserve">strcpy(AMP1_A,("Not Used")); strcpy(AMP1_B,("Not Used")); strcpy(AMP1_C,("Not Used")); strcpy(AMP1_D,("Not Used")); </v>
      </c>
      <c r="C165" t="str">
        <f t="shared" si="8"/>
        <v xml:space="preserve">strcpy(AMP2_A,("Not Used")); strcpy(AMP2_B,("Not Used")); strcpy(AMP2_C,("Not Used")); strcpy(AMP2_D,("Not Used")); </v>
      </c>
      <c r="D165" s="31" t="s">
        <v>893</v>
      </c>
      <c r="E165" s="42" t="str">
        <f t="shared" si="6"/>
        <v>case 161: strcpy(AMP1_A,("Not Used")); strcpy(AMP1_B,("Not Used")); strcpy(AMP1_C,("Not Used")); strcpy(AMP1_D,("Not Used")); strcpy(AMP2_A,("Not Used")); strcpy(AMP2_B,("Not Used")); strcpy(AMP2_C,("Not Used")); strcpy(AMP2_D,("Not Used"));  break;</v>
      </c>
      <c r="F165" t="s">
        <v>893</v>
      </c>
      <c r="I165" t="s">
        <v>893</v>
      </c>
      <c r="J165" s="45" t="str">
        <f>VLOOKUP(S165,'AMP models AxeFxIII'!$D$2:$H$299,2,FALSE)</f>
        <v>Not Used</v>
      </c>
      <c r="K165" s="45" t="str">
        <f>VLOOKUP(T165,'AMP models AxeFxIII'!$D$2:$H$299,2,FALSE)</f>
        <v>Not Used</v>
      </c>
      <c r="L165" s="45" t="str">
        <f>VLOOKUP(U165,'AMP models AxeFxIII'!$D$2:$H$299,2,FALSE)</f>
        <v>Not Used</v>
      </c>
      <c r="M165" s="45" t="str">
        <f>VLOOKUP(V165,'AMP models AxeFxIII'!$D$2:$H$299,2,FALSE)</f>
        <v>Not Used</v>
      </c>
      <c r="N165" s="45" t="str">
        <f>VLOOKUP(W165,'AMP models AxeFxIII'!$D$2:$H$299,2,FALSE)</f>
        <v>Not Used</v>
      </c>
      <c r="O165" s="45" t="str">
        <f>VLOOKUP(X165,'AMP models AxeFxIII'!$D$2:$H$299,2,FALSE)</f>
        <v>Not Used</v>
      </c>
      <c r="P165" s="45" t="str">
        <f>VLOOKUP(Y165,'AMP models AxeFxIII'!$D$2:$H$299,2,FALSE)</f>
        <v>Not Used</v>
      </c>
      <c r="Q165" s="45" t="str">
        <f>VLOOKUP(Z165,'AMP models AxeFxIII'!$D$2:$H$299,2,FALSE)</f>
        <v>Not Used</v>
      </c>
      <c r="R165" s="4">
        <v>161</v>
      </c>
      <c r="S165" s="46" t="s">
        <v>555</v>
      </c>
      <c r="T165" s="46" t="s">
        <v>555</v>
      </c>
      <c r="U165" s="46" t="s">
        <v>555</v>
      </c>
      <c r="V165" s="46" t="s">
        <v>555</v>
      </c>
      <c r="W165" s="46" t="s">
        <v>555</v>
      </c>
      <c r="X165" s="46" t="s">
        <v>555</v>
      </c>
      <c r="Y165" s="46" t="s">
        <v>555</v>
      </c>
      <c r="Z165" s="46" t="s">
        <v>555</v>
      </c>
    </row>
    <row r="166" spans="1:26">
      <c r="A166" s="41">
        <f>preset_Names!A166</f>
        <v>162</v>
      </c>
      <c r="B166" t="str">
        <f t="shared" si="7"/>
        <v xml:space="preserve">strcpy(AMP1_A,("Not Used")); strcpy(AMP1_B,("Not Used")); strcpy(AMP1_C,("Not Used")); strcpy(AMP1_D,("Not Used")); </v>
      </c>
      <c r="C166" t="str">
        <f t="shared" si="8"/>
        <v xml:space="preserve">strcpy(AMP2_A,("Not Used")); strcpy(AMP2_B,("Not Used")); strcpy(AMP2_C,("Not Used")); strcpy(AMP2_D,("Not Used")); </v>
      </c>
      <c r="D166" s="31" t="s">
        <v>893</v>
      </c>
      <c r="E166" s="42" t="str">
        <f t="shared" si="6"/>
        <v>case 162: strcpy(AMP1_A,("Not Used")); strcpy(AMP1_B,("Not Used")); strcpy(AMP1_C,("Not Used")); strcpy(AMP1_D,("Not Used")); strcpy(AMP2_A,("Not Used")); strcpy(AMP2_B,("Not Used")); strcpy(AMP2_C,("Not Used")); strcpy(AMP2_D,("Not Used"));  break;</v>
      </c>
      <c r="F166" t="s">
        <v>893</v>
      </c>
      <c r="I166" t="s">
        <v>893</v>
      </c>
      <c r="J166" s="45" t="str">
        <f>VLOOKUP(S166,'AMP models AxeFxIII'!$D$2:$H$299,2,FALSE)</f>
        <v>Not Used</v>
      </c>
      <c r="K166" s="45" t="str">
        <f>VLOOKUP(T166,'AMP models AxeFxIII'!$D$2:$H$299,2,FALSE)</f>
        <v>Not Used</v>
      </c>
      <c r="L166" s="45" t="str">
        <f>VLOOKUP(U166,'AMP models AxeFxIII'!$D$2:$H$299,2,FALSE)</f>
        <v>Not Used</v>
      </c>
      <c r="M166" s="45" t="str">
        <f>VLOOKUP(V166,'AMP models AxeFxIII'!$D$2:$H$299,2,FALSE)</f>
        <v>Not Used</v>
      </c>
      <c r="N166" s="45" t="str">
        <f>VLOOKUP(W166,'AMP models AxeFxIII'!$D$2:$H$299,2,FALSE)</f>
        <v>Not Used</v>
      </c>
      <c r="O166" s="45" t="str">
        <f>VLOOKUP(X166,'AMP models AxeFxIII'!$D$2:$H$299,2,FALSE)</f>
        <v>Not Used</v>
      </c>
      <c r="P166" s="45" t="str">
        <f>VLOOKUP(Y166,'AMP models AxeFxIII'!$D$2:$H$299,2,FALSE)</f>
        <v>Not Used</v>
      </c>
      <c r="Q166" s="45" t="str">
        <f>VLOOKUP(Z166,'AMP models AxeFxIII'!$D$2:$H$299,2,FALSE)</f>
        <v>Not Used</v>
      </c>
      <c r="R166" s="4">
        <v>162</v>
      </c>
      <c r="S166" s="46" t="s">
        <v>555</v>
      </c>
      <c r="T166" s="46" t="s">
        <v>555</v>
      </c>
      <c r="U166" s="46" t="s">
        <v>555</v>
      </c>
      <c r="V166" s="46" t="s">
        <v>555</v>
      </c>
      <c r="W166" s="46" t="s">
        <v>555</v>
      </c>
      <c r="X166" s="46" t="s">
        <v>555</v>
      </c>
      <c r="Y166" s="46" t="s">
        <v>555</v>
      </c>
      <c r="Z166" s="46" t="s">
        <v>555</v>
      </c>
    </row>
    <row r="167" spans="1:26">
      <c r="A167" s="41">
        <f>preset_Names!A167</f>
        <v>163</v>
      </c>
      <c r="B167" t="str">
        <f t="shared" si="7"/>
        <v xml:space="preserve">strcpy(AMP1_A,("Not Used")); strcpy(AMP1_B,("Not Used")); strcpy(AMP1_C,("Not Used")); strcpy(AMP1_D,("Not Used")); </v>
      </c>
      <c r="C167" t="str">
        <f t="shared" si="8"/>
        <v xml:space="preserve">strcpy(AMP2_A,("Not Used")); strcpy(AMP2_B,("Not Used")); strcpy(AMP2_C,("Not Used")); strcpy(AMP2_D,("Not Used")); </v>
      </c>
      <c r="D167" s="31" t="s">
        <v>893</v>
      </c>
      <c r="E167" s="42" t="str">
        <f t="shared" si="6"/>
        <v>case 163: strcpy(AMP1_A,("Not Used")); strcpy(AMP1_B,("Not Used")); strcpy(AMP1_C,("Not Used")); strcpy(AMP1_D,("Not Used")); strcpy(AMP2_A,("Not Used")); strcpy(AMP2_B,("Not Used")); strcpy(AMP2_C,("Not Used")); strcpy(AMP2_D,("Not Used"));  break;</v>
      </c>
      <c r="F167" t="s">
        <v>893</v>
      </c>
      <c r="I167" t="s">
        <v>893</v>
      </c>
      <c r="J167" s="45" t="str">
        <f>VLOOKUP(S167,'AMP models AxeFxIII'!$D$2:$H$299,2,FALSE)</f>
        <v>Not Used</v>
      </c>
      <c r="K167" s="45" t="str">
        <f>VLOOKUP(T167,'AMP models AxeFxIII'!$D$2:$H$299,2,FALSE)</f>
        <v>Not Used</v>
      </c>
      <c r="L167" s="45" t="str">
        <f>VLOOKUP(U167,'AMP models AxeFxIII'!$D$2:$H$299,2,FALSE)</f>
        <v>Not Used</v>
      </c>
      <c r="M167" s="45" t="str">
        <f>VLOOKUP(V167,'AMP models AxeFxIII'!$D$2:$H$299,2,FALSE)</f>
        <v>Not Used</v>
      </c>
      <c r="N167" s="45" t="str">
        <f>VLOOKUP(W167,'AMP models AxeFxIII'!$D$2:$H$299,2,FALSE)</f>
        <v>Not Used</v>
      </c>
      <c r="O167" s="45" t="str">
        <f>VLOOKUP(X167,'AMP models AxeFxIII'!$D$2:$H$299,2,FALSE)</f>
        <v>Not Used</v>
      </c>
      <c r="P167" s="45" t="str">
        <f>VLOOKUP(Y167,'AMP models AxeFxIII'!$D$2:$H$299,2,FALSE)</f>
        <v>Not Used</v>
      </c>
      <c r="Q167" s="45" t="str">
        <f>VLOOKUP(Z167,'AMP models AxeFxIII'!$D$2:$H$299,2,FALSE)</f>
        <v>Not Used</v>
      </c>
      <c r="R167" s="4">
        <v>163</v>
      </c>
      <c r="S167" s="46" t="s">
        <v>555</v>
      </c>
      <c r="T167" s="46" t="s">
        <v>555</v>
      </c>
      <c r="U167" s="46" t="s">
        <v>555</v>
      </c>
      <c r="V167" s="46" t="s">
        <v>555</v>
      </c>
      <c r="W167" s="46" t="s">
        <v>555</v>
      </c>
      <c r="X167" s="46" t="s">
        <v>555</v>
      </c>
      <c r="Y167" s="46" t="s">
        <v>555</v>
      </c>
      <c r="Z167" s="46" t="s">
        <v>555</v>
      </c>
    </row>
    <row r="168" spans="1:26">
      <c r="A168" s="41">
        <f>preset_Names!A168</f>
        <v>164</v>
      </c>
      <c r="B168" t="str">
        <f t="shared" si="7"/>
        <v xml:space="preserve">strcpy(AMP1_A,("Not Used")); strcpy(AMP1_B,("Not Used")); strcpy(AMP1_C,("Not Used")); strcpy(AMP1_D,("Not Used")); </v>
      </c>
      <c r="C168" t="str">
        <f t="shared" si="8"/>
        <v xml:space="preserve">strcpy(AMP2_A,("Not Used")); strcpy(AMP2_B,("Not Used")); strcpy(AMP2_C,("Not Used")); strcpy(AMP2_D,("Not Used")); </v>
      </c>
      <c r="D168" s="31" t="s">
        <v>893</v>
      </c>
      <c r="E168" s="42" t="str">
        <f t="shared" si="6"/>
        <v>case 164: strcpy(AMP1_A,("Not Used")); strcpy(AMP1_B,("Not Used")); strcpy(AMP1_C,("Not Used")); strcpy(AMP1_D,("Not Used")); strcpy(AMP2_A,("Not Used")); strcpy(AMP2_B,("Not Used")); strcpy(AMP2_C,("Not Used")); strcpy(AMP2_D,("Not Used"));  break;</v>
      </c>
      <c r="F168" t="s">
        <v>893</v>
      </c>
      <c r="I168" t="s">
        <v>893</v>
      </c>
      <c r="J168" s="45" t="str">
        <f>VLOOKUP(S168,'AMP models AxeFxIII'!$D$2:$H$299,2,FALSE)</f>
        <v>Not Used</v>
      </c>
      <c r="K168" s="45" t="str">
        <f>VLOOKUP(T168,'AMP models AxeFxIII'!$D$2:$H$299,2,FALSE)</f>
        <v>Not Used</v>
      </c>
      <c r="L168" s="45" t="str">
        <f>VLOOKUP(U168,'AMP models AxeFxIII'!$D$2:$H$299,2,FALSE)</f>
        <v>Not Used</v>
      </c>
      <c r="M168" s="45" t="str">
        <f>VLOOKUP(V168,'AMP models AxeFxIII'!$D$2:$H$299,2,FALSE)</f>
        <v>Not Used</v>
      </c>
      <c r="N168" s="45" t="str">
        <f>VLOOKUP(W168,'AMP models AxeFxIII'!$D$2:$H$299,2,FALSE)</f>
        <v>Not Used</v>
      </c>
      <c r="O168" s="45" t="str">
        <f>VLOOKUP(X168,'AMP models AxeFxIII'!$D$2:$H$299,2,FALSE)</f>
        <v>Not Used</v>
      </c>
      <c r="P168" s="45" t="str">
        <f>VLOOKUP(Y168,'AMP models AxeFxIII'!$D$2:$H$299,2,FALSE)</f>
        <v>Not Used</v>
      </c>
      <c r="Q168" s="45" t="str">
        <f>VLOOKUP(Z168,'AMP models AxeFxIII'!$D$2:$H$299,2,FALSE)</f>
        <v>Not Used</v>
      </c>
      <c r="R168" s="4">
        <v>164</v>
      </c>
      <c r="S168" s="46" t="s">
        <v>555</v>
      </c>
      <c r="T168" s="46" t="s">
        <v>555</v>
      </c>
      <c r="U168" s="46" t="s">
        <v>555</v>
      </c>
      <c r="V168" s="46" t="s">
        <v>555</v>
      </c>
      <c r="W168" s="46" t="s">
        <v>555</v>
      </c>
      <c r="X168" s="46" t="s">
        <v>555</v>
      </c>
      <c r="Y168" s="46" t="s">
        <v>555</v>
      </c>
      <c r="Z168" s="46" t="s">
        <v>555</v>
      </c>
    </row>
    <row r="169" spans="1:26">
      <c r="A169" s="41">
        <f>preset_Names!A169</f>
        <v>165</v>
      </c>
      <c r="B169" t="str">
        <f t="shared" si="7"/>
        <v xml:space="preserve">strcpy(AMP1_A,("Not Used")); strcpy(AMP1_B,("Not Used")); strcpy(AMP1_C,("Not Used")); strcpy(AMP1_D,("Not Used")); </v>
      </c>
      <c r="C169" t="str">
        <f t="shared" si="8"/>
        <v xml:space="preserve">strcpy(AMP2_A,("Not Used")); strcpy(AMP2_B,("Not Used")); strcpy(AMP2_C,("Not Used")); strcpy(AMP2_D,("Not Used")); </v>
      </c>
      <c r="D169" s="31" t="s">
        <v>893</v>
      </c>
      <c r="E169" s="42" t="str">
        <f t="shared" si="6"/>
        <v>case 165: strcpy(AMP1_A,("Not Used")); strcpy(AMP1_B,("Not Used")); strcpy(AMP1_C,("Not Used")); strcpy(AMP1_D,("Not Used")); strcpy(AMP2_A,("Not Used")); strcpy(AMP2_B,("Not Used")); strcpy(AMP2_C,("Not Used")); strcpy(AMP2_D,("Not Used"));  break;</v>
      </c>
      <c r="F169" t="s">
        <v>893</v>
      </c>
      <c r="I169" t="s">
        <v>893</v>
      </c>
      <c r="J169" s="45" t="str">
        <f>VLOOKUP(S169,'AMP models AxeFxIII'!$D$2:$H$299,2,FALSE)</f>
        <v>Not Used</v>
      </c>
      <c r="K169" s="45" t="str">
        <f>VLOOKUP(T169,'AMP models AxeFxIII'!$D$2:$H$299,2,FALSE)</f>
        <v>Not Used</v>
      </c>
      <c r="L169" s="45" t="str">
        <f>VLOOKUP(U169,'AMP models AxeFxIII'!$D$2:$H$299,2,FALSE)</f>
        <v>Not Used</v>
      </c>
      <c r="M169" s="45" t="str">
        <f>VLOOKUP(V169,'AMP models AxeFxIII'!$D$2:$H$299,2,FALSE)</f>
        <v>Not Used</v>
      </c>
      <c r="N169" s="45" t="str">
        <f>VLOOKUP(W169,'AMP models AxeFxIII'!$D$2:$H$299,2,FALSE)</f>
        <v>Not Used</v>
      </c>
      <c r="O169" s="45" t="str">
        <f>VLOOKUP(X169,'AMP models AxeFxIII'!$D$2:$H$299,2,FALSE)</f>
        <v>Not Used</v>
      </c>
      <c r="P169" s="45" t="str">
        <f>VLOOKUP(Y169,'AMP models AxeFxIII'!$D$2:$H$299,2,FALSE)</f>
        <v>Not Used</v>
      </c>
      <c r="Q169" s="45" t="str">
        <f>VLOOKUP(Z169,'AMP models AxeFxIII'!$D$2:$H$299,2,FALSE)</f>
        <v>Not Used</v>
      </c>
      <c r="R169" s="4">
        <v>165</v>
      </c>
      <c r="S169" s="46" t="s">
        <v>555</v>
      </c>
      <c r="T169" s="46" t="s">
        <v>555</v>
      </c>
      <c r="U169" s="46" t="s">
        <v>555</v>
      </c>
      <c r="V169" s="46" t="s">
        <v>555</v>
      </c>
      <c r="W169" s="46" t="s">
        <v>555</v>
      </c>
      <c r="X169" s="46" t="s">
        <v>555</v>
      </c>
      <c r="Y169" s="46" t="s">
        <v>555</v>
      </c>
      <c r="Z169" s="46" t="s">
        <v>555</v>
      </c>
    </row>
    <row r="170" spans="1:26">
      <c r="A170" s="41">
        <f>preset_Names!A170</f>
        <v>166</v>
      </c>
      <c r="B170" t="str">
        <f t="shared" si="7"/>
        <v xml:space="preserve">strcpy(AMP1_A,("Not Used")); strcpy(AMP1_B,("Not Used")); strcpy(AMP1_C,("Not Used")); strcpy(AMP1_D,("Not Used")); </v>
      </c>
      <c r="C170" t="str">
        <f t="shared" si="8"/>
        <v xml:space="preserve">strcpy(AMP2_A,("Not Used")); strcpy(AMP2_B,("Not Used")); strcpy(AMP2_C,("Not Used")); strcpy(AMP2_D,("Not Used")); </v>
      </c>
      <c r="D170" s="31" t="s">
        <v>893</v>
      </c>
      <c r="E170" s="42" t="str">
        <f t="shared" si="6"/>
        <v>case 166: strcpy(AMP1_A,("Not Used")); strcpy(AMP1_B,("Not Used")); strcpy(AMP1_C,("Not Used")); strcpy(AMP1_D,("Not Used")); strcpy(AMP2_A,("Not Used")); strcpy(AMP2_B,("Not Used")); strcpy(AMP2_C,("Not Used")); strcpy(AMP2_D,("Not Used"));  break;</v>
      </c>
      <c r="F170" t="s">
        <v>893</v>
      </c>
      <c r="I170" t="s">
        <v>893</v>
      </c>
      <c r="J170" s="45" t="str">
        <f>VLOOKUP(S170,'AMP models AxeFxIII'!$D$2:$H$299,2,FALSE)</f>
        <v>Not Used</v>
      </c>
      <c r="K170" s="45" t="str">
        <f>VLOOKUP(T170,'AMP models AxeFxIII'!$D$2:$H$299,2,FALSE)</f>
        <v>Not Used</v>
      </c>
      <c r="L170" s="45" t="str">
        <f>VLOOKUP(U170,'AMP models AxeFxIII'!$D$2:$H$299,2,FALSE)</f>
        <v>Not Used</v>
      </c>
      <c r="M170" s="45" t="str">
        <f>VLOOKUP(V170,'AMP models AxeFxIII'!$D$2:$H$299,2,FALSE)</f>
        <v>Not Used</v>
      </c>
      <c r="N170" s="45" t="str">
        <f>VLOOKUP(W170,'AMP models AxeFxIII'!$D$2:$H$299,2,FALSE)</f>
        <v>Not Used</v>
      </c>
      <c r="O170" s="45" t="str">
        <f>VLOOKUP(X170,'AMP models AxeFxIII'!$D$2:$H$299,2,FALSE)</f>
        <v>Not Used</v>
      </c>
      <c r="P170" s="45" t="str">
        <f>VLOOKUP(Y170,'AMP models AxeFxIII'!$D$2:$H$299,2,FALSE)</f>
        <v>Not Used</v>
      </c>
      <c r="Q170" s="45" t="str">
        <f>VLOOKUP(Z170,'AMP models AxeFxIII'!$D$2:$H$299,2,FALSE)</f>
        <v>Not Used</v>
      </c>
      <c r="R170" s="4">
        <v>166</v>
      </c>
      <c r="S170" s="46" t="s">
        <v>555</v>
      </c>
      <c r="T170" s="46" t="s">
        <v>555</v>
      </c>
      <c r="U170" s="46" t="s">
        <v>555</v>
      </c>
      <c r="V170" s="46" t="s">
        <v>555</v>
      </c>
      <c r="W170" s="46" t="s">
        <v>555</v>
      </c>
      <c r="X170" s="46" t="s">
        <v>555</v>
      </c>
      <c r="Y170" s="46" t="s">
        <v>555</v>
      </c>
      <c r="Z170" s="46" t="s">
        <v>555</v>
      </c>
    </row>
    <row r="171" spans="1:26">
      <c r="A171" s="41">
        <f>preset_Names!A171</f>
        <v>167</v>
      </c>
      <c r="B171" t="str">
        <f t="shared" si="7"/>
        <v xml:space="preserve">strcpy(AMP1_A,("Not Used")); strcpy(AMP1_B,("Not Used")); strcpy(AMP1_C,("Not Used")); strcpy(AMP1_D,("Not Used")); </v>
      </c>
      <c r="C171" t="str">
        <f t="shared" si="8"/>
        <v xml:space="preserve">strcpy(AMP2_A,("Not Used")); strcpy(AMP2_B,("Not Used")); strcpy(AMP2_C,("Not Used")); strcpy(AMP2_D,("Not Used")); </v>
      </c>
      <c r="D171" s="31" t="s">
        <v>893</v>
      </c>
      <c r="E171" s="42" t="str">
        <f t="shared" si="6"/>
        <v>case 167: strcpy(AMP1_A,("Not Used")); strcpy(AMP1_B,("Not Used")); strcpy(AMP1_C,("Not Used")); strcpy(AMP1_D,("Not Used")); strcpy(AMP2_A,("Not Used")); strcpy(AMP2_B,("Not Used")); strcpy(AMP2_C,("Not Used")); strcpy(AMP2_D,("Not Used"));  break;</v>
      </c>
      <c r="F171" t="s">
        <v>893</v>
      </c>
      <c r="I171" t="s">
        <v>893</v>
      </c>
      <c r="J171" s="45" t="str">
        <f>VLOOKUP(S171,'AMP models AxeFxIII'!$D$2:$H$299,2,FALSE)</f>
        <v>Not Used</v>
      </c>
      <c r="K171" s="45" t="str">
        <f>VLOOKUP(T171,'AMP models AxeFxIII'!$D$2:$H$299,2,FALSE)</f>
        <v>Not Used</v>
      </c>
      <c r="L171" s="45" t="str">
        <f>VLOOKUP(U171,'AMP models AxeFxIII'!$D$2:$H$299,2,FALSE)</f>
        <v>Not Used</v>
      </c>
      <c r="M171" s="45" t="str">
        <f>VLOOKUP(V171,'AMP models AxeFxIII'!$D$2:$H$299,2,FALSE)</f>
        <v>Not Used</v>
      </c>
      <c r="N171" s="45" t="str">
        <f>VLOOKUP(W171,'AMP models AxeFxIII'!$D$2:$H$299,2,FALSE)</f>
        <v>Not Used</v>
      </c>
      <c r="O171" s="45" t="str">
        <f>VLOOKUP(X171,'AMP models AxeFxIII'!$D$2:$H$299,2,FALSE)</f>
        <v>Not Used</v>
      </c>
      <c r="P171" s="45" t="str">
        <f>VLOOKUP(Y171,'AMP models AxeFxIII'!$D$2:$H$299,2,FALSE)</f>
        <v>Not Used</v>
      </c>
      <c r="Q171" s="45" t="str">
        <f>VLOOKUP(Z171,'AMP models AxeFxIII'!$D$2:$H$299,2,FALSE)</f>
        <v>Not Used</v>
      </c>
      <c r="R171" s="4">
        <v>167</v>
      </c>
      <c r="S171" s="46" t="s">
        <v>555</v>
      </c>
      <c r="T171" s="46" t="s">
        <v>555</v>
      </c>
      <c r="U171" s="46" t="s">
        <v>555</v>
      </c>
      <c r="V171" s="46" t="s">
        <v>555</v>
      </c>
      <c r="W171" s="46" t="s">
        <v>555</v>
      </c>
      <c r="X171" s="46" t="s">
        <v>555</v>
      </c>
      <c r="Y171" s="46" t="s">
        <v>555</v>
      </c>
      <c r="Z171" s="46" t="s">
        <v>555</v>
      </c>
    </row>
    <row r="172" spans="1:26">
      <c r="A172" s="41">
        <f>preset_Names!A172</f>
        <v>168</v>
      </c>
      <c r="B172" t="str">
        <f t="shared" si="7"/>
        <v xml:space="preserve">strcpy(AMP1_A,("Not Used")); strcpy(AMP1_B,("Not Used")); strcpy(AMP1_C,("Not Used")); strcpy(AMP1_D,("Not Used")); </v>
      </c>
      <c r="C172" t="str">
        <f t="shared" si="8"/>
        <v xml:space="preserve">strcpy(AMP2_A,("Not Used")); strcpy(AMP2_B,("Not Used")); strcpy(AMP2_C,("Not Used")); strcpy(AMP2_D,("Not Used")); </v>
      </c>
      <c r="D172" s="31" t="s">
        <v>893</v>
      </c>
      <c r="E172" s="42" t="str">
        <f t="shared" si="6"/>
        <v>case 168: strcpy(AMP1_A,("Not Used")); strcpy(AMP1_B,("Not Used")); strcpy(AMP1_C,("Not Used")); strcpy(AMP1_D,("Not Used")); strcpy(AMP2_A,("Not Used")); strcpy(AMP2_B,("Not Used")); strcpy(AMP2_C,("Not Used")); strcpy(AMP2_D,("Not Used"));  break;</v>
      </c>
      <c r="F172" t="s">
        <v>893</v>
      </c>
      <c r="I172" t="s">
        <v>893</v>
      </c>
      <c r="J172" s="45" t="str">
        <f>VLOOKUP(S172,'AMP models AxeFxIII'!$D$2:$H$299,2,FALSE)</f>
        <v>Not Used</v>
      </c>
      <c r="K172" s="45" t="str">
        <f>VLOOKUP(T172,'AMP models AxeFxIII'!$D$2:$H$299,2,FALSE)</f>
        <v>Not Used</v>
      </c>
      <c r="L172" s="45" t="str">
        <f>VLOOKUP(U172,'AMP models AxeFxIII'!$D$2:$H$299,2,FALSE)</f>
        <v>Not Used</v>
      </c>
      <c r="M172" s="45" t="str">
        <f>VLOOKUP(V172,'AMP models AxeFxIII'!$D$2:$H$299,2,FALSE)</f>
        <v>Not Used</v>
      </c>
      <c r="N172" s="45" t="str">
        <f>VLOOKUP(W172,'AMP models AxeFxIII'!$D$2:$H$299,2,FALSE)</f>
        <v>Not Used</v>
      </c>
      <c r="O172" s="45" t="str">
        <f>VLOOKUP(X172,'AMP models AxeFxIII'!$D$2:$H$299,2,FALSE)</f>
        <v>Not Used</v>
      </c>
      <c r="P172" s="45" t="str">
        <f>VLOOKUP(Y172,'AMP models AxeFxIII'!$D$2:$H$299,2,FALSE)</f>
        <v>Not Used</v>
      </c>
      <c r="Q172" s="45" t="str">
        <f>VLOOKUP(Z172,'AMP models AxeFxIII'!$D$2:$H$299,2,FALSE)</f>
        <v>Not Used</v>
      </c>
      <c r="R172" s="4">
        <v>168</v>
      </c>
      <c r="S172" s="46" t="s">
        <v>555</v>
      </c>
      <c r="T172" s="46" t="s">
        <v>555</v>
      </c>
      <c r="U172" s="46" t="s">
        <v>555</v>
      </c>
      <c r="V172" s="46" t="s">
        <v>555</v>
      </c>
      <c r="W172" s="46" t="s">
        <v>555</v>
      </c>
      <c r="X172" s="46" t="s">
        <v>555</v>
      </c>
      <c r="Y172" s="46" t="s">
        <v>555</v>
      </c>
      <c r="Z172" s="46" t="s">
        <v>555</v>
      </c>
    </row>
    <row r="173" spans="1:26">
      <c r="A173" s="41">
        <f>preset_Names!A173</f>
        <v>169</v>
      </c>
      <c r="B173" t="str">
        <f t="shared" si="7"/>
        <v xml:space="preserve">strcpy(AMP1_A,("Not Used")); strcpy(AMP1_B,("Not Used")); strcpy(AMP1_C,("Not Used")); strcpy(AMP1_D,("Not Used")); </v>
      </c>
      <c r="C173" t="str">
        <f t="shared" si="8"/>
        <v xml:space="preserve">strcpy(AMP2_A,("Not Used")); strcpy(AMP2_B,("Not Used")); strcpy(AMP2_C,("Not Used")); strcpy(AMP2_D,("Not Used")); </v>
      </c>
      <c r="D173" s="31" t="s">
        <v>893</v>
      </c>
      <c r="E173" s="42" t="str">
        <f t="shared" si="6"/>
        <v>case 169: strcpy(AMP1_A,("Not Used")); strcpy(AMP1_B,("Not Used")); strcpy(AMP1_C,("Not Used")); strcpy(AMP1_D,("Not Used")); strcpy(AMP2_A,("Not Used")); strcpy(AMP2_B,("Not Used")); strcpy(AMP2_C,("Not Used")); strcpy(AMP2_D,("Not Used"));  break;</v>
      </c>
      <c r="F173" t="s">
        <v>893</v>
      </c>
      <c r="I173" t="s">
        <v>893</v>
      </c>
      <c r="J173" s="45" t="str">
        <f>VLOOKUP(S173,'AMP models AxeFxIII'!$D$2:$H$299,2,FALSE)</f>
        <v>Not Used</v>
      </c>
      <c r="K173" s="45" t="str">
        <f>VLOOKUP(T173,'AMP models AxeFxIII'!$D$2:$H$299,2,FALSE)</f>
        <v>Not Used</v>
      </c>
      <c r="L173" s="45" t="str">
        <f>VLOOKUP(U173,'AMP models AxeFxIII'!$D$2:$H$299,2,FALSE)</f>
        <v>Not Used</v>
      </c>
      <c r="M173" s="45" t="str">
        <f>VLOOKUP(V173,'AMP models AxeFxIII'!$D$2:$H$299,2,FALSE)</f>
        <v>Not Used</v>
      </c>
      <c r="N173" s="45" t="str">
        <f>VLOOKUP(W173,'AMP models AxeFxIII'!$D$2:$H$299,2,FALSE)</f>
        <v>Not Used</v>
      </c>
      <c r="O173" s="45" t="str">
        <f>VLOOKUP(X173,'AMP models AxeFxIII'!$D$2:$H$299,2,FALSE)</f>
        <v>Not Used</v>
      </c>
      <c r="P173" s="45" t="str">
        <f>VLOOKUP(Y173,'AMP models AxeFxIII'!$D$2:$H$299,2,FALSE)</f>
        <v>Not Used</v>
      </c>
      <c r="Q173" s="45" t="str">
        <f>VLOOKUP(Z173,'AMP models AxeFxIII'!$D$2:$H$299,2,FALSE)</f>
        <v>Not Used</v>
      </c>
      <c r="R173" s="4">
        <v>169</v>
      </c>
      <c r="S173" s="46" t="s">
        <v>555</v>
      </c>
      <c r="T173" s="46" t="s">
        <v>555</v>
      </c>
      <c r="U173" s="46" t="s">
        <v>555</v>
      </c>
      <c r="V173" s="46" t="s">
        <v>555</v>
      </c>
      <c r="W173" s="46" t="s">
        <v>555</v>
      </c>
      <c r="X173" s="46" t="s">
        <v>555</v>
      </c>
      <c r="Y173" s="46" t="s">
        <v>555</v>
      </c>
      <c r="Z173" s="46" t="s">
        <v>555</v>
      </c>
    </row>
    <row r="174" spans="1:26">
      <c r="A174" s="41">
        <f>preset_Names!A174</f>
        <v>170</v>
      </c>
      <c r="B174" t="str">
        <f t="shared" si="7"/>
        <v xml:space="preserve">strcpy(AMP1_A,("Not Used")); strcpy(AMP1_B,("Not Used")); strcpy(AMP1_C,("Not Used")); strcpy(AMP1_D,("Not Used")); </v>
      </c>
      <c r="C174" t="str">
        <f t="shared" si="8"/>
        <v xml:space="preserve">strcpy(AMP2_A,("Not Used")); strcpy(AMP2_B,("Not Used")); strcpy(AMP2_C,("Not Used")); strcpy(AMP2_D,("Not Used")); </v>
      </c>
      <c r="D174" s="31" t="s">
        <v>893</v>
      </c>
      <c r="E174" s="42" t="str">
        <f t="shared" si="6"/>
        <v>case 170: strcpy(AMP1_A,("Not Used")); strcpy(AMP1_B,("Not Used")); strcpy(AMP1_C,("Not Used")); strcpy(AMP1_D,("Not Used")); strcpy(AMP2_A,("Not Used")); strcpy(AMP2_B,("Not Used")); strcpy(AMP2_C,("Not Used")); strcpy(AMP2_D,("Not Used"));  break;</v>
      </c>
      <c r="F174" t="s">
        <v>893</v>
      </c>
      <c r="I174" t="s">
        <v>893</v>
      </c>
      <c r="J174" s="45" t="str">
        <f>VLOOKUP(S174,'AMP models AxeFxIII'!$D$2:$H$299,2,FALSE)</f>
        <v>Not Used</v>
      </c>
      <c r="K174" s="45" t="str">
        <f>VLOOKUP(T174,'AMP models AxeFxIII'!$D$2:$H$299,2,FALSE)</f>
        <v>Not Used</v>
      </c>
      <c r="L174" s="45" t="str">
        <f>VLOOKUP(U174,'AMP models AxeFxIII'!$D$2:$H$299,2,FALSE)</f>
        <v>Not Used</v>
      </c>
      <c r="M174" s="45" t="str">
        <f>VLOOKUP(V174,'AMP models AxeFxIII'!$D$2:$H$299,2,FALSE)</f>
        <v>Not Used</v>
      </c>
      <c r="N174" s="45" t="str">
        <f>VLOOKUP(W174,'AMP models AxeFxIII'!$D$2:$H$299,2,FALSE)</f>
        <v>Not Used</v>
      </c>
      <c r="O174" s="45" t="str">
        <f>VLOOKUP(X174,'AMP models AxeFxIII'!$D$2:$H$299,2,FALSE)</f>
        <v>Not Used</v>
      </c>
      <c r="P174" s="45" t="str">
        <f>VLOOKUP(Y174,'AMP models AxeFxIII'!$D$2:$H$299,2,FALSE)</f>
        <v>Not Used</v>
      </c>
      <c r="Q174" s="45" t="str">
        <f>VLOOKUP(Z174,'AMP models AxeFxIII'!$D$2:$H$299,2,FALSE)</f>
        <v>Not Used</v>
      </c>
      <c r="R174" s="4">
        <v>170</v>
      </c>
      <c r="S174" s="46" t="s">
        <v>555</v>
      </c>
      <c r="T174" s="46" t="s">
        <v>555</v>
      </c>
      <c r="U174" s="46" t="s">
        <v>555</v>
      </c>
      <c r="V174" s="46" t="s">
        <v>555</v>
      </c>
      <c r="W174" s="46" t="s">
        <v>555</v>
      </c>
      <c r="X174" s="46" t="s">
        <v>555</v>
      </c>
      <c r="Y174" s="46" t="s">
        <v>555</v>
      </c>
      <c r="Z174" s="46" t="s">
        <v>555</v>
      </c>
    </row>
    <row r="175" spans="1:26">
      <c r="A175" s="41">
        <f>preset_Names!A175</f>
        <v>171</v>
      </c>
      <c r="B175" t="str">
        <f t="shared" si="7"/>
        <v xml:space="preserve">strcpy(AMP1_A,("Not Used")); strcpy(AMP1_B,("Not Used")); strcpy(AMP1_C,("Not Used")); strcpy(AMP1_D,("Not Used")); </v>
      </c>
      <c r="C175" t="str">
        <f t="shared" si="8"/>
        <v xml:space="preserve">strcpy(AMP2_A,("Not Used")); strcpy(AMP2_B,("Not Used")); strcpy(AMP2_C,("Not Used")); strcpy(AMP2_D,("Not Used")); </v>
      </c>
      <c r="D175" s="31" t="s">
        <v>893</v>
      </c>
      <c r="E175" s="42" t="str">
        <f t="shared" si="6"/>
        <v>case 171: strcpy(AMP1_A,("Not Used")); strcpy(AMP1_B,("Not Used")); strcpy(AMP1_C,("Not Used")); strcpy(AMP1_D,("Not Used")); strcpy(AMP2_A,("Not Used")); strcpy(AMP2_B,("Not Used")); strcpy(AMP2_C,("Not Used")); strcpy(AMP2_D,("Not Used"));  break;</v>
      </c>
      <c r="F175" t="s">
        <v>893</v>
      </c>
      <c r="I175" t="s">
        <v>893</v>
      </c>
      <c r="J175" s="45" t="str">
        <f>VLOOKUP(S175,'AMP models AxeFxIII'!$D$2:$H$299,2,FALSE)</f>
        <v>Not Used</v>
      </c>
      <c r="K175" s="45" t="str">
        <f>VLOOKUP(T175,'AMP models AxeFxIII'!$D$2:$H$299,2,FALSE)</f>
        <v>Not Used</v>
      </c>
      <c r="L175" s="45" t="str">
        <f>VLOOKUP(U175,'AMP models AxeFxIII'!$D$2:$H$299,2,FALSE)</f>
        <v>Not Used</v>
      </c>
      <c r="M175" s="45" t="str">
        <f>VLOOKUP(V175,'AMP models AxeFxIII'!$D$2:$H$299,2,FALSE)</f>
        <v>Not Used</v>
      </c>
      <c r="N175" s="45" t="str">
        <f>VLOOKUP(W175,'AMP models AxeFxIII'!$D$2:$H$299,2,FALSE)</f>
        <v>Not Used</v>
      </c>
      <c r="O175" s="45" t="str">
        <f>VLOOKUP(X175,'AMP models AxeFxIII'!$D$2:$H$299,2,FALSE)</f>
        <v>Not Used</v>
      </c>
      <c r="P175" s="45" t="str">
        <f>VLOOKUP(Y175,'AMP models AxeFxIII'!$D$2:$H$299,2,FALSE)</f>
        <v>Not Used</v>
      </c>
      <c r="Q175" s="45" t="str">
        <f>VLOOKUP(Z175,'AMP models AxeFxIII'!$D$2:$H$299,2,FALSE)</f>
        <v>Not Used</v>
      </c>
      <c r="R175" s="4">
        <v>171</v>
      </c>
      <c r="S175" s="46" t="s">
        <v>555</v>
      </c>
      <c r="T175" s="46" t="s">
        <v>555</v>
      </c>
      <c r="U175" s="46" t="s">
        <v>555</v>
      </c>
      <c r="V175" s="46" t="s">
        <v>555</v>
      </c>
      <c r="W175" s="46" t="s">
        <v>555</v>
      </c>
      <c r="X175" s="46" t="s">
        <v>555</v>
      </c>
      <c r="Y175" s="46" t="s">
        <v>555</v>
      </c>
      <c r="Z175" s="46" t="s">
        <v>555</v>
      </c>
    </row>
    <row r="176" spans="1:26">
      <c r="A176" s="41">
        <f>preset_Names!A176</f>
        <v>172</v>
      </c>
      <c r="B176" t="str">
        <f t="shared" si="7"/>
        <v xml:space="preserve">strcpy(AMP1_A,("Not Used")); strcpy(AMP1_B,("Not Used")); strcpy(AMP1_C,("Not Used")); strcpy(AMP1_D,("Not Used")); </v>
      </c>
      <c r="C176" t="str">
        <f t="shared" si="8"/>
        <v xml:space="preserve">strcpy(AMP2_A,("Not Used")); strcpy(AMP2_B,("Not Used")); strcpy(AMP2_C,("Not Used")); strcpy(AMP2_D,("Not Used")); </v>
      </c>
      <c r="D176" s="31" t="s">
        <v>893</v>
      </c>
      <c r="E176" s="42" t="str">
        <f t="shared" si="6"/>
        <v>case 172: strcpy(AMP1_A,("Not Used")); strcpy(AMP1_B,("Not Used")); strcpy(AMP1_C,("Not Used")); strcpy(AMP1_D,("Not Used")); strcpy(AMP2_A,("Not Used")); strcpy(AMP2_B,("Not Used")); strcpy(AMP2_C,("Not Used")); strcpy(AMP2_D,("Not Used"));  break;</v>
      </c>
      <c r="F176" t="s">
        <v>893</v>
      </c>
      <c r="I176" t="s">
        <v>893</v>
      </c>
      <c r="J176" s="45" t="str">
        <f>VLOOKUP(S176,'AMP models AxeFxIII'!$D$2:$H$299,2,FALSE)</f>
        <v>Not Used</v>
      </c>
      <c r="K176" s="45" t="str">
        <f>VLOOKUP(T176,'AMP models AxeFxIII'!$D$2:$H$299,2,FALSE)</f>
        <v>Not Used</v>
      </c>
      <c r="L176" s="45" t="str">
        <f>VLOOKUP(U176,'AMP models AxeFxIII'!$D$2:$H$299,2,FALSE)</f>
        <v>Not Used</v>
      </c>
      <c r="M176" s="45" t="str">
        <f>VLOOKUP(V176,'AMP models AxeFxIII'!$D$2:$H$299,2,FALSE)</f>
        <v>Not Used</v>
      </c>
      <c r="N176" s="45" t="str">
        <f>VLOOKUP(W176,'AMP models AxeFxIII'!$D$2:$H$299,2,FALSE)</f>
        <v>Not Used</v>
      </c>
      <c r="O176" s="45" t="str">
        <f>VLOOKUP(X176,'AMP models AxeFxIII'!$D$2:$H$299,2,FALSE)</f>
        <v>Not Used</v>
      </c>
      <c r="P176" s="45" t="str">
        <f>VLOOKUP(Y176,'AMP models AxeFxIII'!$D$2:$H$299,2,FALSE)</f>
        <v>Not Used</v>
      </c>
      <c r="Q176" s="45" t="str">
        <f>VLOOKUP(Z176,'AMP models AxeFxIII'!$D$2:$H$299,2,FALSE)</f>
        <v>Not Used</v>
      </c>
      <c r="R176" s="4">
        <v>172</v>
      </c>
      <c r="S176" s="46" t="s">
        <v>555</v>
      </c>
      <c r="T176" s="46" t="s">
        <v>555</v>
      </c>
      <c r="U176" s="46" t="s">
        <v>555</v>
      </c>
      <c r="V176" s="46" t="s">
        <v>555</v>
      </c>
      <c r="W176" s="46" t="s">
        <v>555</v>
      </c>
      <c r="X176" s="46" t="s">
        <v>555</v>
      </c>
      <c r="Y176" s="46" t="s">
        <v>555</v>
      </c>
      <c r="Z176" s="46" t="s">
        <v>555</v>
      </c>
    </row>
    <row r="177" spans="1:26">
      <c r="A177" s="41">
        <f>preset_Names!A177</f>
        <v>173</v>
      </c>
      <c r="B177" t="str">
        <f t="shared" si="7"/>
        <v xml:space="preserve">strcpy(AMP1_A,("Not Used")); strcpy(AMP1_B,("Not Used")); strcpy(AMP1_C,("Not Used")); strcpy(AMP1_D,("Not Used")); </v>
      </c>
      <c r="C177" t="str">
        <f t="shared" si="8"/>
        <v xml:space="preserve">strcpy(AMP2_A,("Not Used")); strcpy(AMP2_B,("Not Used")); strcpy(AMP2_C,("Not Used")); strcpy(AMP2_D,("Not Used")); </v>
      </c>
      <c r="D177" s="31" t="s">
        <v>893</v>
      </c>
      <c r="E177" s="42" t="str">
        <f t="shared" si="6"/>
        <v>case 173: strcpy(AMP1_A,("Not Used")); strcpy(AMP1_B,("Not Used")); strcpy(AMP1_C,("Not Used")); strcpy(AMP1_D,("Not Used")); strcpy(AMP2_A,("Not Used")); strcpy(AMP2_B,("Not Used")); strcpy(AMP2_C,("Not Used")); strcpy(AMP2_D,("Not Used"));  break;</v>
      </c>
      <c r="F177" t="s">
        <v>893</v>
      </c>
      <c r="I177" t="s">
        <v>893</v>
      </c>
      <c r="J177" s="45" t="str">
        <f>VLOOKUP(S177,'AMP models AxeFxIII'!$D$2:$H$299,2,FALSE)</f>
        <v>Not Used</v>
      </c>
      <c r="K177" s="45" t="str">
        <f>VLOOKUP(T177,'AMP models AxeFxIII'!$D$2:$H$299,2,FALSE)</f>
        <v>Not Used</v>
      </c>
      <c r="L177" s="45" t="str">
        <f>VLOOKUP(U177,'AMP models AxeFxIII'!$D$2:$H$299,2,FALSE)</f>
        <v>Not Used</v>
      </c>
      <c r="M177" s="45" t="str">
        <f>VLOOKUP(V177,'AMP models AxeFxIII'!$D$2:$H$299,2,FALSE)</f>
        <v>Not Used</v>
      </c>
      <c r="N177" s="45" t="str">
        <f>VLOOKUP(W177,'AMP models AxeFxIII'!$D$2:$H$299,2,FALSE)</f>
        <v>Not Used</v>
      </c>
      <c r="O177" s="45" t="str">
        <f>VLOOKUP(X177,'AMP models AxeFxIII'!$D$2:$H$299,2,FALSE)</f>
        <v>Not Used</v>
      </c>
      <c r="P177" s="45" t="str">
        <f>VLOOKUP(Y177,'AMP models AxeFxIII'!$D$2:$H$299,2,FALSE)</f>
        <v>Not Used</v>
      </c>
      <c r="Q177" s="45" t="str">
        <f>VLOOKUP(Z177,'AMP models AxeFxIII'!$D$2:$H$299,2,FALSE)</f>
        <v>Not Used</v>
      </c>
      <c r="R177" s="4">
        <v>173</v>
      </c>
      <c r="S177" s="46" t="s">
        <v>555</v>
      </c>
      <c r="T177" s="46" t="s">
        <v>555</v>
      </c>
      <c r="U177" s="46" t="s">
        <v>555</v>
      </c>
      <c r="V177" s="46" t="s">
        <v>555</v>
      </c>
      <c r="W177" s="46" t="s">
        <v>555</v>
      </c>
      <c r="X177" s="46" t="s">
        <v>555</v>
      </c>
      <c r="Y177" s="46" t="s">
        <v>555</v>
      </c>
      <c r="Z177" s="46" t="s">
        <v>555</v>
      </c>
    </row>
    <row r="178" spans="1:26">
      <c r="A178" s="41">
        <f>preset_Names!A178</f>
        <v>174</v>
      </c>
      <c r="B178" t="str">
        <f t="shared" si="7"/>
        <v xml:space="preserve">strcpy(AMP1_A,("Not Used")); strcpy(AMP1_B,("Not Used")); strcpy(AMP1_C,("Not Used")); strcpy(AMP1_D,("Not Used")); </v>
      </c>
      <c r="C178" t="str">
        <f t="shared" si="8"/>
        <v xml:space="preserve">strcpy(AMP2_A,("Not Used")); strcpy(AMP2_B,("Not Used")); strcpy(AMP2_C,("Not Used")); strcpy(AMP2_D,("Not Used")); </v>
      </c>
      <c r="D178" s="31" t="s">
        <v>893</v>
      </c>
      <c r="E178" s="42" t="str">
        <f t="shared" si="6"/>
        <v>case 174: strcpy(AMP1_A,("Not Used")); strcpy(AMP1_B,("Not Used")); strcpy(AMP1_C,("Not Used")); strcpy(AMP1_D,("Not Used")); strcpy(AMP2_A,("Not Used")); strcpy(AMP2_B,("Not Used")); strcpy(AMP2_C,("Not Used")); strcpy(AMP2_D,("Not Used"));  break;</v>
      </c>
      <c r="F178" t="s">
        <v>893</v>
      </c>
      <c r="I178" t="s">
        <v>893</v>
      </c>
      <c r="J178" s="45" t="str">
        <f>VLOOKUP(S178,'AMP models AxeFxIII'!$D$2:$H$299,2,FALSE)</f>
        <v>Not Used</v>
      </c>
      <c r="K178" s="45" t="str">
        <f>VLOOKUP(T178,'AMP models AxeFxIII'!$D$2:$H$299,2,FALSE)</f>
        <v>Not Used</v>
      </c>
      <c r="L178" s="45" t="str">
        <f>VLOOKUP(U178,'AMP models AxeFxIII'!$D$2:$H$299,2,FALSE)</f>
        <v>Not Used</v>
      </c>
      <c r="M178" s="45" t="str">
        <f>VLOOKUP(V178,'AMP models AxeFxIII'!$D$2:$H$299,2,FALSE)</f>
        <v>Not Used</v>
      </c>
      <c r="N178" s="45" t="str">
        <f>VLOOKUP(W178,'AMP models AxeFxIII'!$D$2:$H$299,2,FALSE)</f>
        <v>Not Used</v>
      </c>
      <c r="O178" s="45" t="str">
        <f>VLOOKUP(X178,'AMP models AxeFxIII'!$D$2:$H$299,2,FALSE)</f>
        <v>Not Used</v>
      </c>
      <c r="P178" s="45" t="str">
        <f>VLOOKUP(Y178,'AMP models AxeFxIII'!$D$2:$H$299,2,FALSE)</f>
        <v>Not Used</v>
      </c>
      <c r="Q178" s="45" t="str">
        <f>VLOOKUP(Z178,'AMP models AxeFxIII'!$D$2:$H$299,2,FALSE)</f>
        <v>Not Used</v>
      </c>
      <c r="R178" s="4">
        <v>174</v>
      </c>
      <c r="S178" s="46" t="s">
        <v>555</v>
      </c>
      <c r="T178" s="46" t="s">
        <v>555</v>
      </c>
      <c r="U178" s="46" t="s">
        <v>555</v>
      </c>
      <c r="V178" s="46" t="s">
        <v>555</v>
      </c>
      <c r="W178" s="46" t="s">
        <v>555</v>
      </c>
      <c r="X178" s="46" t="s">
        <v>555</v>
      </c>
      <c r="Y178" s="46" t="s">
        <v>555</v>
      </c>
      <c r="Z178" s="46" t="s">
        <v>555</v>
      </c>
    </row>
    <row r="179" spans="1:26">
      <c r="A179" s="41">
        <f>preset_Names!A179</f>
        <v>175</v>
      </c>
      <c r="B179" t="str">
        <f t="shared" si="7"/>
        <v xml:space="preserve">strcpy(AMP1_A,("Not Used")); strcpy(AMP1_B,("Not Used")); strcpy(AMP1_C,("Not Used")); strcpy(AMP1_D,("Not Used")); </v>
      </c>
      <c r="C179" t="str">
        <f t="shared" si="8"/>
        <v xml:space="preserve">strcpy(AMP2_A,("Not Used")); strcpy(AMP2_B,("Not Used")); strcpy(AMP2_C,("Not Used")); strcpy(AMP2_D,("Not Used")); </v>
      </c>
      <c r="D179" s="31" t="s">
        <v>893</v>
      </c>
      <c r="E179" s="42" t="str">
        <f t="shared" si="6"/>
        <v>case 175: strcpy(AMP1_A,("Not Used")); strcpy(AMP1_B,("Not Used")); strcpy(AMP1_C,("Not Used")); strcpy(AMP1_D,("Not Used")); strcpy(AMP2_A,("Not Used")); strcpy(AMP2_B,("Not Used")); strcpy(AMP2_C,("Not Used")); strcpy(AMP2_D,("Not Used"));  break;</v>
      </c>
      <c r="F179" t="s">
        <v>893</v>
      </c>
      <c r="I179" t="s">
        <v>893</v>
      </c>
      <c r="J179" s="45" t="str">
        <f>VLOOKUP(S179,'AMP models AxeFxIII'!$D$2:$H$299,2,FALSE)</f>
        <v>Not Used</v>
      </c>
      <c r="K179" s="45" t="str">
        <f>VLOOKUP(T179,'AMP models AxeFxIII'!$D$2:$H$299,2,FALSE)</f>
        <v>Not Used</v>
      </c>
      <c r="L179" s="45" t="str">
        <f>VLOOKUP(U179,'AMP models AxeFxIII'!$D$2:$H$299,2,FALSE)</f>
        <v>Not Used</v>
      </c>
      <c r="M179" s="45" t="str">
        <f>VLOOKUP(V179,'AMP models AxeFxIII'!$D$2:$H$299,2,FALSE)</f>
        <v>Not Used</v>
      </c>
      <c r="N179" s="45" t="str">
        <f>VLOOKUP(W179,'AMP models AxeFxIII'!$D$2:$H$299,2,FALSE)</f>
        <v>Not Used</v>
      </c>
      <c r="O179" s="45" t="str">
        <f>VLOOKUP(X179,'AMP models AxeFxIII'!$D$2:$H$299,2,FALSE)</f>
        <v>Not Used</v>
      </c>
      <c r="P179" s="45" t="str">
        <f>VLOOKUP(Y179,'AMP models AxeFxIII'!$D$2:$H$299,2,FALSE)</f>
        <v>Not Used</v>
      </c>
      <c r="Q179" s="45" t="str">
        <f>VLOOKUP(Z179,'AMP models AxeFxIII'!$D$2:$H$299,2,FALSE)</f>
        <v>Not Used</v>
      </c>
      <c r="R179" s="4">
        <v>175</v>
      </c>
      <c r="S179" s="46" t="s">
        <v>555</v>
      </c>
      <c r="T179" s="46" t="s">
        <v>555</v>
      </c>
      <c r="U179" s="46" t="s">
        <v>555</v>
      </c>
      <c r="V179" s="46" t="s">
        <v>555</v>
      </c>
      <c r="W179" s="46" t="s">
        <v>555</v>
      </c>
      <c r="X179" s="46" t="s">
        <v>555</v>
      </c>
      <c r="Y179" s="46" t="s">
        <v>555</v>
      </c>
      <c r="Z179" s="46" t="s">
        <v>555</v>
      </c>
    </row>
    <row r="180" spans="1:26">
      <c r="A180" s="41">
        <f>preset_Names!A180</f>
        <v>176</v>
      </c>
      <c r="B180" t="str">
        <f t="shared" si="7"/>
        <v xml:space="preserve">strcpy(AMP1_A,("Not Used")); strcpy(AMP1_B,("Not Used")); strcpy(AMP1_C,("Not Used")); strcpy(AMP1_D,("Not Used")); </v>
      </c>
      <c r="C180" t="str">
        <f t="shared" si="8"/>
        <v xml:space="preserve">strcpy(AMP2_A,("Not Used")); strcpy(AMP2_B,("Not Used")); strcpy(AMP2_C,("Not Used")); strcpy(AMP2_D,("Not Used")); </v>
      </c>
      <c r="D180" s="31" t="s">
        <v>893</v>
      </c>
      <c r="E180" s="42" t="str">
        <f t="shared" si="6"/>
        <v>case 176: strcpy(AMP1_A,("Not Used")); strcpy(AMP1_B,("Not Used")); strcpy(AMP1_C,("Not Used")); strcpy(AMP1_D,("Not Used")); strcpy(AMP2_A,("Not Used")); strcpy(AMP2_B,("Not Used")); strcpy(AMP2_C,("Not Used")); strcpy(AMP2_D,("Not Used"));  break;</v>
      </c>
      <c r="F180" t="s">
        <v>893</v>
      </c>
      <c r="I180" t="s">
        <v>893</v>
      </c>
      <c r="J180" s="45" t="str">
        <f>VLOOKUP(S180,'AMP models AxeFxIII'!$D$2:$H$299,2,FALSE)</f>
        <v>Not Used</v>
      </c>
      <c r="K180" s="45" t="str">
        <f>VLOOKUP(T180,'AMP models AxeFxIII'!$D$2:$H$299,2,FALSE)</f>
        <v>Not Used</v>
      </c>
      <c r="L180" s="45" t="str">
        <f>VLOOKUP(U180,'AMP models AxeFxIII'!$D$2:$H$299,2,FALSE)</f>
        <v>Not Used</v>
      </c>
      <c r="M180" s="45" t="str">
        <f>VLOOKUP(V180,'AMP models AxeFxIII'!$D$2:$H$299,2,FALSE)</f>
        <v>Not Used</v>
      </c>
      <c r="N180" s="45" t="str">
        <f>VLOOKUP(W180,'AMP models AxeFxIII'!$D$2:$H$299,2,FALSE)</f>
        <v>Not Used</v>
      </c>
      <c r="O180" s="45" t="str">
        <f>VLOOKUP(X180,'AMP models AxeFxIII'!$D$2:$H$299,2,FALSE)</f>
        <v>Not Used</v>
      </c>
      <c r="P180" s="45" t="str">
        <f>VLOOKUP(Y180,'AMP models AxeFxIII'!$D$2:$H$299,2,FALSE)</f>
        <v>Not Used</v>
      </c>
      <c r="Q180" s="45" t="str">
        <f>VLOOKUP(Z180,'AMP models AxeFxIII'!$D$2:$H$299,2,FALSE)</f>
        <v>Not Used</v>
      </c>
      <c r="R180" s="4">
        <v>176</v>
      </c>
      <c r="S180" s="46" t="s">
        <v>555</v>
      </c>
      <c r="T180" s="46" t="s">
        <v>555</v>
      </c>
      <c r="U180" s="46" t="s">
        <v>555</v>
      </c>
      <c r="V180" s="46" t="s">
        <v>555</v>
      </c>
      <c r="W180" s="46" t="s">
        <v>555</v>
      </c>
      <c r="X180" s="46" t="s">
        <v>555</v>
      </c>
      <c r="Y180" s="46" t="s">
        <v>555</v>
      </c>
      <c r="Z180" s="46" t="s">
        <v>555</v>
      </c>
    </row>
    <row r="181" spans="1:26">
      <c r="A181" s="41">
        <f>preset_Names!A181</f>
        <v>177</v>
      </c>
      <c r="B181" t="str">
        <f t="shared" si="7"/>
        <v xml:space="preserve">strcpy(AMP1_A,("Not Used")); strcpy(AMP1_B,("Not Used")); strcpy(AMP1_C,("Not Used")); strcpy(AMP1_D,("Not Used")); </v>
      </c>
      <c r="C181" t="str">
        <f t="shared" si="8"/>
        <v xml:space="preserve">strcpy(AMP2_A,("Not Used")); strcpy(AMP2_B,("Not Used")); strcpy(AMP2_C,("Not Used")); strcpy(AMP2_D,("Not Used")); </v>
      </c>
      <c r="D181" s="31" t="s">
        <v>893</v>
      </c>
      <c r="E181" s="42" t="str">
        <f t="shared" si="6"/>
        <v>case 177: strcpy(AMP1_A,("Not Used")); strcpy(AMP1_B,("Not Used")); strcpy(AMP1_C,("Not Used")); strcpy(AMP1_D,("Not Used")); strcpy(AMP2_A,("Not Used")); strcpy(AMP2_B,("Not Used")); strcpy(AMP2_C,("Not Used")); strcpy(AMP2_D,("Not Used"));  break;</v>
      </c>
      <c r="F181" t="s">
        <v>893</v>
      </c>
      <c r="I181" t="s">
        <v>893</v>
      </c>
      <c r="J181" s="45" t="str">
        <f>VLOOKUP(S181,'AMP models AxeFxIII'!$D$2:$H$299,2,FALSE)</f>
        <v>Not Used</v>
      </c>
      <c r="K181" s="45" t="str">
        <f>VLOOKUP(T181,'AMP models AxeFxIII'!$D$2:$H$299,2,FALSE)</f>
        <v>Not Used</v>
      </c>
      <c r="L181" s="45" t="str">
        <f>VLOOKUP(U181,'AMP models AxeFxIII'!$D$2:$H$299,2,FALSE)</f>
        <v>Not Used</v>
      </c>
      <c r="M181" s="45" t="str">
        <f>VLOOKUP(V181,'AMP models AxeFxIII'!$D$2:$H$299,2,FALSE)</f>
        <v>Not Used</v>
      </c>
      <c r="N181" s="45" t="str">
        <f>VLOOKUP(W181,'AMP models AxeFxIII'!$D$2:$H$299,2,FALSE)</f>
        <v>Not Used</v>
      </c>
      <c r="O181" s="45" t="str">
        <f>VLOOKUP(X181,'AMP models AxeFxIII'!$D$2:$H$299,2,FALSE)</f>
        <v>Not Used</v>
      </c>
      <c r="P181" s="45" t="str">
        <f>VLOOKUP(Y181,'AMP models AxeFxIII'!$D$2:$H$299,2,FALSE)</f>
        <v>Not Used</v>
      </c>
      <c r="Q181" s="45" t="str">
        <f>VLOOKUP(Z181,'AMP models AxeFxIII'!$D$2:$H$299,2,FALSE)</f>
        <v>Not Used</v>
      </c>
      <c r="R181" s="4">
        <v>177</v>
      </c>
      <c r="S181" s="46" t="s">
        <v>555</v>
      </c>
      <c r="T181" s="46" t="s">
        <v>555</v>
      </c>
      <c r="U181" s="46" t="s">
        <v>555</v>
      </c>
      <c r="V181" s="46" t="s">
        <v>555</v>
      </c>
      <c r="W181" s="46" t="s">
        <v>555</v>
      </c>
      <c r="X181" s="46" t="s">
        <v>555</v>
      </c>
      <c r="Y181" s="46" t="s">
        <v>555</v>
      </c>
      <c r="Z181" s="46" t="s">
        <v>555</v>
      </c>
    </row>
    <row r="182" spans="1:26">
      <c r="A182" s="41">
        <f>preset_Names!A182</f>
        <v>178</v>
      </c>
      <c r="B182" t="str">
        <f t="shared" si="7"/>
        <v xml:space="preserve">strcpy(AMP1_A,("Not Used")); strcpy(AMP1_B,("Not Used")); strcpy(AMP1_C,("Not Used")); strcpy(AMP1_D,("Not Used")); </v>
      </c>
      <c r="C182" t="str">
        <f t="shared" si="8"/>
        <v xml:space="preserve">strcpy(AMP2_A,("Not Used")); strcpy(AMP2_B,("Not Used")); strcpy(AMP2_C,("Not Used")); strcpy(AMP2_D,("Not Used")); </v>
      </c>
      <c r="D182" s="31" t="s">
        <v>893</v>
      </c>
      <c r="E182" s="42" t="str">
        <f t="shared" si="6"/>
        <v>case 178: strcpy(AMP1_A,("Not Used")); strcpy(AMP1_B,("Not Used")); strcpy(AMP1_C,("Not Used")); strcpy(AMP1_D,("Not Used")); strcpy(AMP2_A,("Not Used")); strcpy(AMP2_B,("Not Used")); strcpy(AMP2_C,("Not Used")); strcpy(AMP2_D,("Not Used"));  break;</v>
      </c>
      <c r="F182" t="s">
        <v>893</v>
      </c>
      <c r="I182" t="s">
        <v>893</v>
      </c>
      <c r="J182" s="45" t="str">
        <f>VLOOKUP(S182,'AMP models AxeFxIII'!$D$2:$H$299,2,FALSE)</f>
        <v>Not Used</v>
      </c>
      <c r="K182" s="45" t="str">
        <f>VLOOKUP(T182,'AMP models AxeFxIII'!$D$2:$H$299,2,FALSE)</f>
        <v>Not Used</v>
      </c>
      <c r="L182" s="45" t="str">
        <f>VLOOKUP(U182,'AMP models AxeFxIII'!$D$2:$H$299,2,FALSE)</f>
        <v>Not Used</v>
      </c>
      <c r="M182" s="45" t="str">
        <f>VLOOKUP(V182,'AMP models AxeFxIII'!$D$2:$H$299,2,FALSE)</f>
        <v>Not Used</v>
      </c>
      <c r="N182" s="45" t="str">
        <f>VLOOKUP(W182,'AMP models AxeFxIII'!$D$2:$H$299,2,FALSE)</f>
        <v>Not Used</v>
      </c>
      <c r="O182" s="45" t="str">
        <f>VLOOKUP(X182,'AMP models AxeFxIII'!$D$2:$H$299,2,FALSE)</f>
        <v>Not Used</v>
      </c>
      <c r="P182" s="45" t="str">
        <f>VLOOKUP(Y182,'AMP models AxeFxIII'!$D$2:$H$299,2,FALSE)</f>
        <v>Not Used</v>
      </c>
      <c r="Q182" s="45" t="str">
        <f>VLOOKUP(Z182,'AMP models AxeFxIII'!$D$2:$H$299,2,FALSE)</f>
        <v>Not Used</v>
      </c>
      <c r="R182" s="4">
        <v>178</v>
      </c>
      <c r="S182" s="46" t="s">
        <v>555</v>
      </c>
      <c r="T182" s="46" t="s">
        <v>555</v>
      </c>
      <c r="U182" s="46" t="s">
        <v>555</v>
      </c>
      <c r="V182" s="46" t="s">
        <v>555</v>
      </c>
      <c r="W182" s="46" t="s">
        <v>555</v>
      </c>
      <c r="X182" s="46" t="s">
        <v>555</v>
      </c>
      <c r="Y182" s="46" t="s">
        <v>555</v>
      </c>
      <c r="Z182" s="46" t="s">
        <v>555</v>
      </c>
    </row>
    <row r="183" spans="1:26">
      <c r="A183" s="41">
        <f>preset_Names!A183</f>
        <v>179</v>
      </c>
      <c r="B183" t="str">
        <f t="shared" si="7"/>
        <v xml:space="preserve">strcpy(AMP1_A,("Not Used")); strcpy(AMP1_B,("Not Used")); strcpy(AMP1_C,("Not Used")); strcpy(AMP1_D,("Not Used")); </v>
      </c>
      <c r="C183" t="str">
        <f t="shared" si="8"/>
        <v xml:space="preserve">strcpy(AMP2_A,("Not Used")); strcpy(AMP2_B,("Not Used")); strcpy(AMP2_C,("Not Used")); strcpy(AMP2_D,("Not Used")); </v>
      </c>
      <c r="D183" s="31" t="s">
        <v>893</v>
      </c>
      <c r="E183" s="42" t="str">
        <f t="shared" si="6"/>
        <v>case 179: strcpy(AMP1_A,("Not Used")); strcpy(AMP1_B,("Not Used")); strcpy(AMP1_C,("Not Used")); strcpy(AMP1_D,("Not Used")); strcpy(AMP2_A,("Not Used")); strcpy(AMP2_B,("Not Used")); strcpy(AMP2_C,("Not Used")); strcpy(AMP2_D,("Not Used"));  break;</v>
      </c>
      <c r="F183" t="s">
        <v>893</v>
      </c>
      <c r="I183" t="s">
        <v>893</v>
      </c>
      <c r="J183" s="45" t="str">
        <f>VLOOKUP(S183,'AMP models AxeFxIII'!$D$2:$H$299,2,FALSE)</f>
        <v>Not Used</v>
      </c>
      <c r="K183" s="45" t="str">
        <f>VLOOKUP(T183,'AMP models AxeFxIII'!$D$2:$H$299,2,FALSE)</f>
        <v>Not Used</v>
      </c>
      <c r="L183" s="45" t="str">
        <f>VLOOKUP(U183,'AMP models AxeFxIII'!$D$2:$H$299,2,FALSE)</f>
        <v>Not Used</v>
      </c>
      <c r="M183" s="45" t="str">
        <f>VLOOKUP(V183,'AMP models AxeFxIII'!$D$2:$H$299,2,FALSE)</f>
        <v>Not Used</v>
      </c>
      <c r="N183" s="45" t="str">
        <f>VLOOKUP(W183,'AMP models AxeFxIII'!$D$2:$H$299,2,FALSE)</f>
        <v>Not Used</v>
      </c>
      <c r="O183" s="45" t="str">
        <f>VLOOKUP(X183,'AMP models AxeFxIII'!$D$2:$H$299,2,FALSE)</f>
        <v>Not Used</v>
      </c>
      <c r="P183" s="45" t="str">
        <f>VLOOKUP(Y183,'AMP models AxeFxIII'!$D$2:$H$299,2,FALSE)</f>
        <v>Not Used</v>
      </c>
      <c r="Q183" s="45" t="str">
        <f>VLOOKUP(Z183,'AMP models AxeFxIII'!$D$2:$H$299,2,FALSE)</f>
        <v>Not Used</v>
      </c>
      <c r="R183" s="4">
        <v>179</v>
      </c>
      <c r="S183" s="46" t="s">
        <v>555</v>
      </c>
      <c r="T183" s="46" t="s">
        <v>555</v>
      </c>
      <c r="U183" s="46" t="s">
        <v>555</v>
      </c>
      <c r="V183" s="46" t="s">
        <v>555</v>
      </c>
      <c r="W183" s="46" t="s">
        <v>555</v>
      </c>
      <c r="X183" s="46" t="s">
        <v>555</v>
      </c>
      <c r="Y183" s="46" t="s">
        <v>555</v>
      </c>
      <c r="Z183" s="46" t="s">
        <v>555</v>
      </c>
    </row>
    <row r="184" spans="1:26">
      <c r="A184" s="41">
        <f>preset_Names!A184</f>
        <v>180</v>
      </c>
      <c r="B184" t="str">
        <f t="shared" si="7"/>
        <v xml:space="preserve">strcpy(AMP1_A,("Not Used")); strcpy(AMP1_B,("Not Used")); strcpy(AMP1_C,("Not Used")); strcpy(AMP1_D,("Not Used")); </v>
      </c>
      <c r="C184" t="str">
        <f t="shared" si="8"/>
        <v xml:space="preserve">strcpy(AMP2_A,("Not Used")); strcpy(AMP2_B,("Not Used")); strcpy(AMP2_C,("Not Used")); strcpy(AMP2_D,("Not Used")); </v>
      </c>
      <c r="D184" s="31" t="s">
        <v>893</v>
      </c>
      <c r="E184" s="42" t="str">
        <f t="shared" si="6"/>
        <v>case 180: strcpy(AMP1_A,("Not Used")); strcpy(AMP1_B,("Not Used")); strcpy(AMP1_C,("Not Used")); strcpy(AMP1_D,("Not Used")); strcpy(AMP2_A,("Not Used")); strcpy(AMP2_B,("Not Used")); strcpy(AMP2_C,("Not Used")); strcpy(AMP2_D,("Not Used"));  break;</v>
      </c>
      <c r="F184" t="s">
        <v>893</v>
      </c>
      <c r="I184" t="s">
        <v>893</v>
      </c>
      <c r="J184" s="45" t="str">
        <f>VLOOKUP(S184,'AMP models AxeFxIII'!$D$2:$H$299,2,FALSE)</f>
        <v>Not Used</v>
      </c>
      <c r="K184" s="45" t="str">
        <f>VLOOKUP(T184,'AMP models AxeFxIII'!$D$2:$H$299,2,FALSE)</f>
        <v>Not Used</v>
      </c>
      <c r="L184" s="45" t="str">
        <f>VLOOKUP(U184,'AMP models AxeFxIII'!$D$2:$H$299,2,FALSE)</f>
        <v>Not Used</v>
      </c>
      <c r="M184" s="45" t="str">
        <f>VLOOKUP(V184,'AMP models AxeFxIII'!$D$2:$H$299,2,FALSE)</f>
        <v>Not Used</v>
      </c>
      <c r="N184" s="45" t="str">
        <f>VLOOKUP(W184,'AMP models AxeFxIII'!$D$2:$H$299,2,FALSE)</f>
        <v>Not Used</v>
      </c>
      <c r="O184" s="45" t="str">
        <f>VLOOKUP(X184,'AMP models AxeFxIII'!$D$2:$H$299,2,FALSE)</f>
        <v>Not Used</v>
      </c>
      <c r="P184" s="45" t="str">
        <f>VLOOKUP(Y184,'AMP models AxeFxIII'!$D$2:$H$299,2,FALSE)</f>
        <v>Not Used</v>
      </c>
      <c r="Q184" s="45" t="str">
        <f>VLOOKUP(Z184,'AMP models AxeFxIII'!$D$2:$H$299,2,FALSE)</f>
        <v>Not Used</v>
      </c>
      <c r="R184" s="4">
        <v>180</v>
      </c>
      <c r="S184" s="46" t="s">
        <v>555</v>
      </c>
      <c r="T184" s="46" t="s">
        <v>555</v>
      </c>
      <c r="U184" s="46" t="s">
        <v>555</v>
      </c>
      <c r="V184" s="46" t="s">
        <v>555</v>
      </c>
      <c r="W184" s="46" t="s">
        <v>555</v>
      </c>
      <c r="X184" s="46" t="s">
        <v>555</v>
      </c>
      <c r="Y184" s="46" t="s">
        <v>555</v>
      </c>
      <c r="Z184" s="46" t="s">
        <v>555</v>
      </c>
    </row>
    <row r="185" spans="1:26">
      <c r="A185" s="41">
        <f>preset_Names!A185</f>
        <v>181</v>
      </c>
      <c r="B185" t="str">
        <f t="shared" si="7"/>
        <v xml:space="preserve">strcpy(AMP1_A,("Not Used")); strcpy(AMP1_B,("Not Used")); strcpy(AMP1_C,("Not Used")); strcpy(AMP1_D,("Not Used")); </v>
      </c>
      <c r="C185" t="str">
        <f t="shared" si="8"/>
        <v xml:space="preserve">strcpy(AMP2_A,("Not Used")); strcpy(AMP2_B,("Not Used")); strcpy(AMP2_C,("Not Used")); strcpy(AMP2_D,("Not Used")); </v>
      </c>
      <c r="D185" s="31" t="s">
        <v>893</v>
      </c>
      <c r="E185" s="42" t="str">
        <f t="shared" si="6"/>
        <v>case 181: strcpy(AMP1_A,("Not Used")); strcpy(AMP1_B,("Not Used")); strcpy(AMP1_C,("Not Used")); strcpy(AMP1_D,("Not Used")); strcpy(AMP2_A,("Not Used")); strcpy(AMP2_B,("Not Used")); strcpy(AMP2_C,("Not Used")); strcpy(AMP2_D,("Not Used"));  break;</v>
      </c>
      <c r="F185" t="s">
        <v>893</v>
      </c>
      <c r="I185" t="s">
        <v>893</v>
      </c>
      <c r="J185" s="45" t="str">
        <f>VLOOKUP(S185,'AMP models AxeFxIII'!$D$2:$H$299,2,FALSE)</f>
        <v>Not Used</v>
      </c>
      <c r="K185" s="45" t="str">
        <f>VLOOKUP(T185,'AMP models AxeFxIII'!$D$2:$H$299,2,FALSE)</f>
        <v>Not Used</v>
      </c>
      <c r="L185" s="45" t="str">
        <f>VLOOKUP(U185,'AMP models AxeFxIII'!$D$2:$H$299,2,FALSE)</f>
        <v>Not Used</v>
      </c>
      <c r="M185" s="45" t="str">
        <f>VLOOKUP(V185,'AMP models AxeFxIII'!$D$2:$H$299,2,FALSE)</f>
        <v>Not Used</v>
      </c>
      <c r="N185" s="45" t="str">
        <f>VLOOKUP(W185,'AMP models AxeFxIII'!$D$2:$H$299,2,FALSE)</f>
        <v>Not Used</v>
      </c>
      <c r="O185" s="45" t="str">
        <f>VLOOKUP(X185,'AMP models AxeFxIII'!$D$2:$H$299,2,FALSE)</f>
        <v>Not Used</v>
      </c>
      <c r="P185" s="45" t="str">
        <f>VLOOKUP(Y185,'AMP models AxeFxIII'!$D$2:$H$299,2,FALSE)</f>
        <v>Not Used</v>
      </c>
      <c r="Q185" s="45" t="str">
        <f>VLOOKUP(Z185,'AMP models AxeFxIII'!$D$2:$H$299,2,FALSE)</f>
        <v>Not Used</v>
      </c>
      <c r="R185" s="4">
        <v>181</v>
      </c>
      <c r="S185" s="46" t="s">
        <v>555</v>
      </c>
      <c r="T185" s="46" t="s">
        <v>555</v>
      </c>
      <c r="U185" s="46" t="s">
        <v>555</v>
      </c>
      <c r="V185" s="46" t="s">
        <v>555</v>
      </c>
      <c r="W185" s="46" t="s">
        <v>555</v>
      </c>
      <c r="X185" s="46" t="s">
        <v>555</v>
      </c>
      <c r="Y185" s="46" t="s">
        <v>555</v>
      </c>
      <c r="Z185" s="46" t="s">
        <v>555</v>
      </c>
    </row>
    <row r="186" spans="1:26">
      <c r="A186" s="41">
        <f>preset_Names!A186</f>
        <v>182</v>
      </c>
      <c r="B186" t="str">
        <f t="shared" si="7"/>
        <v xml:space="preserve">strcpy(AMP1_A,("Not Used")); strcpy(AMP1_B,("Not Used")); strcpy(AMP1_C,("Not Used")); strcpy(AMP1_D,("Not Used")); </v>
      </c>
      <c r="C186" t="str">
        <f t="shared" si="8"/>
        <v xml:space="preserve">strcpy(AMP2_A,("Not Used")); strcpy(AMP2_B,("Not Used")); strcpy(AMP2_C,("Not Used")); strcpy(AMP2_D,("Not Used")); </v>
      </c>
      <c r="D186" s="31" t="s">
        <v>893</v>
      </c>
      <c r="E186" s="42" t="str">
        <f t="shared" si="6"/>
        <v>case 182: strcpy(AMP1_A,("Not Used")); strcpy(AMP1_B,("Not Used")); strcpy(AMP1_C,("Not Used")); strcpy(AMP1_D,("Not Used")); strcpy(AMP2_A,("Not Used")); strcpy(AMP2_B,("Not Used")); strcpy(AMP2_C,("Not Used")); strcpy(AMP2_D,("Not Used"));  break;</v>
      </c>
      <c r="F186" t="s">
        <v>893</v>
      </c>
      <c r="I186" t="s">
        <v>893</v>
      </c>
      <c r="J186" s="45" t="str">
        <f>VLOOKUP(S186,'AMP models AxeFxIII'!$D$2:$H$299,2,FALSE)</f>
        <v>Not Used</v>
      </c>
      <c r="K186" s="45" t="str">
        <f>VLOOKUP(T186,'AMP models AxeFxIII'!$D$2:$H$299,2,FALSE)</f>
        <v>Not Used</v>
      </c>
      <c r="L186" s="45" t="str">
        <f>VLOOKUP(U186,'AMP models AxeFxIII'!$D$2:$H$299,2,FALSE)</f>
        <v>Not Used</v>
      </c>
      <c r="M186" s="45" t="str">
        <f>VLOOKUP(V186,'AMP models AxeFxIII'!$D$2:$H$299,2,FALSE)</f>
        <v>Not Used</v>
      </c>
      <c r="N186" s="45" t="str">
        <f>VLOOKUP(W186,'AMP models AxeFxIII'!$D$2:$H$299,2,FALSE)</f>
        <v>Not Used</v>
      </c>
      <c r="O186" s="45" t="str">
        <f>VLOOKUP(X186,'AMP models AxeFxIII'!$D$2:$H$299,2,FALSE)</f>
        <v>Not Used</v>
      </c>
      <c r="P186" s="45" t="str">
        <f>VLOOKUP(Y186,'AMP models AxeFxIII'!$D$2:$H$299,2,FALSE)</f>
        <v>Not Used</v>
      </c>
      <c r="Q186" s="45" t="str">
        <f>VLOOKUP(Z186,'AMP models AxeFxIII'!$D$2:$H$299,2,FALSE)</f>
        <v>Not Used</v>
      </c>
      <c r="R186" s="4">
        <v>182</v>
      </c>
      <c r="S186" s="46" t="s">
        <v>555</v>
      </c>
      <c r="T186" s="46" t="s">
        <v>555</v>
      </c>
      <c r="U186" s="46" t="s">
        <v>555</v>
      </c>
      <c r="V186" s="46" t="s">
        <v>555</v>
      </c>
      <c r="W186" s="46" t="s">
        <v>555</v>
      </c>
      <c r="X186" s="46" t="s">
        <v>555</v>
      </c>
      <c r="Y186" s="46" t="s">
        <v>555</v>
      </c>
      <c r="Z186" s="46" t="s">
        <v>555</v>
      </c>
    </row>
    <row r="187" spans="1:26">
      <c r="A187" s="41">
        <f>preset_Names!A187</f>
        <v>183</v>
      </c>
      <c r="B187" t="str">
        <f t="shared" si="7"/>
        <v xml:space="preserve">strcpy(AMP1_A,("Not Used")); strcpy(AMP1_B,("Not Used")); strcpy(AMP1_C,("Not Used")); strcpy(AMP1_D,("Not Used")); </v>
      </c>
      <c r="C187" t="str">
        <f t="shared" si="8"/>
        <v xml:space="preserve">strcpy(AMP2_A,("Not Used")); strcpy(AMP2_B,("Not Used")); strcpy(AMP2_C,("Not Used")); strcpy(AMP2_D,("Not Used")); </v>
      </c>
      <c r="D187" s="31" t="s">
        <v>893</v>
      </c>
      <c r="E187" s="42" t="str">
        <f t="shared" si="6"/>
        <v>case 183: strcpy(AMP1_A,("Not Used")); strcpy(AMP1_B,("Not Used")); strcpy(AMP1_C,("Not Used")); strcpy(AMP1_D,("Not Used")); strcpy(AMP2_A,("Not Used")); strcpy(AMP2_B,("Not Used")); strcpy(AMP2_C,("Not Used")); strcpy(AMP2_D,("Not Used"));  break;</v>
      </c>
      <c r="F187" t="s">
        <v>893</v>
      </c>
      <c r="I187" t="s">
        <v>893</v>
      </c>
      <c r="J187" s="45" t="str">
        <f>VLOOKUP(S187,'AMP models AxeFxIII'!$D$2:$H$299,2,FALSE)</f>
        <v>Not Used</v>
      </c>
      <c r="K187" s="45" t="str">
        <f>VLOOKUP(T187,'AMP models AxeFxIII'!$D$2:$H$299,2,FALSE)</f>
        <v>Not Used</v>
      </c>
      <c r="L187" s="45" t="str">
        <f>VLOOKUP(U187,'AMP models AxeFxIII'!$D$2:$H$299,2,FALSE)</f>
        <v>Not Used</v>
      </c>
      <c r="M187" s="45" t="str">
        <f>VLOOKUP(V187,'AMP models AxeFxIII'!$D$2:$H$299,2,FALSE)</f>
        <v>Not Used</v>
      </c>
      <c r="N187" s="45" t="str">
        <f>VLOOKUP(W187,'AMP models AxeFxIII'!$D$2:$H$299,2,FALSE)</f>
        <v>Not Used</v>
      </c>
      <c r="O187" s="45" t="str">
        <f>VLOOKUP(X187,'AMP models AxeFxIII'!$D$2:$H$299,2,FALSE)</f>
        <v>Not Used</v>
      </c>
      <c r="P187" s="45" t="str">
        <f>VLOOKUP(Y187,'AMP models AxeFxIII'!$D$2:$H$299,2,FALSE)</f>
        <v>Not Used</v>
      </c>
      <c r="Q187" s="45" t="str">
        <f>VLOOKUP(Z187,'AMP models AxeFxIII'!$D$2:$H$299,2,FALSE)</f>
        <v>Not Used</v>
      </c>
      <c r="R187" s="4">
        <v>183</v>
      </c>
      <c r="S187" s="46" t="s">
        <v>555</v>
      </c>
      <c r="T187" s="46" t="s">
        <v>555</v>
      </c>
      <c r="U187" s="46" t="s">
        <v>555</v>
      </c>
      <c r="V187" s="46" t="s">
        <v>555</v>
      </c>
      <c r="W187" s="46" t="s">
        <v>555</v>
      </c>
      <c r="X187" s="46" t="s">
        <v>555</v>
      </c>
      <c r="Y187" s="46" t="s">
        <v>555</v>
      </c>
      <c r="Z187" s="46" t="s">
        <v>555</v>
      </c>
    </row>
    <row r="188" spans="1:26">
      <c r="A188" s="41">
        <f>preset_Names!A188</f>
        <v>184</v>
      </c>
      <c r="B188" t="str">
        <f t="shared" si="7"/>
        <v xml:space="preserve">strcpy(AMP1_A,("Not Used")); strcpy(AMP1_B,("Not Used")); strcpy(AMP1_C,("Not Used")); strcpy(AMP1_D,("Not Used")); </v>
      </c>
      <c r="C188" t="str">
        <f t="shared" si="8"/>
        <v xml:space="preserve">strcpy(AMP2_A,("Not Used")); strcpy(AMP2_B,("Not Used")); strcpy(AMP2_C,("Not Used")); strcpy(AMP2_D,("Not Used")); </v>
      </c>
      <c r="D188" s="31" t="s">
        <v>893</v>
      </c>
      <c r="E188" s="42" t="str">
        <f t="shared" si="6"/>
        <v>case 184: strcpy(AMP1_A,("Not Used")); strcpy(AMP1_B,("Not Used")); strcpy(AMP1_C,("Not Used")); strcpy(AMP1_D,("Not Used")); strcpy(AMP2_A,("Not Used")); strcpy(AMP2_B,("Not Used")); strcpy(AMP2_C,("Not Used")); strcpy(AMP2_D,("Not Used"));  break;</v>
      </c>
      <c r="F188" t="s">
        <v>893</v>
      </c>
      <c r="I188" t="s">
        <v>893</v>
      </c>
      <c r="J188" s="45" t="str">
        <f>VLOOKUP(S188,'AMP models AxeFxIII'!$D$2:$H$299,2,FALSE)</f>
        <v>Not Used</v>
      </c>
      <c r="K188" s="45" t="str">
        <f>VLOOKUP(T188,'AMP models AxeFxIII'!$D$2:$H$299,2,FALSE)</f>
        <v>Not Used</v>
      </c>
      <c r="L188" s="45" t="str">
        <f>VLOOKUP(U188,'AMP models AxeFxIII'!$D$2:$H$299,2,FALSE)</f>
        <v>Not Used</v>
      </c>
      <c r="M188" s="45" t="str">
        <f>VLOOKUP(V188,'AMP models AxeFxIII'!$D$2:$H$299,2,FALSE)</f>
        <v>Not Used</v>
      </c>
      <c r="N188" s="45" t="str">
        <f>VLOOKUP(W188,'AMP models AxeFxIII'!$D$2:$H$299,2,FALSE)</f>
        <v>Not Used</v>
      </c>
      <c r="O188" s="45" t="str">
        <f>VLOOKUP(X188,'AMP models AxeFxIII'!$D$2:$H$299,2,FALSE)</f>
        <v>Not Used</v>
      </c>
      <c r="P188" s="45" t="str">
        <f>VLOOKUP(Y188,'AMP models AxeFxIII'!$D$2:$H$299,2,FALSE)</f>
        <v>Not Used</v>
      </c>
      <c r="Q188" s="45" t="str">
        <f>VLOOKUP(Z188,'AMP models AxeFxIII'!$D$2:$H$299,2,FALSE)</f>
        <v>Not Used</v>
      </c>
      <c r="R188" s="4">
        <v>184</v>
      </c>
      <c r="S188" s="46" t="s">
        <v>555</v>
      </c>
      <c r="T188" s="46" t="s">
        <v>555</v>
      </c>
      <c r="U188" s="46" t="s">
        <v>555</v>
      </c>
      <c r="V188" s="46" t="s">
        <v>555</v>
      </c>
      <c r="W188" s="46" t="s">
        <v>555</v>
      </c>
      <c r="X188" s="46" t="s">
        <v>555</v>
      </c>
      <c r="Y188" s="46" t="s">
        <v>555</v>
      </c>
      <c r="Z188" s="46" t="s">
        <v>555</v>
      </c>
    </row>
    <row r="189" spans="1:26">
      <c r="A189" s="41">
        <f>preset_Names!A189</f>
        <v>185</v>
      </c>
      <c r="B189" t="str">
        <f t="shared" si="7"/>
        <v xml:space="preserve">strcpy(AMP1_A,("Not Used")); strcpy(AMP1_B,("Not Used")); strcpy(AMP1_C,("Not Used")); strcpy(AMP1_D,("Not Used")); </v>
      </c>
      <c r="C189" t="str">
        <f t="shared" si="8"/>
        <v xml:space="preserve">strcpy(AMP2_A,("Not Used")); strcpy(AMP2_B,("Not Used")); strcpy(AMP2_C,("Not Used")); strcpy(AMP2_D,("Not Used")); </v>
      </c>
      <c r="D189" s="31" t="s">
        <v>893</v>
      </c>
      <c r="E189" s="42" t="str">
        <f t="shared" si="6"/>
        <v>case 185: strcpy(AMP1_A,("Not Used")); strcpy(AMP1_B,("Not Used")); strcpy(AMP1_C,("Not Used")); strcpy(AMP1_D,("Not Used")); strcpy(AMP2_A,("Not Used")); strcpy(AMP2_B,("Not Used")); strcpy(AMP2_C,("Not Used")); strcpy(AMP2_D,("Not Used"));  break;</v>
      </c>
      <c r="F189" t="s">
        <v>893</v>
      </c>
      <c r="I189" t="s">
        <v>893</v>
      </c>
      <c r="J189" s="45" t="str">
        <f>VLOOKUP(S189,'AMP models AxeFxIII'!$D$2:$H$299,2,FALSE)</f>
        <v>Not Used</v>
      </c>
      <c r="K189" s="45" t="str">
        <f>VLOOKUP(T189,'AMP models AxeFxIII'!$D$2:$H$299,2,FALSE)</f>
        <v>Not Used</v>
      </c>
      <c r="L189" s="45" t="str">
        <f>VLOOKUP(U189,'AMP models AxeFxIII'!$D$2:$H$299,2,FALSE)</f>
        <v>Not Used</v>
      </c>
      <c r="M189" s="45" t="str">
        <f>VLOOKUP(V189,'AMP models AxeFxIII'!$D$2:$H$299,2,FALSE)</f>
        <v>Not Used</v>
      </c>
      <c r="N189" s="45" t="str">
        <f>VLOOKUP(W189,'AMP models AxeFxIII'!$D$2:$H$299,2,FALSE)</f>
        <v>Not Used</v>
      </c>
      <c r="O189" s="45" t="str">
        <f>VLOOKUP(X189,'AMP models AxeFxIII'!$D$2:$H$299,2,FALSE)</f>
        <v>Not Used</v>
      </c>
      <c r="P189" s="45" t="str">
        <f>VLOOKUP(Y189,'AMP models AxeFxIII'!$D$2:$H$299,2,FALSE)</f>
        <v>Not Used</v>
      </c>
      <c r="Q189" s="45" t="str">
        <f>VLOOKUP(Z189,'AMP models AxeFxIII'!$D$2:$H$299,2,FALSE)</f>
        <v>Not Used</v>
      </c>
      <c r="R189" s="4">
        <v>185</v>
      </c>
      <c r="S189" s="46" t="s">
        <v>555</v>
      </c>
      <c r="T189" s="46" t="s">
        <v>555</v>
      </c>
      <c r="U189" s="46" t="s">
        <v>555</v>
      </c>
      <c r="V189" s="46" t="s">
        <v>555</v>
      </c>
      <c r="W189" s="46" t="s">
        <v>555</v>
      </c>
      <c r="X189" s="46" t="s">
        <v>555</v>
      </c>
      <c r="Y189" s="46" t="s">
        <v>555</v>
      </c>
      <c r="Z189" s="46" t="s">
        <v>555</v>
      </c>
    </row>
    <row r="190" spans="1:26">
      <c r="A190" s="41">
        <f>preset_Names!A190</f>
        <v>186</v>
      </c>
      <c r="B190" t="str">
        <f t="shared" si="7"/>
        <v xml:space="preserve">strcpy(AMP1_A,("Not Used")); strcpy(AMP1_B,("Not Used")); strcpy(AMP1_C,("Not Used")); strcpy(AMP1_D,("Not Used")); </v>
      </c>
      <c r="C190" t="str">
        <f t="shared" si="8"/>
        <v xml:space="preserve">strcpy(AMP2_A,("Not Used")); strcpy(AMP2_B,("Not Used")); strcpy(AMP2_C,("Not Used")); strcpy(AMP2_D,("Not Used")); </v>
      </c>
      <c r="D190" s="31" t="s">
        <v>893</v>
      </c>
      <c r="E190" s="42" t="str">
        <f t="shared" si="6"/>
        <v>case 186: strcpy(AMP1_A,("Not Used")); strcpy(AMP1_B,("Not Used")); strcpy(AMP1_C,("Not Used")); strcpy(AMP1_D,("Not Used")); strcpy(AMP2_A,("Not Used")); strcpy(AMP2_B,("Not Used")); strcpy(AMP2_C,("Not Used")); strcpy(AMP2_D,("Not Used"));  break;</v>
      </c>
      <c r="F190" t="s">
        <v>893</v>
      </c>
      <c r="I190" t="s">
        <v>893</v>
      </c>
      <c r="J190" s="45" t="str">
        <f>VLOOKUP(S190,'AMP models AxeFxIII'!$D$2:$H$299,2,FALSE)</f>
        <v>Not Used</v>
      </c>
      <c r="K190" s="45" t="str">
        <f>VLOOKUP(T190,'AMP models AxeFxIII'!$D$2:$H$299,2,FALSE)</f>
        <v>Not Used</v>
      </c>
      <c r="L190" s="45" t="str">
        <f>VLOOKUP(U190,'AMP models AxeFxIII'!$D$2:$H$299,2,FALSE)</f>
        <v>Not Used</v>
      </c>
      <c r="M190" s="45" t="str">
        <f>VLOOKUP(V190,'AMP models AxeFxIII'!$D$2:$H$299,2,FALSE)</f>
        <v>Not Used</v>
      </c>
      <c r="N190" s="45" t="str">
        <f>VLOOKUP(W190,'AMP models AxeFxIII'!$D$2:$H$299,2,FALSE)</f>
        <v>Not Used</v>
      </c>
      <c r="O190" s="45" t="str">
        <f>VLOOKUP(X190,'AMP models AxeFxIII'!$D$2:$H$299,2,FALSE)</f>
        <v>Not Used</v>
      </c>
      <c r="P190" s="45" t="str">
        <f>VLOOKUP(Y190,'AMP models AxeFxIII'!$D$2:$H$299,2,FALSE)</f>
        <v>Not Used</v>
      </c>
      <c r="Q190" s="45" t="str">
        <f>VLOOKUP(Z190,'AMP models AxeFxIII'!$D$2:$H$299,2,FALSE)</f>
        <v>Not Used</v>
      </c>
      <c r="R190" s="4">
        <v>186</v>
      </c>
      <c r="S190" s="46" t="s">
        <v>555</v>
      </c>
      <c r="T190" s="46" t="s">
        <v>555</v>
      </c>
      <c r="U190" s="46" t="s">
        <v>555</v>
      </c>
      <c r="V190" s="46" t="s">
        <v>555</v>
      </c>
      <c r="W190" s="46" t="s">
        <v>555</v>
      </c>
      <c r="X190" s="46" t="s">
        <v>555</v>
      </c>
      <c r="Y190" s="46" t="s">
        <v>555</v>
      </c>
      <c r="Z190" s="46" t="s">
        <v>555</v>
      </c>
    </row>
    <row r="191" spans="1:26">
      <c r="A191" s="41">
        <f>preset_Names!A191</f>
        <v>187</v>
      </c>
      <c r="B191" t="str">
        <f t="shared" si="7"/>
        <v xml:space="preserve">strcpy(AMP1_A,("Not Used")); strcpy(AMP1_B,("Not Used")); strcpy(AMP1_C,("Not Used")); strcpy(AMP1_D,("Not Used")); </v>
      </c>
      <c r="C191" t="str">
        <f t="shared" si="8"/>
        <v xml:space="preserve">strcpy(AMP2_A,("Not Used")); strcpy(AMP2_B,("Not Used")); strcpy(AMP2_C,("Not Used")); strcpy(AMP2_D,("Not Used")); </v>
      </c>
      <c r="D191" s="31" t="s">
        <v>893</v>
      </c>
      <c r="E191" s="42" t="str">
        <f t="shared" si="6"/>
        <v>case 187: strcpy(AMP1_A,("Not Used")); strcpy(AMP1_B,("Not Used")); strcpy(AMP1_C,("Not Used")); strcpy(AMP1_D,("Not Used")); strcpy(AMP2_A,("Not Used")); strcpy(AMP2_B,("Not Used")); strcpy(AMP2_C,("Not Used")); strcpy(AMP2_D,("Not Used"));  break;</v>
      </c>
      <c r="F191" t="s">
        <v>893</v>
      </c>
      <c r="I191" t="s">
        <v>893</v>
      </c>
      <c r="J191" s="45" t="str">
        <f>VLOOKUP(S191,'AMP models AxeFxIII'!$D$2:$H$299,2,FALSE)</f>
        <v>Not Used</v>
      </c>
      <c r="K191" s="45" t="str">
        <f>VLOOKUP(T191,'AMP models AxeFxIII'!$D$2:$H$299,2,FALSE)</f>
        <v>Not Used</v>
      </c>
      <c r="L191" s="45" t="str">
        <f>VLOOKUP(U191,'AMP models AxeFxIII'!$D$2:$H$299,2,FALSE)</f>
        <v>Not Used</v>
      </c>
      <c r="M191" s="45" t="str">
        <f>VLOOKUP(V191,'AMP models AxeFxIII'!$D$2:$H$299,2,FALSE)</f>
        <v>Not Used</v>
      </c>
      <c r="N191" s="45" t="str">
        <f>VLOOKUP(W191,'AMP models AxeFxIII'!$D$2:$H$299,2,FALSE)</f>
        <v>Not Used</v>
      </c>
      <c r="O191" s="45" t="str">
        <f>VLOOKUP(X191,'AMP models AxeFxIII'!$D$2:$H$299,2,FALSE)</f>
        <v>Not Used</v>
      </c>
      <c r="P191" s="45" t="str">
        <f>VLOOKUP(Y191,'AMP models AxeFxIII'!$D$2:$H$299,2,FALSE)</f>
        <v>Not Used</v>
      </c>
      <c r="Q191" s="45" t="str">
        <f>VLOOKUP(Z191,'AMP models AxeFxIII'!$D$2:$H$299,2,FALSE)</f>
        <v>Not Used</v>
      </c>
      <c r="R191" s="4">
        <v>187</v>
      </c>
      <c r="S191" s="46" t="s">
        <v>555</v>
      </c>
      <c r="T191" s="46" t="s">
        <v>555</v>
      </c>
      <c r="U191" s="46" t="s">
        <v>555</v>
      </c>
      <c r="V191" s="46" t="s">
        <v>555</v>
      </c>
      <c r="W191" s="46" t="s">
        <v>555</v>
      </c>
      <c r="X191" s="46" t="s">
        <v>555</v>
      </c>
      <c r="Y191" s="46" t="s">
        <v>555</v>
      </c>
      <c r="Z191" s="46" t="s">
        <v>555</v>
      </c>
    </row>
    <row r="192" spans="1:26">
      <c r="A192" s="41">
        <f>preset_Names!A192</f>
        <v>188</v>
      </c>
      <c r="B192" t="str">
        <f t="shared" si="7"/>
        <v xml:space="preserve">strcpy(AMP1_A,("Not Used")); strcpy(AMP1_B,("Not Used")); strcpy(AMP1_C,("Not Used")); strcpy(AMP1_D,("Not Used")); </v>
      </c>
      <c r="C192" t="str">
        <f t="shared" si="8"/>
        <v xml:space="preserve">strcpy(AMP2_A,("Not Used")); strcpy(AMP2_B,("Not Used")); strcpy(AMP2_C,("Not Used")); strcpy(AMP2_D,("Not Used")); </v>
      </c>
      <c r="D192" s="31" t="s">
        <v>893</v>
      </c>
      <c r="E192" s="42" t="str">
        <f t="shared" si="6"/>
        <v>case 188: strcpy(AMP1_A,("Not Used")); strcpy(AMP1_B,("Not Used")); strcpy(AMP1_C,("Not Used")); strcpy(AMP1_D,("Not Used")); strcpy(AMP2_A,("Not Used")); strcpy(AMP2_B,("Not Used")); strcpy(AMP2_C,("Not Used")); strcpy(AMP2_D,("Not Used"));  break;</v>
      </c>
      <c r="F192" t="s">
        <v>893</v>
      </c>
      <c r="I192" t="s">
        <v>893</v>
      </c>
      <c r="J192" s="45" t="str">
        <f>VLOOKUP(S192,'AMP models AxeFxIII'!$D$2:$H$299,2,FALSE)</f>
        <v>Not Used</v>
      </c>
      <c r="K192" s="45" t="str">
        <f>VLOOKUP(T192,'AMP models AxeFxIII'!$D$2:$H$299,2,FALSE)</f>
        <v>Not Used</v>
      </c>
      <c r="L192" s="45" t="str">
        <f>VLOOKUP(U192,'AMP models AxeFxIII'!$D$2:$H$299,2,FALSE)</f>
        <v>Not Used</v>
      </c>
      <c r="M192" s="45" t="str">
        <f>VLOOKUP(V192,'AMP models AxeFxIII'!$D$2:$H$299,2,FALSE)</f>
        <v>Not Used</v>
      </c>
      <c r="N192" s="45" t="str">
        <f>VLOOKUP(W192,'AMP models AxeFxIII'!$D$2:$H$299,2,FALSE)</f>
        <v>Not Used</v>
      </c>
      <c r="O192" s="45" t="str">
        <f>VLOOKUP(X192,'AMP models AxeFxIII'!$D$2:$H$299,2,FALSE)</f>
        <v>Not Used</v>
      </c>
      <c r="P192" s="45" t="str">
        <f>VLOOKUP(Y192,'AMP models AxeFxIII'!$D$2:$H$299,2,FALSE)</f>
        <v>Not Used</v>
      </c>
      <c r="Q192" s="45" t="str">
        <f>VLOOKUP(Z192,'AMP models AxeFxIII'!$D$2:$H$299,2,FALSE)</f>
        <v>Not Used</v>
      </c>
      <c r="R192" s="4">
        <v>188</v>
      </c>
      <c r="S192" s="46" t="s">
        <v>555</v>
      </c>
      <c r="T192" s="46" t="s">
        <v>555</v>
      </c>
      <c r="U192" s="46" t="s">
        <v>555</v>
      </c>
      <c r="V192" s="46" t="s">
        <v>555</v>
      </c>
      <c r="W192" s="46" t="s">
        <v>555</v>
      </c>
      <c r="X192" s="46" t="s">
        <v>555</v>
      </c>
      <c r="Y192" s="46" t="s">
        <v>555</v>
      </c>
      <c r="Z192" s="46" t="s">
        <v>555</v>
      </c>
    </row>
    <row r="193" spans="1:26">
      <c r="A193" s="41">
        <f>preset_Names!A193</f>
        <v>189</v>
      </c>
      <c r="B193" t="str">
        <f t="shared" si="7"/>
        <v xml:space="preserve">strcpy(AMP1_A,("Not Used")); strcpy(AMP1_B,("Not Used")); strcpy(AMP1_C,("Not Used")); strcpy(AMP1_D,("Not Used")); </v>
      </c>
      <c r="C193" t="str">
        <f t="shared" si="8"/>
        <v xml:space="preserve">strcpy(AMP2_A,("Not Used")); strcpy(AMP2_B,("Not Used")); strcpy(AMP2_C,("Not Used")); strcpy(AMP2_D,("Not Used")); </v>
      </c>
      <c r="D193" s="31" t="s">
        <v>893</v>
      </c>
      <c r="E193" s="42" t="str">
        <f t="shared" si="6"/>
        <v>case 189: strcpy(AMP1_A,("Not Used")); strcpy(AMP1_B,("Not Used")); strcpy(AMP1_C,("Not Used")); strcpy(AMP1_D,("Not Used")); strcpy(AMP2_A,("Not Used")); strcpy(AMP2_B,("Not Used")); strcpy(AMP2_C,("Not Used")); strcpy(AMP2_D,("Not Used"));  break;</v>
      </c>
      <c r="F193" t="s">
        <v>893</v>
      </c>
      <c r="I193" t="s">
        <v>893</v>
      </c>
      <c r="J193" s="45" t="str">
        <f>VLOOKUP(S193,'AMP models AxeFxIII'!$D$2:$H$299,2,FALSE)</f>
        <v>Not Used</v>
      </c>
      <c r="K193" s="45" t="str">
        <f>VLOOKUP(T193,'AMP models AxeFxIII'!$D$2:$H$299,2,FALSE)</f>
        <v>Not Used</v>
      </c>
      <c r="L193" s="45" t="str">
        <f>VLOOKUP(U193,'AMP models AxeFxIII'!$D$2:$H$299,2,FALSE)</f>
        <v>Not Used</v>
      </c>
      <c r="M193" s="45" t="str">
        <f>VLOOKUP(V193,'AMP models AxeFxIII'!$D$2:$H$299,2,FALSE)</f>
        <v>Not Used</v>
      </c>
      <c r="N193" s="45" t="str">
        <f>VLOOKUP(W193,'AMP models AxeFxIII'!$D$2:$H$299,2,FALSE)</f>
        <v>Not Used</v>
      </c>
      <c r="O193" s="45" t="str">
        <f>VLOOKUP(X193,'AMP models AxeFxIII'!$D$2:$H$299,2,FALSE)</f>
        <v>Not Used</v>
      </c>
      <c r="P193" s="45" t="str">
        <f>VLOOKUP(Y193,'AMP models AxeFxIII'!$D$2:$H$299,2,FALSE)</f>
        <v>Not Used</v>
      </c>
      <c r="Q193" s="45" t="str">
        <f>VLOOKUP(Z193,'AMP models AxeFxIII'!$D$2:$H$299,2,FALSE)</f>
        <v>Not Used</v>
      </c>
      <c r="R193" s="4">
        <v>189</v>
      </c>
      <c r="S193" s="46" t="s">
        <v>555</v>
      </c>
      <c r="T193" s="46" t="s">
        <v>555</v>
      </c>
      <c r="U193" s="46" t="s">
        <v>555</v>
      </c>
      <c r="V193" s="46" t="s">
        <v>555</v>
      </c>
      <c r="W193" s="46" t="s">
        <v>555</v>
      </c>
      <c r="X193" s="46" t="s">
        <v>555</v>
      </c>
      <c r="Y193" s="46" t="s">
        <v>555</v>
      </c>
      <c r="Z193" s="46" t="s">
        <v>555</v>
      </c>
    </row>
    <row r="194" spans="1:26">
      <c r="A194" s="41">
        <f>preset_Names!A194</f>
        <v>190</v>
      </c>
      <c r="B194" t="str">
        <f t="shared" si="7"/>
        <v xml:space="preserve">strcpy(AMP1_A,("Not Used")); strcpy(AMP1_B,("Not Used")); strcpy(AMP1_C,("Not Used")); strcpy(AMP1_D,("Not Used")); </v>
      </c>
      <c r="C194" t="str">
        <f t="shared" si="8"/>
        <v xml:space="preserve">strcpy(AMP2_A,("Not Used")); strcpy(AMP2_B,("Not Used")); strcpy(AMP2_C,("Not Used")); strcpy(AMP2_D,("Not Used")); </v>
      </c>
      <c r="D194" s="31" t="s">
        <v>893</v>
      </c>
      <c r="E194" s="42" t="str">
        <f t="shared" si="6"/>
        <v>case 190: strcpy(AMP1_A,("Not Used")); strcpy(AMP1_B,("Not Used")); strcpy(AMP1_C,("Not Used")); strcpy(AMP1_D,("Not Used")); strcpy(AMP2_A,("Not Used")); strcpy(AMP2_B,("Not Used")); strcpy(AMP2_C,("Not Used")); strcpy(AMP2_D,("Not Used"));  break;</v>
      </c>
      <c r="F194" t="s">
        <v>893</v>
      </c>
      <c r="I194" t="s">
        <v>893</v>
      </c>
      <c r="J194" s="45" t="str">
        <f>VLOOKUP(S194,'AMP models AxeFxIII'!$D$2:$H$299,2,FALSE)</f>
        <v>Not Used</v>
      </c>
      <c r="K194" s="45" t="str">
        <f>VLOOKUP(T194,'AMP models AxeFxIII'!$D$2:$H$299,2,FALSE)</f>
        <v>Not Used</v>
      </c>
      <c r="L194" s="45" t="str">
        <f>VLOOKUP(U194,'AMP models AxeFxIII'!$D$2:$H$299,2,FALSE)</f>
        <v>Not Used</v>
      </c>
      <c r="M194" s="45" t="str">
        <f>VLOOKUP(V194,'AMP models AxeFxIII'!$D$2:$H$299,2,FALSE)</f>
        <v>Not Used</v>
      </c>
      <c r="N194" s="45" t="str">
        <f>VLOOKUP(W194,'AMP models AxeFxIII'!$D$2:$H$299,2,FALSE)</f>
        <v>Not Used</v>
      </c>
      <c r="O194" s="45" t="str">
        <f>VLOOKUP(X194,'AMP models AxeFxIII'!$D$2:$H$299,2,FALSE)</f>
        <v>Not Used</v>
      </c>
      <c r="P194" s="45" t="str">
        <f>VLOOKUP(Y194,'AMP models AxeFxIII'!$D$2:$H$299,2,FALSE)</f>
        <v>Not Used</v>
      </c>
      <c r="Q194" s="45" t="str">
        <f>VLOOKUP(Z194,'AMP models AxeFxIII'!$D$2:$H$299,2,FALSE)</f>
        <v>Not Used</v>
      </c>
      <c r="R194" s="4">
        <v>190</v>
      </c>
      <c r="S194" s="46" t="s">
        <v>555</v>
      </c>
      <c r="T194" s="46" t="s">
        <v>555</v>
      </c>
      <c r="U194" s="46" t="s">
        <v>555</v>
      </c>
      <c r="V194" s="46" t="s">
        <v>555</v>
      </c>
      <c r="W194" s="46" t="s">
        <v>555</v>
      </c>
      <c r="X194" s="46" t="s">
        <v>555</v>
      </c>
      <c r="Y194" s="46" t="s">
        <v>555</v>
      </c>
      <c r="Z194" s="46" t="s">
        <v>555</v>
      </c>
    </row>
    <row r="195" spans="1:26">
      <c r="A195" s="41">
        <f>preset_Names!A195</f>
        <v>191</v>
      </c>
      <c r="B195" t="str">
        <f t="shared" si="7"/>
        <v xml:space="preserve">strcpy(AMP1_A,("Not Used")); strcpy(AMP1_B,("Not Used")); strcpy(AMP1_C,("Not Used")); strcpy(AMP1_D,("Not Used")); </v>
      </c>
      <c r="C195" t="str">
        <f t="shared" si="8"/>
        <v xml:space="preserve">strcpy(AMP2_A,("Not Used")); strcpy(AMP2_B,("Not Used")); strcpy(AMP2_C,("Not Used")); strcpy(AMP2_D,("Not Used")); </v>
      </c>
      <c r="D195" s="31" t="s">
        <v>893</v>
      </c>
      <c r="E195" s="42" t="str">
        <f t="shared" si="6"/>
        <v>case 191: strcpy(AMP1_A,("Not Used")); strcpy(AMP1_B,("Not Used")); strcpy(AMP1_C,("Not Used")); strcpy(AMP1_D,("Not Used")); strcpy(AMP2_A,("Not Used")); strcpy(AMP2_B,("Not Used")); strcpy(AMP2_C,("Not Used")); strcpy(AMP2_D,("Not Used"));  break;</v>
      </c>
      <c r="F195" t="s">
        <v>893</v>
      </c>
      <c r="I195" t="s">
        <v>893</v>
      </c>
      <c r="J195" s="45" t="str">
        <f>VLOOKUP(S195,'AMP models AxeFxIII'!$D$2:$H$299,2,FALSE)</f>
        <v>Not Used</v>
      </c>
      <c r="K195" s="45" t="str">
        <f>VLOOKUP(T195,'AMP models AxeFxIII'!$D$2:$H$299,2,FALSE)</f>
        <v>Not Used</v>
      </c>
      <c r="L195" s="45" t="str">
        <f>VLOOKUP(U195,'AMP models AxeFxIII'!$D$2:$H$299,2,FALSE)</f>
        <v>Not Used</v>
      </c>
      <c r="M195" s="45" t="str">
        <f>VLOOKUP(V195,'AMP models AxeFxIII'!$D$2:$H$299,2,FALSE)</f>
        <v>Not Used</v>
      </c>
      <c r="N195" s="45" t="str">
        <f>VLOOKUP(W195,'AMP models AxeFxIII'!$D$2:$H$299,2,FALSE)</f>
        <v>Not Used</v>
      </c>
      <c r="O195" s="45" t="str">
        <f>VLOOKUP(X195,'AMP models AxeFxIII'!$D$2:$H$299,2,FALSE)</f>
        <v>Not Used</v>
      </c>
      <c r="P195" s="45" t="str">
        <f>VLOOKUP(Y195,'AMP models AxeFxIII'!$D$2:$H$299,2,FALSE)</f>
        <v>Not Used</v>
      </c>
      <c r="Q195" s="45" t="str">
        <f>VLOOKUP(Z195,'AMP models AxeFxIII'!$D$2:$H$299,2,FALSE)</f>
        <v>Not Used</v>
      </c>
      <c r="R195" s="4">
        <v>191</v>
      </c>
      <c r="S195" s="46" t="s">
        <v>555</v>
      </c>
      <c r="T195" s="46" t="s">
        <v>555</v>
      </c>
      <c r="U195" s="46" t="s">
        <v>555</v>
      </c>
      <c r="V195" s="46" t="s">
        <v>555</v>
      </c>
      <c r="W195" s="46" t="s">
        <v>555</v>
      </c>
      <c r="X195" s="46" t="s">
        <v>555</v>
      </c>
      <c r="Y195" s="46" t="s">
        <v>555</v>
      </c>
      <c r="Z195" s="46" t="s">
        <v>555</v>
      </c>
    </row>
    <row r="196" spans="1:26">
      <c r="A196" s="41">
        <f>preset_Names!A196</f>
        <v>192</v>
      </c>
      <c r="B196" t="str">
        <f t="shared" si="7"/>
        <v xml:space="preserve">strcpy(AMP1_A,("Not Used")); strcpy(AMP1_B,("Not Used")); strcpy(AMP1_C,("Not Used")); strcpy(AMP1_D,("Not Used")); </v>
      </c>
      <c r="C196" t="str">
        <f t="shared" si="8"/>
        <v xml:space="preserve">strcpy(AMP2_A,("Not Used")); strcpy(AMP2_B,("Not Used")); strcpy(AMP2_C,("Not Used")); strcpy(AMP2_D,("Not Used")); </v>
      </c>
      <c r="D196" s="31" t="s">
        <v>893</v>
      </c>
      <c r="E196" s="42" t="str">
        <f t="shared" si="6"/>
        <v>case 192: strcpy(AMP1_A,("Not Used")); strcpy(AMP1_B,("Not Used")); strcpy(AMP1_C,("Not Used")); strcpy(AMP1_D,("Not Used")); strcpy(AMP2_A,("Not Used")); strcpy(AMP2_B,("Not Used")); strcpy(AMP2_C,("Not Used")); strcpy(AMP2_D,("Not Used"));  break;</v>
      </c>
      <c r="F196" t="s">
        <v>893</v>
      </c>
      <c r="I196" t="s">
        <v>893</v>
      </c>
      <c r="J196" s="45" t="str">
        <f>VLOOKUP(S196,'AMP models AxeFxIII'!$D$2:$H$299,2,FALSE)</f>
        <v>Not Used</v>
      </c>
      <c r="K196" s="45" t="str">
        <f>VLOOKUP(T196,'AMP models AxeFxIII'!$D$2:$H$299,2,FALSE)</f>
        <v>Not Used</v>
      </c>
      <c r="L196" s="45" t="str">
        <f>VLOOKUP(U196,'AMP models AxeFxIII'!$D$2:$H$299,2,FALSE)</f>
        <v>Not Used</v>
      </c>
      <c r="M196" s="45" t="str">
        <f>VLOOKUP(V196,'AMP models AxeFxIII'!$D$2:$H$299,2,FALSE)</f>
        <v>Not Used</v>
      </c>
      <c r="N196" s="45" t="str">
        <f>VLOOKUP(W196,'AMP models AxeFxIII'!$D$2:$H$299,2,FALSE)</f>
        <v>Not Used</v>
      </c>
      <c r="O196" s="45" t="str">
        <f>VLOOKUP(X196,'AMP models AxeFxIII'!$D$2:$H$299,2,FALSE)</f>
        <v>Not Used</v>
      </c>
      <c r="P196" s="45" t="str">
        <f>VLOOKUP(Y196,'AMP models AxeFxIII'!$D$2:$H$299,2,FALSE)</f>
        <v>Not Used</v>
      </c>
      <c r="Q196" s="45" t="str">
        <f>VLOOKUP(Z196,'AMP models AxeFxIII'!$D$2:$H$299,2,FALSE)</f>
        <v>Not Used</v>
      </c>
      <c r="R196" s="4">
        <v>192</v>
      </c>
      <c r="S196" s="46" t="s">
        <v>555</v>
      </c>
      <c r="T196" s="46" t="s">
        <v>555</v>
      </c>
      <c r="U196" s="46" t="s">
        <v>555</v>
      </c>
      <c r="V196" s="46" t="s">
        <v>555</v>
      </c>
      <c r="W196" s="46" t="s">
        <v>555</v>
      </c>
      <c r="X196" s="46" t="s">
        <v>555</v>
      </c>
      <c r="Y196" s="46" t="s">
        <v>555</v>
      </c>
      <c r="Z196" s="46" t="s">
        <v>555</v>
      </c>
    </row>
    <row r="197" spans="1:26">
      <c r="A197" s="41">
        <f>preset_Names!A197</f>
        <v>193</v>
      </c>
      <c r="B197" t="str">
        <f t="shared" si="7"/>
        <v xml:space="preserve">strcpy(AMP1_A,("Not Used")); strcpy(AMP1_B,("Not Used")); strcpy(AMP1_C,("Not Used")); strcpy(AMP1_D,("Not Used")); </v>
      </c>
      <c r="C197" t="str">
        <f t="shared" si="8"/>
        <v xml:space="preserve">strcpy(AMP2_A,("Not Used")); strcpy(AMP2_B,("Not Used")); strcpy(AMP2_C,("Not Used")); strcpy(AMP2_D,("Not Used")); </v>
      </c>
      <c r="D197" s="31" t="s">
        <v>893</v>
      </c>
      <c r="E197" s="42" t="str">
        <f t="shared" ref="E197:E260" si="9" xml:space="preserve"> "case " &amp; A197 &amp; ": " &amp; B197 &amp; C197 &amp; " break;"</f>
        <v>case 193: strcpy(AMP1_A,("Not Used")); strcpy(AMP1_B,("Not Used")); strcpy(AMP1_C,("Not Used")); strcpy(AMP1_D,("Not Used")); strcpy(AMP2_A,("Not Used")); strcpy(AMP2_B,("Not Used")); strcpy(AMP2_C,("Not Used")); strcpy(AMP2_D,("Not Used"));  break;</v>
      </c>
      <c r="F197" t="s">
        <v>893</v>
      </c>
      <c r="I197" t="s">
        <v>893</v>
      </c>
      <c r="J197" s="45" t="str">
        <f>VLOOKUP(S197,'AMP models AxeFxIII'!$D$2:$H$299,2,FALSE)</f>
        <v>Not Used</v>
      </c>
      <c r="K197" s="45" t="str">
        <f>VLOOKUP(T197,'AMP models AxeFxIII'!$D$2:$H$299,2,FALSE)</f>
        <v>Not Used</v>
      </c>
      <c r="L197" s="45" t="str">
        <f>VLOOKUP(U197,'AMP models AxeFxIII'!$D$2:$H$299,2,FALSE)</f>
        <v>Not Used</v>
      </c>
      <c r="M197" s="45" t="str">
        <f>VLOOKUP(V197,'AMP models AxeFxIII'!$D$2:$H$299,2,FALSE)</f>
        <v>Not Used</v>
      </c>
      <c r="N197" s="45" t="str">
        <f>VLOOKUP(W197,'AMP models AxeFxIII'!$D$2:$H$299,2,FALSE)</f>
        <v>Not Used</v>
      </c>
      <c r="O197" s="45" t="str">
        <f>VLOOKUP(X197,'AMP models AxeFxIII'!$D$2:$H$299,2,FALSE)</f>
        <v>Not Used</v>
      </c>
      <c r="P197" s="45" t="str">
        <f>VLOOKUP(Y197,'AMP models AxeFxIII'!$D$2:$H$299,2,FALSE)</f>
        <v>Not Used</v>
      </c>
      <c r="Q197" s="45" t="str">
        <f>VLOOKUP(Z197,'AMP models AxeFxIII'!$D$2:$H$299,2,FALSE)</f>
        <v>Not Used</v>
      </c>
      <c r="R197" s="4">
        <v>193</v>
      </c>
      <c r="S197" s="46" t="s">
        <v>555</v>
      </c>
      <c r="T197" s="46" t="s">
        <v>555</v>
      </c>
      <c r="U197" s="46" t="s">
        <v>555</v>
      </c>
      <c r="V197" s="46" t="s">
        <v>555</v>
      </c>
      <c r="W197" s="46" t="s">
        <v>555</v>
      </c>
      <c r="X197" s="46" t="s">
        <v>555</v>
      </c>
      <c r="Y197" s="46" t="s">
        <v>555</v>
      </c>
      <c r="Z197" s="46" t="s">
        <v>555</v>
      </c>
    </row>
    <row r="198" spans="1:26">
      <c r="A198" s="41">
        <f>preset_Names!A198</f>
        <v>194</v>
      </c>
      <c r="B198" t="str">
        <f t="shared" ref="B198:B261" si="10">$F$4&amp;$J$3&amp;$G$4&amp;J198&amp;$H$4&amp;$F$4&amp;$K$3&amp;$G$4&amp;K198&amp;$H$4&amp;$F$4&amp;$L$3&amp;$G$4&amp;L198&amp;$H$4&amp;$F$4&amp;$M$3&amp;$G$4&amp;M198&amp;$H$4</f>
        <v xml:space="preserve">strcpy(AMP1_A,("Not Used")); strcpy(AMP1_B,("Not Used")); strcpy(AMP1_C,("Not Used")); strcpy(AMP1_D,("Not Used")); </v>
      </c>
      <c r="C198" t="str">
        <f t="shared" ref="C198:C261" si="11">$F$4&amp;$N$3&amp;$G$4&amp;N198&amp;$H$4&amp;$F$4&amp;$O$3&amp;$G$4&amp;O198&amp;$H$4&amp;$F$4&amp;$P$3&amp;$G$4&amp;P198&amp;$H$4&amp;$F$4&amp;$Q$3&amp;$G$4&amp;Q198&amp;$H$4</f>
        <v xml:space="preserve">strcpy(AMP2_A,("Not Used")); strcpy(AMP2_B,("Not Used")); strcpy(AMP2_C,("Not Used")); strcpy(AMP2_D,("Not Used")); </v>
      </c>
      <c r="D198" s="31" t="s">
        <v>893</v>
      </c>
      <c r="E198" s="42" t="str">
        <f t="shared" si="9"/>
        <v>case 194: strcpy(AMP1_A,("Not Used")); strcpy(AMP1_B,("Not Used")); strcpy(AMP1_C,("Not Used")); strcpy(AMP1_D,("Not Used")); strcpy(AMP2_A,("Not Used")); strcpy(AMP2_B,("Not Used")); strcpy(AMP2_C,("Not Used")); strcpy(AMP2_D,("Not Used"));  break;</v>
      </c>
      <c r="F198" t="s">
        <v>893</v>
      </c>
      <c r="I198" t="s">
        <v>893</v>
      </c>
      <c r="J198" s="45" t="str">
        <f>VLOOKUP(S198,'AMP models AxeFxIII'!$D$2:$H$299,2,FALSE)</f>
        <v>Not Used</v>
      </c>
      <c r="K198" s="45" t="str">
        <f>VLOOKUP(T198,'AMP models AxeFxIII'!$D$2:$H$299,2,FALSE)</f>
        <v>Not Used</v>
      </c>
      <c r="L198" s="45" t="str">
        <f>VLOOKUP(U198,'AMP models AxeFxIII'!$D$2:$H$299,2,FALSE)</f>
        <v>Not Used</v>
      </c>
      <c r="M198" s="45" t="str">
        <f>VLOOKUP(V198,'AMP models AxeFxIII'!$D$2:$H$299,2,FALSE)</f>
        <v>Not Used</v>
      </c>
      <c r="N198" s="45" t="str">
        <f>VLOOKUP(W198,'AMP models AxeFxIII'!$D$2:$H$299,2,FALSE)</f>
        <v>Not Used</v>
      </c>
      <c r="O198" s="45" t="str">
        <f>VLOOKUP(X198,'AMP models AxeFxIII'!$D$2:$H$299,2,FALSE)</f>
        <v>Not Used</v>
      </c>
      <c r="P198" s="45" t="str">
        <f>VLOOKUP(Y198,'AMP models AxeFxIII'!$D$2:$H$299,2,FALSE)</f>
        <v>Not Used</v>
      </c>
      <c r="Q198" s="45" t="str">
        <f>VLOOKUP(Z198,'AMP models AxeFxIII'!$D$2:$H$299,2,FALSE)</f>
        <v>Not Used</v>
      </c>
      <c r="R198" s="4">
        <v>194</v>
      </c>
      <c r="S198" s="46" t="s">
        <v>555</v>
      </c>
      <c r="T198" s="46" t="s">
        <v>555</v>
      </c>
      <c r="U198" s="46" t="s">
        <v>555</v>
      </c>
      <c r="V198" s="46" t="s">
        <v>555</v>
      </c>
      <c r="W198" s="46" t="s">
        <v>555</v>
      </c>
      <c r="X198" s="46" t="s">
        <v>555</v>
      </c>
      <c r="Y198" s="46" t="s">
        <v>555</v>
      </c>
      <c r="Z198" s="46" t="s">
        <v>555</v>
      </c>
    </row>
    <row r="199" spans="1:26">
      <c r="A199" s="41">
        <f>preset_Names!A199</f>
        <v>195</v>
      </c>
      <c r="B199" t="str">
        <f t="shared" si="10"/>
        <v xml:space="preserve">strcpy(AMP1_A,("Not Used")); strcpy(AMP1_B,("Not Used")); strcpy(AMP1_C,("Not Used")); strcpy(AMP1_D,("Not Used")); </v>
      </c>
      <c r="C199" t="str">
        <f t="shared" si="11"/>
        <v xml:space="preserve">strcpy(AMP2_A,("Not Used")); strcpy(AMP2_B,("Not Used")); strcpy(AMP2_C,("Not Used")); strcpy(AMP2_D,("Not Used")); </v>
      </c>
      <c r="D199" s="31" t="s">
        <v>893</v>
      </c>
      <c r="E199" s="42" t="str">
        <f t="shared" si="9"/>
        <v>case 195: strcpy(AMP1_A,("Not Used")); strcpy(AMP1_B,("Not Used")); strcpy(AMP1_C,("Not Used")); strcpy(AMP1_D,("Not Used")); strcpy(AMP2_A,("Not Used")); strcpy(AMP2_B,("Not Used")); strcpy(AMP2_C,("Not Used")); strcpy(AMP2_D,("Not Used"));  break;</v>
      </c>
      <c r="F199" t="s">
        <v>893</v>
      </c>
      <c r="I199" t="s">
        <v>893</v>
      </c>
      <c r="J199" s="45" t="str">
        <f>VLOOKUP(S199,'AMP models AxeFxIII'!$D$2:$H$299,2,FALSE)</f>
        <v>Not Used</v>
      </c>
      <c r="K199" s="45" t="str">
        <f>VLOOKUP(T199,'AMP models AxeFxIII'!$D$2:$H$299,2,FALSE)</f>
        <v>Not Used</v>
      </c>
      <c r="L199" s="45" t="str">
        <f>VLOOKUP(U199,'AMP models AxeFxIII'!$D$2:$H$299,2,FALSE)</f>
        <v>Not Used</v>
      </c>
      <c r="M199" s="45" t="str">
        <f>VLOOKUP(V199,'AMP models AxeFxIII'!$D$2:$H$299,2,FALSE)</f>
        <v>Not Used</v>
      </c>
      <c r="N199" s="45" t="str">
        <f>VLOOKUP(W199,'AMP models AxeFxIII'!$D$2:$H$299,2,FALSE)</f>
        <v>Not Used</v>
      </c>
      <c r="O199" s="45" t="str">
        <f>VLOOKUP(X199,'AMP models AxeFxIII'!$D$2:$H$299,2,FALSE)</f>
        <v>Not Used</v>
      </c>
      <c r="P199" s="45" t="str">
        <f>VLOOKUP(Y199,'AMP models AxeFxIII'!$D$2:$H$299,2,FALSE)</f>
        <v>Not Used</v>
      </c>
      <c r="Q199" s="45" t="str">
        <f>VLOOKUP(Z199,'AMP models AxeFxIII'!$D$2:$H$299,2,FALSE)</f>
        <v>Not Used</v>
      </c>
      <c r="R199" s="4">
        <v>195</v>
      </c>
      <c r="S199" s="46" t="s">
        <v>555</v>
      </c>
      <c r="T199" s="46" t="s">
        <v>555</v>
      </c>
      <c r="U199" s="46" t="s">
        <v>555</v>
      </c>
      <c r="V199" s="46" t="s">
        <v>555</v>
      </c>
      <c r="W199" s="46" t="s">
        <v>555</v>
      </c>
      <c r="X199" s="46" t="s">
        <v>555</v>
      </c>
      <c r="Y199" s="46" t="s">
        <v>555</v>
      </c>
      <c r="Z199" s="46" t="s">
        <v>555</v>
      </c>
    </row>
    <row r="200" spans="1:26">
      <c r="A200" s="41">
        <f>preset_Names!A200</f>
        <v>196</v>
      </c>
      <c r="B200" t="str">
        <f t="shared" si="10"/>
        <v xml:space="preserve">strcpy(AMP1_A,("Not Used")); strcpy(AMP1_B,("Not Used")); strcpy(AMP1_C,("Not Used")); strcpy(AMP1_D,("Not Used")); </v>
      </c>
      <c r="C200" t="str">
        <f t="shared" si="11"/>
        <v xml:space="preserve">strcpy(AMP2_A,("Not Used")); strcpy(AMP2_B,("Not Used")); strcpy(AMP2_C,("Not Used")); strcpy(AMP2_D,("Not Used")); </v>
      </c>
      <c r="D200" s="31" t="s">
        <v>893</v>
      </c>
      <c r="E200" s="42" t="str">
        <f t="shared" si="9"/>
        <v>case 196: strcpy(AMP1_A,("Not Used")); strcpy(AMP1_B,("Not Used")); strcpy(AMP1_C,("Not Used")); strcpy(AMP1_D,("Not Used")); strcpy(AMP2_A,("Not Used")); strcpy(AMP2_B,("Not Used")); strcpy(AMP2_C,("Not Used")); strcpy(AMP2_D,("Not Used"));  break;</v>
      </c>
      <c r="F200" t="s">
        <v>893</v>
      </c>
      <c r="I200" t="s">
        <v>893</v>
      </c>
      <c r="J200" s="45" t="str">
        <f>VLOOKUP(S200,'AMP models AxeFxIII'!$D$2:$H$299,2,FALSE)</f>
        <v>Not Used</v>
      </c>
      <c r="K200" s="45" t="str">
        <f>VLOOKUP(T200,'AMP models AxeFxIII'!$D$2:$H$299,2,FALSE)</f>
        <v>Not Used</v>
      </c>
      <c r="L200" s="45" t="str">
        <f>VLOOKUP(U200,'AMP models AxeFxIII'!$D$2:$H$299,2,FALSE)</f>
        <v>Not Used</v>
      </c>
      <c r="M200" s="45" t="str">
        <f>VLOOKUP(V200,'AMP models AxeFxIII'!$D$2:$H$299,2,FALSE)</f>
        <v>Not Used</v>
      </c>
      <c r="N200" s="45" t="str">
        <f>VLOOKUP(W200,'AMP models AxeFxIII'!$D$2:$H$299,2,FALSE)</f>
        <v>Not Used</v>
      </c>
      <c r="O200" s="45" t="str">
        <f>VLOOKUP(X200,'AMP models AxeFxIII'!$D$2:$H$299,2,FALSE)</f>
        <v>Not Used</v>
      </c>
      <c r="P200" s="45" t="str">
        <f>VLOOKUP(Y200,'AMP models AxeFxIII'!$D$2:$H$299,2,FALSE)</f>
        <v>Not Used</v>
      </c>
      <c r="Q200" s="45" t="str">
        <f>VLOOKUP(Z200,'AMP models AxeFxIII'!$D$2:$H$299,2,FALSE)</f>
        <v>Not Used</v>
      </c>
      <c r="R200" s="4">
        <v>196</v>
      </c>
      <c r="S200" s="46" t="s">
        <v>555</v>
      </c>
      <c r="T200" s="46" t="s">
        <v>555</v>
      </c>
      <c r="U200" s="46" t="s">
        <v>555</v>
      </c>
      <c r="V200" s="46" t="s">
        <v>555</v>
      </c>
      <c r="W200" s="46" t="s">
        <v>555</v>
      </c>
      <c r="X200" s="46" t="s">
        <v>555</v>
      </c>
      <c r="Y200" s="46" t="s">
        <v>555</v>
      </c>
      <c r="Z200" s="46" t="s">
        <v>555</v>
      </c>
    </row>
    <row r="201" spans="1:26">
      <c r="A201" s="41">
        <f>preset_Names!A201</f>
        <v>197</v>
      </c>
      <c r="B201" t="str">
        <f t="shared" si="10"/>
        <v xml:space="preserve">strcpy(AMP1_A,("Not Used")); strcpy(AMP1_B,("Not Used")); strcpy(AMP1_C,("Not Used")); strcpy(AMP1_D,("Not Used")); </v>
      </c>
      <c r="C201" t="str">
        <f t="shared" si="11"/>
        <v xml:space="preserve">strcpy(AMP2_A,("Not Used")); strcpy(AMP2_B,("Not Used")); strcpy(AMP2_C,("Not Used")); strcpy(AMP2_D,("Not Used")); </v>
      </c>
      <c r="D201" s="31" t="s">
        <v>893</v>
      </c>
      <c r="E201" s="42" t="str">
        <f t="shared" si="9"/>
        <v>case 197: strcpy(AMP1_A,("Not Used")); strcpy(AMP1_B,("Not Used")); strcpy(AMP1_C,("Not Used")); strcpy(AMP1_D,("Not Used")); strcpy(AMP2_A,("Not Used")); strcpy(AMP2_B,("Not Used")); strcpy(AMP2_C,("Not Used")); strcpy(AMP2_D,("Not Used"));  break;</v>
      </c>
      <c r="F201" t="s">
        <v>893</v>
      </c>
      <c r="I201" t="s">
        <v>893</v>
      </c>
      <c r="J201" s="45" t="str">
        <f>VLOOKUP(S201,'AMP models AxeFxIII'!$D$2:$H$299,2,FALSE)</f>
        <v>Not Used</v>
      </c>
      <c r="K201" s="45" t="str">
        <f>VLOOKUP(T201,'AMP models AxeFxIII'!$D$2:$H$299,2,FALSE)</f>
        <v>Not Used</v>
      </c>
      <c r="L201" s="45" t="str">
        <f>VLOOKUP(U201,'AMP models AxeFxIII'!$D$2:$H$299,2,FALSE)</f>
        <v>Not Used</v>
      </c>
      <c r="M201" s="45" t="str">
        <f>VLOOKUP(V201,'AMP models AxeFxIII'!$D$2:$H$299,2,FALSE)</f>
        <v>Not Used</v>
      </c>
      <c r="N201" s="45" t="str">
        <f>VLOOKUP(W201,'AMP models AxeFxIII'!$D$2:$H$299,2,FALSE)</f>
        <v>Not Used</v>
      </c>
      <c r="O201" s="45" t="str">
        <f>VLOOKUP(X201,'AMP models AxeFxIII'!$D$2:$H$299,2,FALSE)</f>
        <v>Not Used</v>
      </c>
      <c r="P201" s="45" t="str">
        <f>VLOOKUP(Y201,'AMP models AxeFxIII'!$D$2:$H$299,2,FALSE)</f>
        <v>Not Used</v>
      </c>
      <c r="Q201" s="45" t="str">
        <f>VLOOKUP(Z201,'AMP models AxeFxIII'!$D$2:$H$299,2,FALSE)</f>
        <v>Not Used</v>
      </c>
      <c r="R201" s="4">
        <v>197</v>
      </c>
      <c r="S201" s="46" t="s">
        <v>555</v>
      </c>
      <c r="T201" s="46" t="s">
        <v>555</v>
      </c>
      <c r="U201" s="46" t="s">
        <v>555</v>
      </c>
      <c r="V201" s="46" t="s">
        <v>555</v>
      </c>
      <c r="W201" s="46" t="s">
        <v>555</v>
      </c>
      <c r="X201" s="46" t="s">
        <v>555</v>
      </c>
      <c r="Y201" s="46" t="s">
        <v>555</v>
      </c>
      <c r="Z201" s="46" t="s">
        <v>555</v>
      </c>
    </row>
    <row r="202" spans="1:26">
      <c r="A202" s="41">
        <f>preset_Names!A202</f>
        <v>198</v>
      </c>
      <c r="B202" t="str">
        <f t="shared" si="10"/>
        <v xml:space="preserve">strcpy(AMP1_A,("Not Used")); strcpy(AMP1_B,("Not Used")); strcpy(AMP1_C,("Not Used")); strcpy(AMP1_D,("Not Used")); </v>
      </c>
      <c r="C202" t="str">
        <f t="shared" si="11"/>
        <v xml:space="preserve">strcpy(AMP2_A,("Not Used")); strcpy(AMP2_B,("Not Used")); strcpy(AMP2_C,("Not Used")); strcpy(AMP2_D,("Not Used")); </v>
      </c>
      <c r="D202" s="31" t="s">
        <v>893</v>
      </c>
      <c r="E202" s="42" t="str">
        <f t="shared" si="9"/>
        <v>case 198: strcpy(AMP1_A,("Not Used")); strcpy(AMP1_B,("Not Used")); strcpy(AMP1_C,("Not Used")); strcpy(AMP1_D,("Not Used")); strcpy(AMP2_A,("Not Used")); strcpy(AMP2_B,("Not Used")); strcpy(AMP2_C,("Not Used")); strcpy(AMP2_D,("Not Used"));  break;</v>
      </c>
      <c r="F202" t="s">
        <v>893</v>
      </c>
      <c r="I202" t="s">
        <v>893</v>
      </c>
      <c r="J202" s="45" t="str">
        <f>VLOOKUP(S202,'AMP models AxeFxIII'!$D$2:$H$299,2,FALSE)</f>
        <v>Not Used</v>
      </c>
      <c r="K202" s="45" t="str">
        <f>VLOOKUP(T202,'AMP models AxeFxIII'!$D$2:$H$299,2,FALSE)</f>
        <v>Not Used</v>
      </c>
      <c r="L202" s="45" t="str">
        <f>VLOOKUP(U202,'AMP models AxeFxIII'!$D$2:$H$299,2,FALSE)</f>
        <v>Not Used</v>
      </c>
      <c r="M202" s="45" t="str">
        <f>VLOOKUP(V202,'AMP models AxeFxIII'!$D$2:$H$299,2,FALSE)</f>
        <v>Not Used</v>
      </c>
      <c r="N202" s="45" t="str">
        <f>VLOOKUP(W202,'AMP models AxeFxIII'!$D$2:$H$299,2,FALSE)</f>
        <v>Not Used</v>
      </c>
      <c r="O202" s="45" t="str">
        <f>VLOOKUP(X202,'AMP models AxeFxIII'!$D$2:$H$299,2,FALSE)</f>
        <v>Not Used</v>
      </c>
      <c r="P202" s="45" t="str">
        <f>VLOOKUP(Y202,'AMP models AxeFxIII'!$D$2:$H$299,2,FALSE)</f>
        <v>Not Used</v>
      </c>
      <c r="Q202" s="45" t="str">
        <f>VLOOKUP(Z202,'AMP models AxeFxIII'!$D$2:$H$299,2,FALSE)</f>
        <v>Not Used</v>
      </c>
      <c r="R202" s="4">
        <v>198</v>
      </c>
      <c r="S202" s="46" t="s">
        <v>555</v>
      </c>
      <c r="T202" s="46" t="s">
        <v>555</v>
      </c>
      <c r="U202" s="46" t="s">
        <v>555</v>
      </c>
      <c r="V202" s="46" t="s">
        <v>555</v>
      </c>
      <c r="W202" s="46" t="s">
        <v>555</v>
      </c>
      <c r="X202" s="46" t="s">
        <v>555</v>
      </c>
      <c r="Y202" s="46" t="s">
        <v>555</v>
      </c>
      <c r="Z202" s="46" t="s">
        <v>555</v>
      </c>
    </row>
    <row r="203" spans="1:26">
      <c r="A203" s="41">
        <f>preset_Names!A203</f>
        <v>199</v>
      </c>
      <c r="B203" t="str">
        <f t="shared" si="10"/>
        <v xml:space="preserve">strcpy(AMP1_A,("Not Used")); strcpy(AMP1_B,("Not Used")); strcpy(AMP1_C,("Not Used")); strcpy(AMP1_D,("Not Used")); </v>
      </c>
      <c r="C203" t="str">
        <f t="shared" si="11"/>
        <v xml:space="preserve">strcpy(AMP2_A,("Not Used")); strcpy(AMP2_B,("Not Used")); strcpy(AMP2_C,("Not Used")); strcpy(AMP2_D,("Not Used")); </v>
      </c>
      <c r="D203" s="31" t="s">
        <v>893</v>
      </c>
      <c r="E203" s="42" t="str">
        <f t="shared" si="9"/>
        <v>case 199: strcpy(AMP1_A,("Not Used")); strcpy(AMP1_B,("Not Used")); strcpy(AMP1_C,("Not Used")); strcpy(AMP1_D,("Not Used")); strcpy(AMP2_A,("Not Used")); strcpy(AMP2_B,("Not Used")); strcpy(AMP2_C,("Not Used")); strcpy(AMP2_D,("Not Used"));  break;</v>
      </c>
      <c r="F203" t="s">
        <v>893</v>
      </c>
      <c r="I203" t="s">
        <v>893</v>
      </c>
      <c r="J203" s="45" t="str">
        <f>VLOOKUP(S203,'AMP models AxeFxIII'!$D$2:$H$299,2,FALSE)</f>
        <v>Not Used</v>
      </c>
      <c r="K203" s="45" t="str">
        <f>VLOOKUP(T203,'AMP models AxeFxIII'!$D$2:$H$299,2,FALSE)</f>
        <v>Not Used</v>
      </c>
      <c r="L203" s="45" t="str">
        <f>VLOOKUP(U203,'AMP models AxeFxIII'!$D$2:$H$299,2,FALSE)</f>
        <v>Not Used</v>
      </c>
      <c r="M203" s="45" t="str">
        <f>VLOOKUP(V203,'AMP models AxeFxIII'!$D$2:$H$299,2,FALSE)</f>
        <v>Not Used</v>
      </c>
      <c r="N203" s="45" t="str">
        <f>VLOOKUP(W203,'AMP models AxeFxIII'!$D$2:$H$299,2,FALSE)</f>
        <v>Not Used</v>
      </c>
      <c r="O203" s="45" t="str">
        <f>VLOOKUP(X203,'AMP models AxeFxIII'!$D$2:$H$299,2,FALSE)</f>
        <v>Not Used</v>
      </c>
      <c r="P203" s="45" t="str">
        <f>VLOOKUP(Y203,'AMP models AxeFxIII'!$D$2:$H$299,2,FALSE)</f>
        <v>Not Used</v>
      </c>
      <c r="Q203" s="45" t="str">
        <f>VLOOKUP(Z203,'AMP models AxeFxIII'!$D$2:$H$299,2,FALSE)</f>
        <v>Not Used</v>
      </c>
      <c r="R203" s="4">
        <v>199</v>
      </c>
      <c r="S203" s="46" t="s">
        <v>555</v>
      </c>
      <c r="T203" s="46" t="s">
        <v>555</v>
      </c>
      <c r="U203" s="46" t="s">
        <v>555</v>
      </c>
      <c r="V203" s="46" t="s">
        <v>555</v>
      </c>
      <c r="W203" s="46" t="s">
        <v>555</v>
      </c>
      <c r="X203" s="46" t="s">
        <v>555</v>
      </c>
      <c r="Y203" s="46" t="s">
        <v>555</v>
      </c>
      <c r="Z203" s="46" t="s">
        <v>555</v>
      </c>
    </row>
    <row r="204" spans="1:26">
      <c r="A204" s="41">
        <f>preset_Names!A204</f>
        <v>200</v>
      </c>
      <c r="B204" t="str">
        <f t="shared" si="10"/>
        <v xml:space="preserve">strcpy(AMP1_A,("Not Used")); strcpy(AMP1_B,("Not Used")); strcpy(AMP1_C,("Not Used")); strcpy(AMP1_D,("Not Used")); </v>
      </c>
      <c r="C204" t="str">
        <f t="shared" si="11"/>
        <v xml:space="preserve">strcpy(AMP2_A,("Not Used")); strcpy(AMP2_B,("Not Used")); strcpy(AMP2_C,("Not Used")); strcpy(AMP2_D,("Not Used")); </v>
      </c>
      <c r="D204" s="31" t="s">
        <v>893</v>
      </c>
      <c r="E204" s="42" t="str">
        <f t="shared" si="9"/>
        <v>case 200: strcpy(AMP1_A,("Not Used")); strcpy(AMP1_B,("Not Used")); strcpy(AMP1_C,("Not Used")); strcpy(AMP1_D,("Not Used")); strcpy(AMP2_A,("Not Used")); strcpy(AMP2_B,("Not Used")); strcpy(AMP2_C,("Not Used")); strcpy(AMP2_D,("Not Used"));  break;</v>
      </c>
      <c r="F204" t="s">
        <v>893</v>
      </c>
      <c r="I204" t="s">
        <v>893</v>
      </c>
      <c r="J204" s="45" t="str">
        <f>VLOOKUP(S204,'AMP models AxeFxIII'!$D$2:$H$299,2,FALSE)</f>
        <v>Not Used</v>
      </c>
      <c r="K204" s="45" t="str">
        <f>VLOOKUP(T204,'AMP models AxeFxIII'!$D$2:$H$299,2,FALSE)</f>
        <v>Not Used</v>
      </c>
      <c r="L204" s="45" t="str">
        <f>VLOOKUP(U204,'AMP models AxeFxIII'!$D$2:$H$299,2,FALSE)</f>
        <v>Not Used</v>
      </c>
      <c r="M204" s="45" t="str">
        <f>VLOOKUP(V204,'AMP models AxeFxIII'!$D$2:$H$299,2,FALSE)</f>
        <v>Not Used</v>
      </c>
      <c r="N204" s="45" t="str">
        <f>VLOOKUP(W204,'AMP models AxeFxIII'!$D$2:$H$299,2,FALSE)</f>
        <v>Not Used</v>
      </c>
      <c r="O204" s="45" t="str">
        <f>VLOOKUP(X204,'AMP models AxeFxIII'!$D$2:$H$299,2,FALSE)</f>
        <v>Not Used</v>
      </c>
      <c r="P204" s="45" t="str">
        <f>VLOOKUP(Y204,'AMP models AxeFxIII'!$D$2:$H$299,2,FALSE)</f>
        <v>Not Used</v>
      </c>
      <c r="Q204" s="45" t="str">
        <f>VLOOKUP(Z204,'AMP models AxeFxIII'!$D$2:$H$299,2,FALSE)</f>
        <v>Not Used</v>
      </c>
      <c r="R204" s="4">
        <v>200</v>
      </c>
      <c r="S204" s="46" t="s">
        <v>555</v>
      </c>
      <c r="T204" s="46" t="s">
        <v>555</v>
      </c>
      <c r="U204" s="46" t="s">
        <v>555</v>
      </c>
      <c r="V204" s="46" t="s">
        <v>555</v>
      </c>
      <c r="W204" s="46" t="s">
        <v>555</v>
      </c>
      <c r="X204" s="46" t="s">
        <v>555</v>
      </c>
      <c r="Y204" s="46" t="s">
        <v>555</v>
      </c>
      <c r="Z204" s="46" t="s">
        <v>555</v>
      </c>
    </row>
    <row r="205" spans="1:26">
      <c r="A205" s="41">
        <f>preset_Names!A205</f>
        <v>201</v>
      </c>
      <c r="B205" t="str">
        <f t="shared" si="10"/>
        <v xml:space="preserve">strcpy(AMP1_A,("Not Used")); strcpy(AMP1_B,("Not Used")); strcpy(AMP1_C,("Not Used")); strcpy(AMP1_D,("Not Used")); </v>
      </c>
      <c r="C205" t="str">
        <f t="shared" si="11"/>
        <v xml:space="preserve">strcpy(AMP2_A,("Not Used")); strcpy(AMP2_B,("Not Used")); strcpy(AMP2_C,("Not Used")); strcpy(AMP2_D,("Not Used")); </v>
      </c>
      <c r="D205" s="31" t="s">
        <v>893</v>
      </c>
      <c r="E205" s="42" t="str">
        <f t="shared" si="9"/>
        <v>case 201: strcpy(AMP1_A,("Not Used")); strcpy(AMP1_B,("Not Used")); strcpy(AMP1_C,("Not Used")); strcpy(AMP1_D,("Not Used")); strcpy(AMP2_A,("Not Used")); strcpy(AMP2_B,("Not Used")); strcpy(AMP2_C,("Not Used")); strcpy(AMP2_D,("Not Used"));  break;</v>
      </c>
      <c r="F205" t="s">
        <v>893</v>
      </c>
      <c r="I205" t="s">
        <v>893</v>
      </c>
      <c r="J205" s="45" t="str">
        <f>VLOOKUP(S205,'AMP models AxeFxIII'!$D$2:$H$299,2,FALSE)</f>
        <v>Not Used</v>
      </c>
      <c r="K205" s="45" t="str">
        <f>VLOOKUP(T205,'AMP models AxeFxIII'!$D$2:$H$299,2,FALSE)</f>
        <v>Not Used</v>
      </c>
      <c r="L205" s="45" t="str">
        <f>VLOOKUP(U205,'AMP models AxeFxIII'!$D$2:$H$299,2,FALSE)</f>
        <v>Not Used</v>
      </c>
      <c r="M205" s="45" t="str">
        <f>VLOOKUP(V205,'AMP models AxeFxIII'!$D$2:$H$299,2,FALSE)</f>
        <v>Not Used</v>
      </c>
      <c r="N205" s="45" t="str">
        <f>VLOOKUP(W205,'AMP models AxeFxIII'!$D$2:$H$299,2,FALSE)</f>
        <v>Not Used</v>
      </c>
      <c r="O205" s="45" t="str">
        <f>VLOOKUP(X205,'AMP models AxeFxIII'!$D$2:$H$299,2,FALSE)</f>
        <v>Not Used</v>
      </c>
      <c r="P205" s="45" t="str">
        <f>VLOOKUP(Y205,'AMP models AxeFxIII'!$D$2:$H$299,2,FALSE)</f>
        <v>Not Used</v>
      </c>
      <c r="Q205" s="45" t="str">
        <f>VLOOKUP(Z205,'AMP models AxeFxIII'!$D$2:$H$299,2,FALSE)</f>
        <v>Not Used</v>
      </c>
      <c r="R205" s="4">
        <v>201</v>
      </c>
      <c r="S205" s="46" t="s">
        <v>555</v>
      </c>
      <c r="T205" s="46" t="s">
        <v>555</v>
      </c>
      <c r="U205" s="46" t="s">
        <v>555</v>
      </c>
      <c r="V205" s="46" t="s">
        <v>555</v>
      </c>
      <c r="W205" s="46" t="s">
        <v>555</v>
      </c>
      <c r="X205" s="46" t="s">
        <v>555</v>
      </c>
      <c r="Y205" s="46" t="s">
        <v>555</v>
      </c>
      <c r="Z205" s="46" t="s">
        <v>555</v>
      </c>
    </row>
    <row r="206" spans="1:26">
      <c r="A206" s="41">
        <f>preset_Names!A206</f>
        <v>202</v>
      </c>
      <c r="B206" t="str">
        <f t="shared" si="10"/>
        <v xml:space="preserve">strcpy(AMP1_A,("Not Used")); strcpy(AMP1_B,("Not Used")); strcpy(AMP1_C,("Not Used")); strcpy(AMP1_D,("Not Used")); </v>
      </c>
      <c r="C206" t="str">
        <f t="shared" si="11"/>
        <v xml:space="preserve">strcpy(AMP2_A,("Not Used")); strcpy(AMP2_B,("Not Used")); strcpy(AMP2_C,("Not Used")); strcpy(AMP2_D,("Not Used")); </v>
      </c>
      <c r="D206" s="31" t="s">
        <v>893</v>
      </c>
      <c r="E206" s="42" t="str">
        <f t="shared" si="9"/>
        <v>case 202: strcpy(AMP1_A,("Not Used")); strcpy(AMP1_B,("Not Used")); strcpy(AMP1_C,("Not Used")); strcpy(AMP1_D,("Not Used")); strcpy(AMP2_A,("Not Used")); strcpy(AMP2_B,("Not Used")); strcpy(AMP2_C,("Not Used")); strcpy(AMP2_D,("Not Used"));  break;</v>
      </c>
      <c r="F206" t="s">
        <v>893</v>
      </c>
      <c r="I206" t="s">
        <v>893</v>
      </c>
      <c r="J206" s="45" t="str">
        <f>VLOOKUP(S206,'AMP models AxeFxIII'!$D$2:$H$299,2,FALSE)</f>
        <v>Not Used</v>
      </c>
      <c r="K206" s="45" t="str">
        <f>VLOOKUP(T206,'AMP models AxeFxIII'!$D$2:$H$299,2,FALSE)</f>
        <v>Not Used</v>
      </c>
      <c r="L206" s="45" t="str">
        <f>VLOOKUP(U206,'AMP models AxeFxIII'!$D$2:$H$299,2,FALSE)</f>
        <v>Not Used</v>
      </c>
      <c r="M206" s="45" t="str">
        <f>VLOOKUP(V206,'AMP models AxeFxIII'!$D$2:$H$299,2,FALSE)</f>
        <v>Not Used</v>
      </c>
      <c r="N206" s="45" t="str">
        <f>VLOOKUP(W206,'AMP models AxeFxIII'!$D$2:$H$299,2,FALSE)</f>
        <v>Not Used</v>
      </c>
      <c r="O206" s="45" t="str">
        <f>VLOOKUP(X206,'AMP models AxeFxIII'!$D$2:$H$299,2,FALSE)</f>
        <v>Not Used</v>
      </c>
      <c r="P206" s="45" t="str">
        <f>VLOOKUP(Y206,'AMP models AxeFxIII'!$D$2:$H$299,2,FALSE)</f>
        <v>Not Used</v>
      </c>
      <c r="Q206" s="45" t="str">
        <f>VLOOKUP(Z206,'AMP models AxeFxIII'!$D$2:$H$299,2,FALSE)</f>
        <v>Not Used</v>
      </c>
      <c r="R206" s="4">
        <v>202</v>
      </c>
      <c r="S206" s="46" t="s">
        <v>555</v>
      </c>
      <c r="T206" s="46" t="s">
        <v>555</v>
      </c>
      <c r="U206" s="46" t="s">
        <v>555</v>
      </c>
      <c r="V206" s="46" t="s">
        <v>555</v>
      </c>
      <c r="W206" s="46" t="s">
        <v>555</v>
      </c>
      <c r="X206" s="46" t="s">
        <v>555</v>
      </c>
      <c r="Y206" s="46" t="s">
        <v>555</v>
      </c>
      <c r="Z206" s="46" t="s">
        <v>555</v>
      </c>
    </row>
    <row r="207" spans="1:26">
      <c r="A207" s="41">
        <f>preset_Names!A207</f>
        <v>203</v>
      </c>
      <c r="B207" t="str">
        <f t="shared" si="10"/>
        <v xml:space="preserve">strcpy(AMP1_A,("Not Used")); strcpy(AMP1_B,("Not Used")); strcpy(AMP1_C,("Not Used")); strcpy(AMP1_D,("Not Used")); </v>
      </c>
      <c r="C207" t="str">
        <f t="shared" si="11"/>
        <v xml:space="preserve">strcpy(AMP2_A,("Not Used")); strcpy(AMP2_B,("Not Used")); strcpy(AMP2_C,("Not Used")); strcpy(AMP2_D,("Not Used")); </v>
      </c>
      <c r="D207" s="31" t="s">
        <v>893</v>
      </c>
      <c r="E207" s="42" t="str">
        <f t="shared" si="9"/>
        <v>case 203: strcpy(AMP1_A,("Not Used")); strcpy(AMP1_B,("Not Used")); strcpy(AMP1_C,("Not Used")); strcpy(AMP1_D,("Not Used")); strcpy(AMP2_A,("Not Used")); strcpy(AMP2_B,("Not Used")); strcpy(AMP2_C,("Not Used")); strcpy(AMP2_D,("Not Used"));  break;</v>
      </c>
      <c r="F207" t="s">
        <v>893</v>
      </c>
      <c r="I207" t="s">
        <v>893</v>
      </c>
      <c r="J207" s="45" t="str">
        <f>VLOOKUP(S207,'AMP models AxeFxIII'!$D$2:$H$299,2,FALSE)</f>
        <v>Not Used</v>
      </c>
      <c r="K207" s="45" t="str">
        <f>VLOOKUP(T207,'AMP models AxeFxIII'!$D$2:$H$299,2,FALSE)</f>
        <v>Not Used</v>
      </c>
      <c r="L207" s="45" t="str">
        <f>VLOOKUP(U207,'AMP models AxeFxIII'!$D$2:$H$299,2,FALSE)</f>
        <v>Not Used</v>
      </c>
      <c r="M207" s="45" t="str">
        <f>VLOOKUP(V207,'AMP models AxeFxIII'!$D$2:$H$299,2,FALSE)</f>
        <v>Not Used</v>
      </c>
      <c r="N207" s="45" t="str">
        <f>VLOOKUP(W207,'AMP models AxeFxIII'!$D$2:$H$299,2,FALSE)</f>
        <v>Not Used</v>
      </c>
      <c r="O207" s="45" t="str">
        <f>VLOOKUP(X207,'AMP models AxeFxIII'!$D$2:$H$299,2,FALSE)</f>
        <v>Not Used</v>
      </c>
      <c r="P207" s="45" t="str">
        <f>VLOOKUP(Y207,'AMP models AxeFxIII'!$D$2:$H$299,2,FALSE)</f>
        <v>Not Used</v>
      </c>
      <c r="Q207" s="45" t="str">
        <f>VLOOKUP(Z207,'AMP models AxeFxIII'!$D$2:$H$299,2,FALSE)</f>
        <v>Not Used</v>
      </c>
      <c r="R207" s="4">
        <v>203</v>
      </c>
      <c r="S207" s="46" t="s">
        <v>555</v>
      </c>
      <c r="T207" s="46" t="s">
        <v>555</v>
      </c>
      <c r="U207" s="46" t="s">
        <v>555</v>
      </c>
      <c r="V207" s="46" t="s">
        <v>555</v>
      </c>
      <c r="W207" s="46" t="s">
        <v>555</v>
      </c>
      <c r="X207" s="46" t="s">
        <v>555</v>
      </c>
      <c r="Y207" s="46" t="s">
        <v>555</v>
      </c>
      <c r="Z207" s="46" t="s">
        <v>555</v>
      </c>
    </row>
    <row r="208" spans="1:26">
      <c r="A208" s="41">
        <f>preset_Names!A208</f>
        <v>204</v>
      </c>
      <c r="B208" t="str">
        <f t="shared" si="10"/>
        <v xml:space="preserve">strcpy(AMP1_A,("Not Used")); strcpy(AMP1_B,("Not Used")); strcpy(AMP1_C,("Not Used")); strcpy(AMP1_D,("Not Used")); </v>
      </c>
      <c r="C208" t="str">
        <f t="shared" si="11"/>
        <v xml:space="preserve">strcpy(AMP2_A,("Not Used")); strcpy(AMP2_B,("Not Used")); strcpy(AMP2_C,("Not Used")); strcpy(AMP2_D,("Not Used")); </v>
      </c>
      <c r="D208" s="31" t="s">
        <v>893</v>
      </c>
      <c r="E208" s="42" t="str">
        <f t="shared" si="9"/>
        <v>case 204: strcpy(AMP1_A,("Not Used")); strcpy(AMP1_B,("Not Used")); strcpy(AMP1_C,("Not Used")); strcpy(AMP1_D,("Not Used")); strcpy(AMP2_A,("Not Used")); strcpy(AMP2_B,("Not Used")); strcpy(AMP2_C,("Not Used")); strcpy(AMP2_D,("Not Used"));  break;</v>
      </c>
      <c r="F208" t="s">
        <v>893</v>
      </c>
      <c r="I208" t="s">
        <v>893</v>
      </c>
      <c r="J208" s="45" t="str">
        <f>VLOOKUP(S208,'AMP models AxeFxIII'!$D$2:$H$299,2,FALSE)</f>
        <v>Not Used</v>
      </c>
      <c r="K208" s="45" t="str">
        <f>VLOOKUP(T208,'AMP models AxeFxIII'!$D$2:$H$299,2,FALSE)</f>
        <v>Not Used</v>
      </c>
      <c r="L208" s="45" t="str">
        <f>VLOOKUP(U208,'AMP models AxeFxIII'!$D$2:$H$299,2,FALSE)</f>
        <v>Not Used</v>
      </c>
      <c r="M208" s="45" t="str">
        <f>VLOOKUP(V208,'AMP models AxeFxIII'!$D$2:$H$299,2,FALSE)</f>
        <v>Not Used</v>
      </c>
      <c r="N208" s="45" t="str">
        <f>VLOOKUP(W208,'AMP models AxeFxIII'!$D$2:$H$299,2,FALSE)</f>
        <v>Not Used</v>
      </c>
      <c r="O208" s="45" t="str">
        <f>VLOOKUP(X208,'AMP models AxeFxIII'!$D$2:$H$299,2,FALSE)</f>
        <v>Not Used</v>
      </c>
      <c r="P208" s="45" t="str">
        <f>VLOOKUP(Y208,'AMP models AxeFxIII'!$D$2:$H$299,2,FALSE)</f>
        <v>Not Used</v>
      </c>
      <c r="Q208" s="45" t="str">
        <f>VLOOKUP(Z208,'AMP models AxeFxIII'!$D$2:$H$299,2,FALSE)</f>
        <v>Not Used</v>
      </c>
      <c r="R208" s="4">
        <v>204</v>
      </c>
      <c r="S208" s="46" t="s">
        <v>555</v>
      </c>
      <c r="T208" s="46" t="s">
        <v>555</v>
      </c>
      <c r="U208" s="46" t="s">
        <v>555</v>
      </c>
      <c r="V208" s="46" t="s">
        <v>555</v>
      </c>
      <c r="W208" s="46" t="s">
        <v>555</v>
      </c>
      <c r="X208" s="46" t="s">
        <v>555</v>
      </c>
      <c r="Y208" s="46" t="s">
        <v>555</v>
      </c>
      <c r="Z208" s="46" t="s">
        <v>555</v>
      </c>
    </row>
    <row r="209" spans="1:26">
      <c r="A209" s="41">
        <f>preset_Names!A209</f>
        <v>205</v>
      </c>
      <c r="B209" t="str">
        <f t="shared" si="10"/>
        <v xml:space="preserve">strcpy(AMP1_A,("Not Used")); strcpy(AMP1_B,("Not Used")); strcpy(AMP1_C,("Not Used")); strcpy(AMP1_D,("Not Used")); </v>
      </c>
      <c r="C209" t="str">
        <f t="shared" si="11"/>
        <v xml:space="preserve">strcpy(AMP2_A,("Not Used")); strcpy(AMP2_B,("Not Used")); strcpy(AMP2_C,("Not Used")); strcpy(AMP2_D,("Not Used")); </v>
      </c>
      <c r="D209" s="31" t="s">
        <v>893</v>
      </c>
      <c r="E209" s="42" t="str">
        <f t="shared" si="9"/>
        <v>case 205: strcpy(AMP1_A,("Not Used")); strcpy(AMP1_B,("Not Used")); strcpy(AMP1_C,("Not Used")); strcpy(AMP1_D,("Not Used")); strcpy(AMP2_A,("Not Used")); strcpy(AMP2_B,("Not Used")); strcpy(AMP2_C,("Not Used")); strcpy(AMP2_D,("Not Used"));  break;</v>
      </c>
      <c r="F209" t="s">
        <v>893</v>
      </c>
      <c r="I209" t="s">
        <v>893</v>
      </c>
      <c r="J209" s="45" t="str">
        <f>VLOOKUP(S209,'AMP models AxeFxIII'!$D$2:$H$299,2,FALSE)</f>
        <v>Not Used</v>
      </c>
      <c r="K209" s="45" t="str">
        <f>VLOOKUP(T209,'AMP models AxeFxIII'!$D$2:$H$299,2,FALSE)</f>
        <v>Not Used</v>
      </c>
      <c r="L209" s="45" t="str">
        <f>VLOOKUP(U209,'AMP models AxeFxIII'!$D$2:$H$299,2,FALSE)</f>
        <v>Not Used</v>
      </c>
      <c r="M209" s="45" t="str">
        <f>VLOOKUP(V209,'AMP models AxeFxIII'!$D$2:$H$299,2,FALSE)</f>
        <v>Not Used</v>
      </c>
      <c r="N209" s="45" t="str">
        <f>VLOOKUP(W209,'AMP models AxeFxIII'!$D$2:$H$299,2,FALSE)</f>
        <v>Not Used</v>
      </c>
      <c r="O209" s="45" t="str">
        <f>VLOOKUP(X209,'AMP models AxeFxIII'!$D$2:$H$299,2,FALSE)</f>
        <v>Not Used</v>
      </c>
      <c r="P209" s="45" t="str">
        <f>VLOOKUP(Y209,'AMP models AxeFxIII'!$D$2:$H$299,2,FALSE)</f>
        <v>Not Used</v>
      </c>
      <c r="Q209" s="45" t="str">
        <f>VLOOKUP(Z209,'AMP models AxeFxIII'!$D$2:$H$299,2,FALSE)</f>
        <v>Not Used</v>
      </c>
      <c r="R209" s="4">
        <v>205</v>
      </c>
      <c r="S209" s="46" t="s">
        <v>555</v>
      </c>
      <c r="T209" s="46" t="s">
        <v>555</v>
      </c>
      <c r="U209" s="46" t="s">
        <v>555</v>
      </c>
      <c r="V209" s="46" t="s">
        <v>555</v>
      </c>
      <c r="W209" s="46" t="s">
        <v>555</v>
      </c>
      <c r="X209" s="46" t="s">
        <v>555</v>
      </c>
      <c r="Y209" s="46" t="s">
        <v>555</v>
      </c>
      <c r="Z209" s="46" t="s">
        <v>555</v>
      </c>
    </row>
    <row r="210" spans="1:26">
      <c r="A210" s="41">
        <f>preset_Names!A210</f>
        <v>206</v>
      </c>
      <c r="B210" t="str">
        <f t="shared" si="10"/>
        <v xml:space="preserve">strcpy(AMP1_A,("Not Used")); strcpy(AMP1_B,("Not Used")); strcpy(AMP1_C,("Not Used")); strcpy(AMP1_D,("Not Used")); </v>
      </c>
      <c r="C210" t="str">
        <f t="shared" si="11"/>
        <v xml:space="preserve">strcpy(AMP2_A,("Not Used")); strcpy(AMP2_B,("Not Used")); strcpy(AMP2_C,("Not Used")); strcpy(AMP2_D,("Not Used")); </v>
      </c>
      <c r="D210" s="31" t="s">
        <v>893</v>
      </c>
      <c r="E210" s="42" t="str">
        <f t="shared" si="9"/>
        <v>case 206: strcpy(AMP1_A,("Not Used")); strcpy(AMP1_B,("Not Used")); strcpy(AMP1_C,("Not Used")); strcpy(AMP1_D,("Not Used")); strcpy(AMP2_A,("Not Used")); strcpy(AMP2_B,("Not Used")); strcpy(AMP2_C,("Not Used")); strcpy(AMP2_D,("Not Used"));  break;</v>
      </c>
      <c r="F210" t="s">
        <v>893</v>
      </c>
      <c r="I210" t="s">
        <v>893</v>
      </c>
      <c r="J210" s="45" t="str">
        <f>VLOOKUP(S210,'AMP models AxeFxIII'!$D$2:$H$299,2,FALSE)</f>
        <v>Not Used</v>
      </c>
      <c r="K210" s="45" t="str">
        <f>VLOOKUP(T210,'AMP models AxeFxIII'!$D$2:$H$299,2,FALSE)</f>
        <v>Not Used</v>
      </c>
      <c r="L210" s="45" t="str">
        <f>VLOOKUP(U210,'AMP models AxeFxIII'!$D$2:$H$299,2,FALSE)</f>
        <v>Not Used</v>
      </c>
      <c r="M210" s="45" t="str">
        <f>VLOOKUP(V210,'AMP models AxeFxIII'!$D$2:$H$299,2,FALSE)</f>
        <v>Not Used</v>
      </c>
      <c r="N210" s="45" t="str">
        <f>VLOOKUP(W210,'AMP models AxeFxIII'!$D$2:$H$299,2,FALSE)</f>
        <v>Not Used</v>
      </c>
      <c r="O210" s="45" t="str">
        <f>VLOOKUP(X210,'AMP models AxeFxIII'!$D$2:$H$299,2,FALSE)</f>
        <v>Not Used</v>
      </c>
      <c r="P210" s="45" t="str">
        <f>VLOOKUP(Y210,'AMP models AxeFxIII'!$D$2:$H$299,2,FALSE)</f>
        <v>Not Used</v>
      </c>
      <c r="Q210" s="45" t="str">
        <f>VLOOKUP(Z210,'AMP models AxeFxIII'!$D$2:$H$299,2,FALSE)</f>
        <v>Not Used</v>
      </c>
      <c r="R210" s="4">
        <v>206</v>
      </c>
      <c r="S210" s="46" t="s">
        <v>555</v>
      </c>
      <c r="T210" s="46" t="s">
        <v>555</v>
      </c>
      <c r="U210" s="46" t="s">
        <v>555</v>
      </c>
      <c r="V210" s="46" t="s">
        <v>555</v>
      </c>
      <c r="W210" s="46" t="s">
        <v>555</v>
      </c>
      <c r="X210" s="46" t="s">
        <v>555</v>
      </c>
      <c r="Y210" s="46" t="s">
        <v>555</v>
      </c>
      <c r="Z210" s="46" t="s">
        <v>555</v>
      </c>
    </row>
    <row r="211" spans="1:26">
      <c r="A211" s="41">
        <f>preset_Names!A211</f>
        <v>207</v>
      </c>
      <c r="B211" t="str">
        <f t="shared" si="10"/>
        <v xml:space="preserve">strcpy(AMP1_A,("Not Used")); strcpy(AMP1_B,("Not Used")); strcpy(AMP1_C,("Not Used")); strcpy(AMP1_D,("Not Used")); </v>
      </c>
      <c r="C211" t="str">
        <f t="shared" si="11"/>
        <v xml:space="preserve">strcpy(AMP2_A,("Not Used")); strcpy(AMP2_B,("Not Used")); strcpy(AMP2_C,("Not Used")); strcpy(AMP2_D,("Not Used")); </v>
      </c>
      <c r="D211" s="31" t="s">
        <v>893</v>
      </c>
      <c r="E211" s="42" t="str">
        <f t="shared" si="9"/>
        <v>case 207: strcpy(AMP1_A,("Not Used")); strcpy(AMP1_B,("Not Used")); strcpy(AMP1_C,("Not Used")); strcpy(AMP1_D,("Not Used")); strcpy(AMP2_A,("Not Used")); strcpy(AMP2_B,("Not Used")); strcpy(AMP2_C,("Not Used")); strcpy(AMP2_D,("Not Used"));  break;</v>
      </c>
      <c r="F211" t="s">
        <v>893</v>
      </c>
      <c r="I211" t="s">
        <v>893</v>
      </c>
      <c r="J211" s="45" t="str">
        <f>VLOOKUP(S211,'AMP models AxeFxIII'!$D$2:$H$299,2,FALSE)</f>
        <v>Not Used</v>
      </c>
      <c r="K211" s="45" t="str">
        <f>VLOOKUP(T211,'AMP models AxeFxIII'!$D$2:$H$299,2,FALSE)</f>
        <v>Not Used</v>
      </c>
      <c r="L211" s="45" t="str">
        <f>VLOOKUP(U211,'AMP models AxeFxIII'!$D$2:$H$299,2,FALSE)</f>
        <v>Not Used</v>
      </c>
      <c r="M211" s="45" t="str">
        <f>VLOOKUP(V211,'AMP models AxeFxIII'!$D$2:$H$299,2,FALSE)</f>
        <v>Not Used</v>
      </c>
      <c r="N211" s="45" t="str">
        <f>VLOOKUP(W211,'AMP models AxeFxIII'!$D$2:$H$299,2,FALSE)</f>
        <v>Not Used</v>
      </c>
      <c r="O211" s="45" t="str">
        <f>VLOOKUP(X211,'AMP models AxeFxIII'!$D$2:$H$299,2,FALSE)</f>
        <v>Not Used</v>
      </c>
      <c r="P211" s="45" t="str">
        <f>VLOOKUP(Y211,'AMP models AxeFxIII'!$D$2:$H$299,2,FALSE)</f>
        <v>Not Used</v>
      </c>
      <c r="Q211" s="45" t="str">
        <f>VLOOKUP(Z211,'AMP models AxeFxIII'!$D$2:$H$299,2,FALSE)</f>
        <v>Not Used</v>
      </c>
      <c r="R211" s="4">
        <v>207</v>
      </c>
      <c r="S211" s="46" t="s">
        <v>555</v>
      </c>
      <c r="T211" s="46" t="s">
        <v>555</v>
      </c>
      <c r="U211" s="46" t="s">
        <v>555</v>
      </c>
      <c r="V211" s="46" t="s">
        <v>555</v>
      </c>
      <c r="W211" s="46" t="s">
        <v>555</v>
      </c>
      <c r="X211" s="46" t="s">
        <v>555</v>
      </c>
      <c r="Y211" s="46" t="s">
        <v>555</v>
      </c>
      <c r="Z211" s="46" t="s">
        <v>555</v>
      </c>
    </row>
    <row r="212" spans="1:26">
      <c r="A212" s="41">
        <f>preset_Names!A212</f>
        <v>208</v>
      </c>
      <c r="B212" t="str">
        <f t="shared" si="10"/>
        <v xml:space="preserve">strcpy(AMP1_A,("Not Used")); strcpy(AMP1_B,("Not Used")); strcpy(AMP1_C,("Not Used")); strcpy(AMP1_D,("Not Used")); </v>
      </c>
      <c r="C212" t="str">
        <f t="shared" si="11"/>
        <v xml:space="preserve">strcpy(AMP2_A,("Not Used")); strcpy(AMP2_B,("Not Used")); strcpy(AMP2_C,("Not Used")); strcpy(AMP2_D,("Not Used")); </v>
      </c>
      <c r="D212" s="31" t="s">
        <v>893</v>
      </c>
      <c r="E212" s="42" t="str">
        <f t="shared" si="9"/>
        <v>case 208: strcpy(AMP1_A,("Not Used")); strcpy(AMP1_B,("Not Used")); strcpy(AMP1_C,("Not Used")); strcpy(AMP1_D,("Not Used")); strcpy(AMP2_A,("Not Used")); strcpy(AMP2_B,("Not Used")); strcpy(AMP2_C,("Not Used")); strcpy(AMP2_D,("Not Used"));  break;</v>
      </c>
      <c r="F212" t="s">
        <v>893</v>
      </c>
      <c r="I212" t="s">
        <v>893</v>
      </c>
      <c r="J212" s="45" t="str">
        <f>VLOOKUP(S212,'AMP models AxeFxIII'!$D$2:$H$299,2,FALSE)</f>
        <v>Not Used</v>
      </c>
      <c r="K212" s="45" t="str">
        <f>VLOOKUP(T212,'AMP models AxeFxIII'!$D$2:$H$299,2,FALSE)</f>
        <v>Not Used</v>
      </c>
      <c r="L212" s="45" t="str">
        <f>VLOOKUP(U212,'AMP models AxeFxIII'!$D$2:$H$299,2,FALSE)</f>
        <v>Not Used</v>
      </c>
      <c r="M212" s="45" t="str">
        <f>VLOOKUP(V212,'AMP models AxeFxIII'!$D$2:$H$299,2,FALSE)</f>
        <v>Not Used</v>
      </c>
      <c r="N212" s="45" t="str">
        <f>VLOOKUP(W212,'AMP models AxeFxIII'!$D$2:$H$299,2,FALSE)</f>
        <v>Not Used</v>
      </c>
      <c r="O212" s="45" t="str">
        <f>VLOOKUP(X212,'AMP models AxeFxIII'!$D$2:$H$299,2,FALSE)</f>
        <v>Not Used</v>
      </c>
      <c r="P212" s="45" t="str">
        <f>VLOOKUP(Y212,'AMP models AxeFxIII'!$D$2:$H$299,2,FALSE)</f>
        <v>Not Used</v>
      </c>
      <c r="Q212" s="45" t="str">
        <f>VLOOKUP(Z212,'AMP models AxeFxIII'!$D$2:$H$299,2,FALSE)</f>
        <v>Not Used</v>
      </c>
      <c r="R212" s="4">
        <v>208</v>
      </c>
      <c r="S212" s="46" t="s">
        <v>555</v>
      </c>
      <c r="T212" s="46" t="s">
        <v>555</v>
      </c>
      <c r="U212" s="46" t="s">
        <v>555</v>
      </c>
      <c r="V212" s="46" t="s">
        <v>555</v>
      </c>
      <c r="W212" s="46" t="s">
        <v>555</v>
      </c>
      <c r="X212" s="46" t="s">
        <v>555</v>
      </c>
      <c r="Y212" s="46" t="s">
        <v>555</v>
      </c>
      <c r="Z212" s="46" t="s">
        <v>555</v>
      </c>
    </row>
    <row r="213" spans="1:26">
      <c r="A213" s="41">
        <f>preset_Names!A213</f>
        <v>209</v>
      </c>
      <c r="B213" t="str">
        <f t="shared" si="10"/>
        <v xml:space="preserve">strcpy(AMP1_A,("Not Used")); strcpy(AMP1_B,("Not Used")); strcpy(AMP1_C,("Not Used")); strcpy(AMP1_D,("Not Used")); </v>
      </c>
      <c r="C213" t="str">
        <f t="shared" si="11"/>
        <v xml:space="preserve">strcpy(AMP2_A,("Not Used")); strcpy(AMP2_B,("Not Used")); strcpy(AMP2_C,("Not Used")); strcpy(AMP2_D,("Not Used")); </v>
      </c>
      <c r="D213" s="31" t="s">
        <v>893</v>
      </c>
      <c r="E213" s="42" t="str">
        <f t="shared" si="9"/>
        <v>case 209: strcpy(AMP1_A,("Not Used")); strcpy(AMP1_B,("Not Used")); strcpy(AMP1_C,("Not Used")); strcpy(AMP1_D,("Not Used")); strcpy(AMP2_A,("Not Used")); strcpy(AMP2_B,("Not Used")); strcpy(AMP2_C,("Not Used")); strcpy(AMP2_D,("Not Used"));  break;</v>
      </c>
      <c r="F213" t="s">
        <v>893</v>
      </c>
      <c r="I213" t="s">
        <v>893</v>
      </c>
      <c r="J213" s="45" t="str">
        <f>VLOOKUP(S213,'AMP models AxeFxIII'!$D$2:$H$299,2,FALSE)</f>
        <v>Not Used</v>
      </c>
      <c r="K213" s="45" t="str">
        <f>VLOOKUP(T213,'AMP models AxeFxIII'!$D$2:$H$299,2,FALSE)</f>
        <v>Not Used</v>
      </c>
      <c r="L213" s="45" t="str">
        <f>VLOOKUP(U213,'AMP models AxeFxIII'!$D$2:$H$299,2,FALSE)</f>
        <v>Not Used</v>
      </c>
      <c r="M213" s="45" t="str">
        <f>VLOOKUP(V213,'AMP models AxeFxIII'!$D$2:$H$299,2,FALSE)</f>
        <v>Not Used</v>
      </c>
      <c r="N213" s="45" t="str">
        <f>VLOOKUP(W213,'AMP models AxeFxIII'!$D$2:$H$299,2,FALSE)</f>
        <v>Not Used</v>
      </c>
      <c r="O213" s="45" t="str">
        <f>VLOOKUP(X213,'AMP models AxeFxIII'!$D$2:$H$299,2,FALSE)</f>
        <v>Not Used</v>
      </c>
      <c r="P213" s="45" t="str">
        <f>VLOOKUP(Y213,'AMP models AxeFxIII'!$D$2:$H$299,2,FALSE)</f>
        <v>Not Used</v>
      </c>
      <c r="Q213" s="45" t="str">
        <f>VLOOKUP(Z213,'AMP models AxeFxIII'!$D$2:$H$299,2,FALSE)</f>
        <v>Not Used</v>
      </c>
      <c r="R213" s="4">
        <v>209</v>
      </c>
      <c r="S213" s="46" t="s">
        <v>555</v>
      </c>
      <c r="T213" s="46" t="s">
        <v>555</v>
      </c>
      <c r="U213" s="46" t="s">
        <v>555</v>
      </c>
      <c r="V213" s="46" t="s">
        <v>555</v>
      </c>
      <c r="W213" s="46" t="s">
        <v>555</v>
      </c>
      <c r="X213" s="46" t="s">
        <v>555</v>
      </c>
      <c r="Y213" s="46" t="s">
        <v>555</v>
      </c>
      <c r="Z213" s="46" t="s">
        <v>555</v>
      </c>
    </row>
    <row r="214" spans="1:26">
      <c r="A214" s="41">
        <f>preset_Names!A214</f>
        <v>210</v>
      </c>
      <c r="B214" t="str">
        <f t="shared" si="10"/>
        <v xml:space="preserve">strcpy(AMP1_A,("Not Used")); strcpy(AMP1_B,("Not Used")); strcpy(AMP1_C,("Not Used")); strcpy(AMP1_D,("Not Used")); </v>
      </c>
      <c r="C214" t="str">
        <f t="shared" si="11"/>
        <v xml:space="preserve">strcpy(AMP2_A,("Not Used")); strcpy(AMP2_B,("Not Used")); strcpy(AMP2_C,("Not Used")); strcpy(AMP2_D,("Not Used")); </v>
      </c>
      <c r="D214" s="31" t="s">
        <v>893</v>
      </c>
      <c r="E214" s="42" t="str">
        <f t="shared" si="9"/>
        <v>case 210: strcpy(AMP1_A,("Not Used")); strcpy(AMP1_B,("Not Used")); strcpy(AMP1_C,("Not Used")); strcpy(AMP1_D,("Not Used")); strcpy(AMP2_A,("Not Used")); strcpy(AMP2_B,("Not Used")); strcpy(AMP2_C,("Not Used")); strcpy(AMP2_D,("Not Used"));  break;</v>
      </c>
      <c r="F214" t="s">
        <v>893</v>
      </c>
      <c r="I214" t="s">
        <v>893</v>
      </c>
      <c r="J214" s="45" t="str">
        <f>VLOOKUP(S214,'AMP models AxeFxIII'!$D$2:$H$299,2,FALSE)</f>
        <v>Not Used</v>
      </c>
      <c r="K214" s="45" t="str">
        <f>VLOOKUP(T214,'AMP models AxeFxIII'!$D$2:$H$299,2,FALSE)</f>
        <v>Not Used</v>
      </c>
      <c r="L214" s="45" t="str">
        <f>VLOOKUP(U214,'AMP models AxeFxIII'!$D$2:$H$299,2,FALSE)</f>
        <v>Not Used</v>
      </c>
      <c r="M214" s="45" t="str">
        <f>VLOOKUP(V214,'AMP models AxeFxIII'!$D$2:$H$299,2,FALSE)</f>
        <v>Not Used</v>
      </c>
      <c r="N214" s="45" t="str">
        <f>VLOOKUP(W214,'AMP models AxeFxIII'!$D$2:$H$299,2,FALSE)</f>
        <v>Not Used</v>
      </c>
      <c r="O214" s="45" t="str">
        <f>VLOOKUP(X214,'AMP models AxeFxIII'!$D$2:$H$299,2,FALSE)</f>
        <v>Not Used</v>
      </c>
      <c r="P214" s="45" t="str">
        <f>VLOOKUP(Y214,'AMP models AxeFxIII'!$D$2:$H$299,2,FALSE)</f>
        <v>Not Used</v>
      </c>
      <c r="Q214" s="45" t="str">
        <f>VLOOKUP(Z214,'AMP models AxeFxIII'!$D$2:$H$299,2,FALSE)</f>
        <v>Not Used</v>
      </c>
      <c r="R214" s="4">
        <v>210</v>
      </c>
      <c r="S214" s="46" t="s">
        <v>555</v>
      </c>
      <c r="T214" s="46" t="s">
        <v>555</v>
      </c>
      <c r="U214" s="46" t="s">
        <v>555</v>
      </c>
      <c r="V214" s="46" t="s">
        <v>555</v>
      </c>
      <c r="W214" s="46" t="s">
        <v>555</v>
      </c>
      <c r="X214" s="46" t="s">
        <v>555</v>
      </c>
      <c r="Y214" s="46" t="s">
        <v>555</v>
      </c>
      <c r="Z214" s="46" t="s">
        <v>555</v>
      </c>
    </row>
    <row r="215" spans="1:26">
      <c r="A215" s="41">
        <f>preset_Names!A215</f>
        <v>211</v>
      </c>
      <c r="B215" t="str">
        <f t="shared" si="10"/>
        <v xml:space="preserve">strcpy(AMP1_A,("Not Used")); strcpy(AMP1_B,("Not Used")); strcpy(AMP1_C,("Not Used")); strcpy(AMP1_D,("Not Used")); </v>
      </c>
      <c r="C215" t="str">
        <f t="shared" si="11"/>
        <v xml:space="preserve">strcpy(AMP2_A,("Not Used")); strcpy(AMP2_B,("Not Used")); strcpy(AMP2_C,("Not Used")); strcpy(AMP2_D,("Not Used")); </v>
      </c>
      <c r="D215" s="31" t="s">
        <v>893</v>
      </c>
      <c r="E215" s="42" t="str">
        <f t="shared" si="9"/>
        <v>case 211: strcpy(AMP1_A,("Not Used")); strcpy(AMP1_B,("Not Used")); strcpy(AMP1_C,("Not Used")); strcpy(AMP1_D,("Not Used")); strcpy(AMP2_A,("Not Used")); strcpy(AMP2_B,("Not Used")); strcpy(AMP2_C,("Not Used")); strcpy(AMP2_D,("Not Used"));  break;</v>
      </c>
      <c r="F215" t="s">
        <v>893</v>
      </c>
      <c r="I215" t="s">
        <v>893</v>
      </c>
      <c r="J215" s="45" t="str">
        <f>VLOOKUP(S215,'AMP models AxeFxIII'!$D$2:$H$299,2,FALSE)</f>
        <v>Not Used</v>
      </c>
      <c r="K215" s="45" t="str">
        <f>VLOOKUP(T215,'AMP models AxeFxIII'!$D$2:$H$299,2,FALSE)</f>
        <v>Not Used</v>
      </c>
      <c r="L215" s="45" t="str">
        <f>VLOOKUP(U215,'AMP models AxeFxIII'!$D$2:$H$299,2,FALSE)</f>
        <v>Not Used</v>
      </c>
      <c r="M215" s="45" t="str">
        <f>VLOOKUP(V215,'AMP models AxeFxIII'!$D$2:$H$299,2,FALSE)</f>
        <v>Not Used</v>
      </c>
      <c r="N215" s="45" t="str">
        <f>VLOOKUP(W215,'AMP models AxeFxIII'!$D$2:$H$299,2,FALSE)</f>
        <v>Not Used</v>
      </c>
      <c r="O215" s="45" t="str">
        <f>VLOOKUP(X215,'AMP models AxeFxIII'!$D$2:$H$299,2,FALSE)</f>
        <v>Not Used</v>
      </c>
      <c r="P215" s="45" t="str">
        <f>VLOOKUP(Y215,'AMP models AxeFxIII'!$D$2:$H$299,2,FALSE)</f>
        <v>Not Used</v>
      </c>
      <c r="Q215" s="45" t="str">
        <f>VLOOKUP(Z215,'AMP models AxeFxIII'!$D$2:$H$299,2,FALSE)</f>
        <v>Not Used</v>
      </c>
      <c r="R215" s="4">
        <v>211</v>
      </c>
      <c r="S215" s="46" t="s">
        <v>555</v>
      </c>
      <c r="T215" s="46" t="s">
        <v>555</v>
      </c>
      <c r="U215" s="46" t="s">
        <v>555</v>
      </c>
      <c r="V215" s="46" t="s">
        <v>555</v>
      </c>
      <c r="W215" s="46" t="s">
        <v>555</v>
      </c>
      <c r="X215" s="46" t="s">
        <v>555</v>
      </c>
      <c r="Y215" s="46" t="s">
        <v>555</v>
      </c>
      <c r="Z215" s="46" t="s">
        <v>555</v>
      </c>
    </row>
    <row r="216" spans="1:26">
      <c r="A216" s="41">
        <f>preset_Names!A216</f>
        <v>212</v>
      </c>
      <c r="B216" t="str">
        <f t="shared" si="10"/>
        <v xml:space="preserve">strcpy(AMP1_A,("Not Used")); strcpy(AMP1_B,("Not Used")); strcpy(AMP1_C,("Not Used")); strcpy(AMP1_D,("Not Used")); </v>
      </c>
      <c r="C216" t="str">
        <f t="shared" si="11"/>
        <v xml:space="preserve">strcpy(AMP2_A,("Not Used")); strcpy(AMP2_B,("Not Used")); strcpy(AMP2_C,("Not Used")); strcpy(AMP2_D,("Not Used")); </v>
      </c>
      <c r="D216" s="31" t="s">
        <v>893</v>
      </c>
      <c r="E216" s="42" t="str">
        <f t="shared" si="9"/>
        <v>case 212: strcpy(AMP1_A,("Not Used")); strcpy(AMP1_B,("Not Used")); strcpy(AMP1_C,("Not Used")); strcpy(AMP1_D,("Not Used")); strcpy(AMP2_A,("Not Used")); strcpy(AMP2_B,("Not Used")); strcpy(AMP2_C,("Not Used")); strcpy(AMP2_D,("Not Used"));  break;</v>
      </c>
      <c r="F216" t="s">
        <v>893</v>
      </c>
      <c r="I216" t="s">
        <v>893</v>
      </c>
      <c r="J216" s="45" t="str">
        <f>VLOOKUP(S216,'AMP models AxeFxIII'!$D$2:$H$299,2,FALSE)</f>
        <v>Not Used</v>
      </c>
      <c r="K216" s="45" t="str">
        <f>VLOOKUP(T216,'AMP models AxeFxIII'!$D$2:$H$299,2,FALSE)</f>
        <v>Not Used</v>
      </c>
      <c r="L216" s="45" t="str">
        <f>VLOOKUP(U216,'AMP models AxeFxIII'!$D$2:$H$299,2,FALSE)</f>
        <v>Not Used</v>
      </c>
      <c r="M216" s="45" t="str">
        <f>VLOOKUP(V216,'AMP models AxeFxIII'!$D$2:$H$299,2,FALSE)</f>
        <v>Not Used</v>
      </c>
      <c r="N216" s="45" t="str">
        <f>VLOOKUP(W216,'AMP models AxeFxIII'!$D$2:$H$299,2,FALSE)</f>
        <v>Not Used</v>
      </c>
      <c r="O216" s="45" t="str">
        <f>VLOOKUP(X216,'AMP models AxeFxIII'!$D$2:$H$299,2,FALSE)</f>
        <v>Not Used</v>
      </c>
      <c r="P216" s="45" t="str">
        <f>VLOOKUP(Y216,'AMP models AxeFxIII'!$D$2:$H$299,2,FALSE)</f>
        <v>Not Used</v>
      </c>
      <c r="Q216" s="45" t="str">
        <f>VLOOKUP(Z216,'AMP models AxeFxIII'!$D$2:$H$299,2,FALSE)</f>
        <v>Not Used</v>
      </c>
      <c r="R216" s="4">
        <v>212</v>
      </c>
      <c r="S216" s="46" t="s">
        <v>555</v>
      </c>
      <c r="T216" s="46" t="s">
        <v>555</v>
      </c>
      <c r="U216" s="46" t="s">
        <v>555</v>
      </c>
      <c r="V216" s="46" t="s">
        <v>555</v>
      </c>
      <c r="W216" s="46" t="s">
        <v>555</v>
      </c>
      <c r="X216" s="46" t="s">
        <v>555</v>
      </c>
      <c r="Y216" s="46" t="s">
        <v>555</v>
      </c>
      <c r="Z216" s="46" t="s">
        <v>555</v>
      </c>
    </row>
    <row r="217" spans="1:26">
      <c r="A217" s="41">
        <f>preset_Names!A217</f>
        <v>213</v>
      </c>
      <c r="B217" t="str">
        <f t="shared" si="10"/>
        <v xml:space="preserve">strcpy(AMP1_A,("Not Used")); strcpy(AMP1_B,("Not Used")); strcpy(AMP1_C,("Not Used")); strcpy(AMP1_D,("Not Used")); </v>
      </c>
      <c r="C217" t="str">
        <f t="shared" si="11"/>
        <v xml:space="preserve">strcpy(AMP2_A,("Not Used")); strcpy(AMP2_B,("Not Used")); strcpy(AMP2_C,("Not Used")); strcpy(AMP2_D,("Not Used")); </v>
      </c>
      <c r="D217" s="31" t="s">
        <v>893</v>
      </c>
      <c r="E217" s="42" t="str">
        <f t="shared" si="9"/>
        <v>case 213: strcpy(AMP1_A,("Not Used")); strcpy(AMP1_B,("Not Used")); strcpy(AMP1_C,("Not Used")); strcpy(AMP1_D,("Not Used")); strcpy(AMP2_A,("Not Used")); strcpy(AMP2_B,("Not Used")); strcpy(AMP2_C,("Not Used")); strcpy(AMP2_D,("Not Used"));  break;</v>
      </c>
      <c r="F217" t="s">
        <v>893</v>
      </c>
      <c r="I217" t="s">
        <v>893</v>
      </c>
      <c r="J217" s="45" t="str">
        <f>VLOOKUP(S217,'AMP models AxeFxIII'!$D$2:$H$299,2,FALSE)</f>
        <v>Not Used</v>
      </c>
      <c r="K217" s="45" t="str">
        <f>VLOOKUP(T217,'AMP models AxeFxIII'!$D$2:$H$299,2,FALSE)</f>
        <v>Not Used</v>
      </c>
      <c r="L217" s="45" t="str">
        <f>VLOOKUP(U217,'AMP models AxeFxIII'!$D$2:$H$299,2,FALSE)</f>
        <v>Not Used</v>
      </c>
      <c r="M217" s="45" t="str">
        <f>VLOOKUP(V217,'AMP models AxeFxIII'!$D$2:$H$299,2,FALSE)</f>
        <v>Not Used</v>
      </c>
      <c r="N217" s="45" t="str">
        <f>VLOOKUP(W217,'AMP models AxeFxIII'!$D$2:$H$299,2,FALSE)</f>
        <v>Not Used</v>
      </c>
      <c r="O217" s="45" t="str">
        <f>VLOOKUP(X217,'AMP models AxeFxIII'!$D$2:$H$299,2,FALSE)</f>
        <v>Not Used</v>
      </c>
      <c r="P217" s="45" t="str">
        <f>VLOOKUP(Y217,'AMP models AxeFxIII'!$D$2:$H$299,2,FALSE)</f>
        <v>Not Used</v>
      </c>
      <c r="Q217" s="45" t="str">
        <f>VLOOKUP(Z217,'AMP models AxeFxIII'!$D$2:$H$299,2,FALSE)</f>
        <v>Not Used</v>
      </c>
      <c r="R217" s="4">
        <v>213</v>
      </c>
      <c r="S217" s="46" t="s">
        <v>555</v>
      </c>
      <c r="T217" s="46" t="s">
        <v>555</v>
      </c>
      <c r="U217" s="46" t="s">
        <v>555</v>
      </c>
      <c r="V217" s="46" t="s">
        <v>555</v>
      </c>
      <c r="W217" s="46" t="s">
        <v>555</v>
      </c>
      <c r="X217" s="46" t="s">
        <v>555</v>
      </c>
      <c r="Y217" s="46" t="s">
        <v>555</v>
      </c>
      <c r="Z217" s="46" t="s">
        <v>555</v>
      </c>
    </row>
    <row r="218" spans="1:26">
      <c r="A218" s="41">
        <f>preset_Names!A218</f>
        <v>214</v>
      </c>
      <c r="B218" t="str">
        <f t="shared" si="10"/>
        <v xml:space="preserve">strcpy(AMP1_A,("Not Used")); strcpy(AMP1_B,("Not Used")); strcpy(AMP1_C,("Not Used")); strcpy(AMP1_D,("Not Used")); </v>
      </c>
      <c r="C218" t="str">
        <f t="shared" si="11"/>
        <v xml:space="preserve">strcpy(AMP2_A,("Not Used")); strcpy(AMP2_B,("Not Used")); strcpy(AMP2_C,("Not Used")); strcpy(AMP2_D,("Not Used")); </v>
      </c>
      <c r="D218" s="31" t="s">
        <v>893</v>
      </c>
      <c r="E218" s="42" t="str">
        <f t="shared" si="9"/>
        <v>case 214: strcpy(AMP1_A,("Not Used")); strcpy(AMP1_B,("Not Used")); strcpy(AMP1_C,("Not Used")); strcpy(AMP1_D,("Not Used")); strcpy(AMP2_A,("Not Used")); strcpy(AMP2_B,("Not Used")); strcpy(AMP2_C,("Not Used")); strcpy(AMP2_D,("Not Used"));  break;</v>
      </c>
      <c r="F218" t="s">
        <v>893</v>
      </c>
      <c r="I218" t="s">
        <v>893</v>
      </c>
      <c r="J218" s="45" t="str">
        <f>VLOOKUP(S218,'AMP models AxeFxIII'!$D$2:$H$299,2,FALSE)</f>
        <v>Not Used</v>
      </c>
      <c r="K218" s="45" t="str">
        <f>VLOOKUP(T218,'AMP models AxeFxIII'!$D$2:$H$299,2,FALSE)</f>
        <v>Not Used</v>
      </c>
      <c r="L218" s="45" t="str">
        <f>VLOOKUP(U218,'AMP models AxeFxIII'!$D$2:$H$299,2,FALSE)</f>
        <v>Not Used</v>
      </c>
      <c r="M218" s="45" t="str">
        <f>VLOOKUP(V218,'AMP models AxeFxIII'!$D$2:$H$299,2,FALSE)</f>
        <v>Not Used</v>
      </c>
      <c r="N218" s="45" t="str">
        <f>VLOOKUP(W218,'AMP models AxeFxIII'!$D$2:$H$299,2,FALSE)</f>
        <v>Not Used</v>
      </c>
      <c r="O218" s="45" t="str">
        <f>VLOOKUP(X218,'AMP models AxeFxIII'!$D$2:$H$299,2,FALSE)</f>
        <v>Not Used</v>
      </c>
      <c r="P218" s="45" t="str">
        <f>VLOOKUP(Y218,'AMP models AxeFxIII'!$D$2:$H$299,2,FALSE)</f>
        <v>Not Used</v>
      </c>
      <c r="Q218" s="45" t="str">
        <f>VLOOKUP(Z218,'AMP models AxeFxIII'!$D$2:$H$299,2,FALSE)</f>
        <v>Not Used</v>
      </c>
      <c r="R218" s="4">
        <v>214</v>
      </c>
      <c r="S218" s="46" t="s">
        <v>555</v>
      </c>
      <c r="T218" s="46" t="s">
        <v>555</v>
      </c>
      <c r="U218" s="46" t="s">
        <v>555</v>
      </c>
      <c r="V218" s="46" t="s">
        <v>555</v>
      </c>
      <c r="W218" s="46" t="s">
        <v>555</v>
      </c>
      <c r="X218" s="46" t="s">
        <v>555</v>
      </c>
      <c r="Y218" s="46" t="s">
        <v>555</v>
      </c>
      <c r="Z218" s="46" t="s">
        <v>555</v>
      </c>
    </row>
    <row r="219" spans="1:26">
      <c r="A219" s="41">
        <f>preset_Names!A219</f>
        <v>215</v>
      </c>
      <c r="B219" t="str">
        <f t="shared" si="10"/>
        <v xml:space="preserve">strcpy(AMP1_A,("Not Used")); strcpy(AMP1_B,("Not Used")); strcpy(AMP1_C,("Not Used")); strcpy(AMP1_D,("Not Used")); </v>
      </c>
      <c r="C219" t="str">
        <f t="shared" si="11"/>
        <v xml:space="preserve">strcpy(AMP2_A,("Not Used")); strcpy(AMP2_B,("Not Used")); strcpy(AMP2_C,("Not Used")); strcpy(AMP2_D,("Not Used")); </v>
      </c>
      <c r="D219" s="31" t="s">
        <v>893</v>
      </c>
      <c r="E219" s="42" t="str">
        <f t="shared" si="9"/>
        <v>case 215: strcpy(AMP1_A,("Not Used")); strcpy(AMP1_B,("Not Used")); strcpy(AMP1_C,("Not Used")); strcpy(AMP1_D,("Not Used")); strcpy(AMP2_A,("Not Used")); strcpy(AMP2_B,("Not Used")); strcpy(AMP2_C,("Not Used")); strcpy(AMP2_D,("Not Used"));  break;</v>
      </c>
      <c r="F219" t="s">
        <v>893</v>
      </c>
      <c r="I219" t="s">
        <v>893</v>
      </c>
      <c r="J219" s="45" t="str">
        <f>VLOOKUP(S219,'AMP models AxeFxIII'!$D$2:$H$299,2,FALSE)</f>
        <v>Not Used</v>
      </c>
      <c r="K219" s="45" t="str">
        <f>VLOOKUP(T219,'AMP models AxeFxIII'!$D$2:$H$299,2,FALSE)</f>
        <v>Not Used</v>
      </c>
      <c r="L219" s="45" t="str">
        <f>VLOOKUP(U219,'AMP models AxeFxIII'!$D$2:$H$299,2,FALSE)</f>
        <v>Not Used</v>
      </c>
      <c r="M219" s="45" t="str">
        <f>VLOOKUP(V219,'AMP models AxeFxIII'!$D$2:$H$299,2,FALSE)</f>
        <v>Not Used</v>
      </c>
      <c r="N219" s="45" t="str">
        <f>VLOOKUP(W219,'AMP models AxeFxIII'!$D$2:$H$299,2,FALSE)</f>
        <v>Not Used</v>
      </c>
      <c r="O219" s="45" t="str">
        <f>VLOOKUP(X219,'AMP models AxeFxIII'!$D$2:$H$299,2,FALSE)</f>
        <v>Not Used</v>
      </c>
      <c r="P219" s="45" t="str">
        <f>VLOOKUP(Y219,'AMP models AxeFxIII'!$D$2:$H$299,2,FALSE)</f>
        <v>Not Used</v>
      </c>
      <c r="Q219" s="45" t="str">
        <f>VLOOKUP(Z219,'AMP models AxeFxIII'!$D$2:$H$299,2,FALSE)</f>
        <v>Not Used</v>
      </c>
      <c r="R219" s="4">
        <v>215</v>
      </c>
      <c r="S219" s="46" t="s">
        <v>555</v>
      </c>
      <c r="T219" s="46" t="s">
        <v>555</v>
      </c>
      <c r="U219" s="46" t="s">
        <v>555</v>
      </c>
      <c r="V219" s="46" t="s">
        <v>555</v>
      </c>
      <c r="W219" s="46" t="s">
        <v>555</v>
      </c>
      <c r="X219" s="46" t="s">
        <v>555</v>
      </c>
      <c r="Y219" s="46" t="s">
        <v>555</v>
      </c>
      <c r="Z219" s="46" t="s">
        <v>555</v>
      </c>
    </row>
    <row r="220" spans="1:26">
      <c r="A220" s="41">
        <f>preset_Names!A220</f>
        <v>216</v>
      </c>
      <c r="B220" t="str">
        <f t="shared" si="10"/>
        <v xml:space="preserve">strcpy(AMP1_A,("Not Used")); strcpy(AMP1_B,("Not Used")); strcpy(AMP1_C,("Not Used")); strcpy(AMP1_D,("Not Used")); </v>
      </c>
      <c r="C220" t="str">
        <f t="shared" si="11"/>
        <v xml:space="preserve">strcpy(AMP2_A,("Not Used")); strcpy(AMP2_B,("Not Used")); strcpy(AMP2_C,("Not Used")); strcpy(AMP2_D,("Not Used")); </v>
      </c>
      <c r="D220" s="31" t="s">
        <v>893</v>
      </c>
      <c r="E220" s="42" t="str">
        <f t="shared" si="9"/>
        <v>case 216: strcpy(AMP1_A,("Not Used")); strcpy(AMP1_B,("Not Used")); strcpy(AMP1_C,("Not Used")); strcpy(AMP1_D,("Not Used")); strcpy(AMP2_A,("Not Used")); strcpy(AMP2_B,("Not Used")); strcpy(AMP2_C,("Not Used")); strcpy(AMP2_D,("Not Used"));  break;</v>
      </c>
      <c r="F220" t="s">
        <v>893</v>
      </c>
      <c r="I220" t="s">
        <v>893</v>
      </c>
      <c r="J220" s="45" t="str">
        <f>VLOOKUP(S220,'AMP models AxeFxIII'!$D$2:$H$299,2,FALSE)</f>
        <v>Not Used</v>
      </c>
      <c r="K220" s="45" t="str">
        <f>VLOOKUP(T220,'AMP models AxeFxIII'!$D$2:$H$299,2,FALSE)</f>
        <v>Not Used</v>
      </c>
      <c r="L220" s="45" t="str">
        <f>VLOOKUP(U220,'AMP models AxeFxIII'!$D$2:$H$299,2,FALSE)</f>
        <v>Not Used</v>
      </c>
      <c r="M220" s="45" t="str">
        <f>VLOOKUP(V220,'AMP models AxeFxIII'!$D$2:$H$299,2,FALSE)</f>
        <v>Not Used</v>
      </c>
      <c r="N220" s="45" t="str">
        <f>VLOOKUP(W220,'AMP models AxeFxIII'!$D$2:$H$299,2,FALSE)</f>
        <v>Not Used</v>
      </c>
      <c r="O220" s="45" t="str">
        <f>VLOOKUP(X220,'AMP models AxeFxIII'!$D$2:$H$299,2,FALSE)</f>
        <v>Not Used</v>
      </c>
      <c r="P220" s="45" t="str">
        <f>VLOOKUP(Y220,'AMP models AxeFxIII'!$D$2:$H$299,2,FALSE)</f>
        <v>Not Used</v>
      </c>
      <c r="Q220" s="45" t="str">
        <f>VLOOKUP(Z220,'AMP models AxeFxIII'!$D$2:$H$299,2,FALSE)</f>
        <v>Not Used</v>
      </c>
      <c r="R220" s="4">
        <v>216</v>
      </c>
      <c r="S220" s="46" t="s">
        <v>555</v>
      </c>
      <c r="T220" s="46" t="s">
        <v>555</v>
      </c>
      <c r="U220" s="46" t="s">
        <v>555</v>
      </c>
      <c r="V220" s="46" t="s">
        <v>555</v>
      </c>
      <c r="W220" s="46" t="s">
        <v>555</v>
      </c>
      <c r="X220" s="46" t="s">
        <v>555</v>
      </c>
      <c r="Y220" s="46" t="s">
        <v>555</v>
      </c>
      <c r="Z220" s="46" t="s">
        <v>555</v>
      </c>
    </row>
    <row r="221" spans="1:26">
      <c r="A221" s="41">
        <f>preset_Names!A221</f>
        <v>217</v>
      </c>
      <c r="B221" t="str">
        <f t="shared" si="10"/>
        <v xml:space="preserve">strcpy(AMP1_A,("Not Used")); strcpy(AMP1_B,("Not Used")); strcpy(AMP1_C,("Not Used")); strcpy(AMP1_D,("Not Used")); </v>
      </c>
      <c r="C221" t="str">
        <f t="shared" si="11"/>
        <v xml:space="preserve">strcpy(AMP2_A,("Not Used")); strcpy(AMP2_B,("Not Used")); strcpy(AMP2_C,("Not Used")); strcpy(AMP2_D,("Not Used")); </v>
      </c>
      <c r="D221" s="31" t="s">
        <v>893</v>
      </c>
      <c r="E221" s="42" t="str">
        <f t="shared" si="9"/>
        <v>case 217: strcpy(AMP1_A,("Not Used")); strcpy(AMP1_B,("Not Used")); strcpy(AMP1_C,("Not Used")); strcpy(AMP1_D,("Not Used")); strcpy(AMP2_A,("Not Used")); strcpy(AMP2_B,("Not Used")); strcpy(AMP2_C,("Not Used")); strcpy(AMP2_D,("Not Used"));  break;</v>
      </c>
      <c r="F221" t="s">
        <v>893</v>
      </c>
      <c r="I221" t="s">
        <v>893</v>
      </c>
      <c r="J221" s="45" t="str">
        <f>VLOOKUP(S221,'AMP models AxeFxIII'!$D$2:$H$299,2,FALSE)</f>
        <v>Not Used</v>
      </c>
      <c r="K221" s="45" t="str">
        <f>VLOOKUP(T221,'AMP models AxeFxIII'!$D$2:$H$299,2,FALSE)</f>
        <v>Not Used</v>
      </c>
      <c r="L221" s="45" t="str">
        <f>VLOOKUP(U221,'AMP models AxeFxIII'!$D$2:$H$299,2,FALSE)</f>
        <v>Not Used</v>
      </c>
      <c r="M221" s="45" t="str">
        <f>VLOOKUP(V221,'AMP models AxeFxIII'!$D$2:$H$299,2,FALSE)</f>
        <v>Not Used</v>
      </c>
      <c r="N221" s="45" t="str">
        <f>VLOOKUP(W221,'AMP models AxeFxIII'!$D$2:$H$299,2,FALSE)</f>
        <v>Not Used</v>
      </c>
      <c r="O221" s="45" t="str">
        <f>VLOOKUP(X221,'AMP models AxeFxIII'!$D$2:$H$299,2,FALSE)</f>
        <v>Not Used</v>
      </c>
      <c r="P221" s="45" t="str">
        <f>VLOOKUP(Y221,'AMP models AxeFxIII'!$D$2:$H$299,2,FALSE)</f>
        <v>Not Used</v>
      </c>
      <c r="Q221" s="45" t="str">
        <f>VLOOKUP(Z221,'AMP models AxeFxIII'!$D$2:$H$299,2,FALSE)</f>
        <v>Not Used</v>
      </c>
      <c r="R221" s="4">
        <v>217</v>
      </c>
      <c r="S221" s="46" t="s">
        <v>555</v>
      </c>
      <c r="T221" s="46" t="s">
        <v>555</v>
      </c>
      <c r="U221" s="46" t="s">
        <v>555</v>
      </c>
      <c r="V221" s="46" t="s">
        <v>555</v>
      </c>
      <c r="W221" s="46" t="s">
        <v>555</v>
      </c>
      <c r="X221" s="46" t="s">
        <v>555</v>
      </c>
      <c r="Y221" s="46" t="s">
        <v>555</v>
      </c>
      <c r="Z221" s="46" t="s">
        <v>555</v>
      </c>
    </row>
    <row r="222" spans="1:26">
      <c r="A222" s="41">
        <f>preset_Names!A222</f>
        <v>218</v>
      </c>
      <c r="B222" t="str">
        <f t="shared" si="10"/>
        <v xml:space="preserve">strcpy(AMP1_A,("Not Used")); strcpy(AMP1_B,("Not Used")); strcpy(AMP1_C,("Not Used")); strcpy(AMP1_D,("Not Used")); </v>
      </c>
      <c r="C222" t="str">
        <f t="shared" si="11"/>
        <v xml:space="preserve">strcpy(AMP2_A,("Not Used")); strcpy(AMP2_B,("Not Used")); strcpy(AMP2_C,("Not Used")); strcpy(AMP2_D,("Not Used")); </v>
      </c>
      <c r="D222" s="31" t="s">
        <v>893</v>
      </c>
      <c r="E222" s="42" t="str">
        <f t="shared" si="9"/>
        <v>case 218: strcpy(AMP1_A,("Not Used")); strcpy(AMP1_B,("Not Used")); strcpy(AMP1_C,("Not Used")); strcpy(AMP1_D,("Not Used")); strcpy(AMP2_A,("Not Used")); strcpy(AMP2_B,("Not Used")); strcpy(AMP2_C,("Not Used")); strcpy(AMP2_D,("Not Used"));  break;</v>
      </c>
      <c r="F222" t="s">
        <v>893</v>
      </c>
      <c r="I222" t="s">
        <v>893</v>
      </c>
      <c r="J222" s="45" t="str">
        <f>VLOOKUP(S222,'AMP models AxeFxIII'!$D$2:$H$299,2,FALSE)</f>
        <v>Not Used</v>
      </c>
      <c r="K222" s="45" t="str">
        <f>VLOOKUP(T222,'AMP models AxeFxIII'!$D$2:$H$299,2,FALSE)</f>
        <v>Not Used</v>
      </c>
      <c r="L222" s="45" t="str">
        <f>VLOOKUP(U222,'AMP models AxeFxIII'!$D$2:$H$299,2,FALSE)</f>
        <v>Not Used</v>
      </c>
      <c r="M222" s="45" t="str">
        <f>VLOOKUP(V222,'AMP models AxeFxIII'!$D$2:$H$299,2,FALSE)</f>
        <v>Not Used</v>
      </c>
      <c r="N222" s="45" t="str">
        <f>VLOOKUP(W222,'AMP models AxeFxIII'!$D$2:$H$299,2,FALSE)</f>
        <v>Not Used</v>
      </c>
      <c r="O222" s="45" t="str">
        <f>VLOOKUP(X222,'AMP models AxeFxIII'!$D$2:$H$299,2,FALSE)</f>
        <v>Not Used</v>
      </c>
      <c r="P222" s="45" t="str">
        <f>VLOOKUP(Y222,'AMP models AxeFxIII'!$D$2:$H$299,2,FALSE)</f>
        <v>Not Used</v>
      </c>
      <c r="Q222" s="45" t="str">
        <f>VLOOKUP(Z222,'AMP models AxeFxIII'!$D$2:$H$299,2,FALSE)</f>
        <v>Not Used</v>
      </c>
      <c r="R222" s="4">
        <v>218</v>
      </c>
      <c r="S222" s="46" t="s">
        <v>555</v>
      </c>
      <c r="T222" s="46" t="s">
        <v>555</v>
      </c>
      <c r="U222" s="46" t="s">
        <v>555</v>
      </c>
      <c r="V222" s="46" t="s">
        <v>555</v>
      </c>
      <c r="W222" s="46" t="s">
        <v>555</v>
      </c>
      <c r="X222" s="46" t="s">
        <v>555</v>
      </c>
      <c r="Y222" s="46" t="s">
        <v>555</v>
      </c>
      <c r="Z222" s="46" t="s">
        <v>555</v>
      </c>
    </row>
    <row r="223" spans="1:26">
      <c r="A223" s="41">
        <f>preset_Names!A223</f>
        <v>219</v>
      </c>
      <c r="B223" t="str">
        <f t="shared" si="10"/>
        <v xml:space="preserve">strcpy(AMP1_A,("Not Used")); strcpy(AMP1_B,("Not Used")); strcpy(AMP1_C,("Not Used")); strcpy(AMP1_D,("Not Used")); </v>
      </c>
      <c r="C223" t="str">
        <f t="shared" si="11"/>
        <v xml:space="preserve">strcpy(AMP2_A,("Not Used")); strcpy(AMP2_B,("Not Used")); strcpy(AMP2_C,("Not Used")); strcpy(AMP2_D,("Not Used")); </v>
      </c>
      <c r="D223" s="31" t="s">
        <v>893</v>
      </c>
      <c r="E223" s="42" t="str">
        <f t="shared" si="9"/>
        <v>case 219: strcpy(AMP1_A,("Not Used")); strcpy(AMP1_B,("Not Used")); strcpy(AMP1_C,("Not Used")); strcpy(AMP1_D,("Not Used")); strcpy(AMP2_A,("Not Used")); strcpy(AMP2_B,("Not Used")); strcpy(AMP2_C,("Not Used")); strcpy(AMP2_D,("Not Used"));  break;</v>
      </c>
      <c r="F223" t="s">
        <v>893</v>
      </c>
      <c r="I223" t="s">
        <v>893</v>
      </c>
      <c r="J223" s="45" t="str">
        <f>VLOOKUP(S223,'AMP models AxeFxIII'!$D$2:$H$299,2,FALSE)</f>
        <v>Not Used</v>
      </c>
      <c r="K223" s="45" t="str">
        <f>VLOOKUP(T223,'AMP models AxeFxIII'!$D$2:$H$299,2,FALSE)</f>
        <v>Not Used</v>
      </c>
      <c r="L223" s="45" t="str">
        <f>VLOOKUP(U223,'AMP models AxeFxIII'!$D$2:$H$299,2,FALSE)</f>
        <v>Not Used</v>
      </c>
      <c r="M223" s="45" t="str">
        <f>VLOOKUP(V223,'AMP models AxeFxIII'!$D$2:$H$299,2,FALSE)</f>
        <v>Not Used</v>
      </c>
      <c r="N223" s="45" t="str">
        <f>VLOOKUP(W223,'AMP models AxeFxIII'!$D$2:$H$299,2,FALSE)</f>
        <v>Not Used</v>
      </c>
      <c r="O223" s="45" t="str">
        <f>VLOOKUP(X223,'AMP models AxeFxIII'!$D$2:$H$299,2,FALSE)</f>
        <v>Not Used</v>
      </c>
      <c r="P223" s="45" t="str">
        <f>VLOOKUP(Y223,'AMP models AxeFxIII'!$D$2:$H$299,2,FALSE)</f>
        <v>Not Used</v>
      </c>
      <c r="Q223" s="45" t="str">
        <f>VLOOKUP(Z223,'AMP models AxeFxIII'!$D$2:$H$299,2,FALSE)</f>
        <v>Not Used</v>
      </c>
      <c r="R223" s="4">
        <v>219</v>
      </c>
      <c r="S223" s="46" t="s">
        <v>555</v>
      </c>
      <c r="T223" s="46" t="s">
        <v>555</v>
      </c>
      <c r="U223" s="46" t="s">
        <v>555</v>
      </c>
      <c r="V223" s="46" t="s">
        <v>555</v>
      </c>
      <c r="W223" s="46" t="s">
        <v>555</v>
      </c>
      <c r="X223" s="46" t="s">
        <v>555</v>
      </c>
      <c r="Y223" s="46" t="s">
        <v>555</v>
      </c>
      <c r="Z223" s="46" t="s">
        <v>555</v>
      </c>
    </row>
    <row r="224" spans="1:26">
      <c r="A224" s="41">
        <f>preset_Names!A224</f>
        <v>220</v>
      </c>
      <c r="B224" t="str">
        <f t="shared" si="10"/>
        <v xml:space="preserve">strcpy(AMP1_A,("Not Used")); strcpy(AMP1_B,("Not Used")); strcpy(AMP1_C,("Not Used")); strcpy(AMP1_D,("Not Used")); </v>
      </c>
      <c r="C224" t="str">
        <f t="shared" si="11"/>
        <v xml:space="preserve">strcpy(AMP2_A,("Not Used")); strcpy(AMP2_B,("Not Used")); strcpy(AMP2_C,("Not Used")); strcpy(AMP2_D,("Not Used")); </v>
      </c>
      <c r="D224" s="31" t="s">
        <v>893</v>
      </c>
      <c r="E224" s="42" t="str">
        <f t="shared" si="9"/>
        <v>case 220: strcpy(AMP1_A,("Not Used")); strcpy(AMP1_B,("Not Used")); strcpy(AMP1_C,("Not Used")); strcpy(AMP1_D,("Not Used")); strcpy(AMP2_A,("Not Used")); strcpy(AMP2_B,("Not Used")); strcpy(AMP2_C,("Not Used")); strcpy(AMP2_D,("Not Used"));  break;</v>
      </c>
      <c r="F224" t="s">
        <v>893</v>
      </c>
      <c r="I224" t="s">
        <v>893</v>
      </c>
      <c r="J224" s="45" t="str">
        <f>VLOOKUP(S224,'AMP models AxeFxIII'!$D$2:$H$299,2,FALSE)</f>
        <v>Not Used</v>
      </c>
      <c r="K224" s="45" t="str">
        <f>VLOOKUP(T224,'AMP models AxeFxIII'!$D$2:$H$299,2,FALSE)</f>
        <v>Not Used</v>
      </c>
      <c r="L224" s="45" t="str">
        <f>VLOOKUP(U224,'AMP models AxeFxIII'!$D$2:$H$299,2,FALSE)</f>
        <v>Not Used</v>
      </c>
      <c r="M224" s="45" t="str">
        <f>VLOOKUP(V224,'AMP models AxeFxIII'!$D$2:$H$299,2,FALSE)</f>
        <v>Not Used</v>
      </c>
      <c r="N224" s="45" t="str">
        <f>VLOOKUP(W224,'AMP models AxeFxIII'!$D$2:$H$299,2,FALSE)</f>
        <v>Not Used</v>
      </c>
      <c r="O224" s="45" t="str">
        <f>VLOOKUP(X224,'AMP models AxeFxIII'!$D$2:$H$299,2,FALSE)</f>
        <v>Not Used</v>
      </c>
      <c r="P224" s="45" t="str">
        <f>VLOOKUP(Y224,'AMP models AxeFxIII'!$D$2:$H$299,2,FALSE)</f>
        <v>Not Used</v>
      </c>
      <c r="Q224" s="45" t="str">
        <f>VLOOKUP(Z224,'AMP models AxeFxIII'!$D$2:$H$299,2,FALSE)</f>
        <v>Not Used</v>
      </c>
      <c r="R224" s="4">
        <v>220</v>
      </c>
      <c r="S224" s="46" t="s">
        <v>555</v>
      </c>
      <c r="T224" s="46" t="s">
        <v>555</v>
      </c>
      <c r="U224" s="46" t="s">
        <v>555</v>
      </c>
      <c r="V224" s="46" t="s">
        <v>555</v>
      </c>
      <c r="W224" s="46" t="s">
        <v>555</v>
      </c>
      <c r="X224" s="46" t="s">
        <v>555</v>
      </c>
      <c r="Y224" s="46" t="s">
        <v>555</v>
      </c>
      <c r="Z224" s="46" t="s">
        <v>555</v>
      </c>
    </row>
    <row r="225" spans="1:26">
      <c r="A225" s="41">
        <f>preset_Names!A225</f>
        <v>221</v>
      </c>
      <c r="B225" t="str">
        <f t="shared" si="10"/>
        <v xml:space="preserve">strcpy(AMP1_A,("Not Used")); strcpy(AMP1_B,("Not Used")); strcpy(AMP1_C,("Not Used")); strcpy(AMP1_D,("Not Used")); </v>
      </c>
      <c r="C225" t="str">
        <f t="shared" si="11"/>
        <v xml:space="preserve">strcpy(AMP2_A,("Not Used")); strcpy(AMP2_B,("Not Used")); strcpy(AMP2_C,("Not Used")); strcpy(AMP2_D,("Not Used")); </v>
      </c>
      <c r="D225" s="31" t="s">
        <v>893</v>
      </c>
      <c r="E225" s="42" t="str">
        <f t="shared" si="9"/>
        <v>case 221: strcpy(AMP1_A,("Not Used")); strcpy(AMP1_B,("Not Used")); strcpy(AMP1_C,("Not Used")); strcpy(AMP1_D,("Not Used")); strcpy(AMP2_A,("Not Used")); strcpy(AMP2_B,("Not Used")); strcpy(AMP2_C,("Not Used")); strcpy(AMP2_D,("Not Used"));  break;</v>
      </c>
      <c r="F225" t="s">
        <v>893</v>
      </c>
      <c r="I225" t="s">
        <v>893</v>
      </c>
      <c r="J225" s="45" t="str">
        <f>VLOOKUP(S225,'AMP models AxeFxIII'!$D$2:$H$299,2,FALSE)</f>
        <v>Not Used</v>
      </c>
      <c r="K225" s="45" t="str">
        <f>VLOOKUP(T225,'AMP models AxeFxIII'!$D$2:$H$299,2,FALSE)</f>
        <v>Not Used</v>
      </c>
      <c r="L225" s="45" t="str">
        <f>VLOOKUP(U225,'AMP models AxeFxIII'!$D$2:$H$299,2,FALSE)</f>
        <v>Not Used</v>
      </c>
      <c r="M225" s="45" t="str">
        <f>VLOOKUP(V225,'AMP models AxeFxIII'!$D$2:$H$299,2,FALSE)</f>
        <v>Not Used</v>
      </c>
      <c r="N225" s="45" t="str">
        <f>VLOOKUP(W225,'AMP models AxeFxIII'!$D$2:$H$299,2,FALSE)</f>
        <v>Not Used</v>
      </c>
      <c r="O225" s="45" t="str">
        <f>VLOOKUP(X225,'AMP models AxeFxIII'!$D$2:$H$299,2,FALSE)</f>
        <v>Not Used</v>
      </c>
      <c r="P225" s="45" t="str">
        <f>VLOOKUP(Y225,'AMP models AxeFxIII'!$D$2:$H$299,2,FALSE)</f>
        <v>Not Used</v>
      </c>
      <c r="Q225" s="45" t="str">
        <f>VLOOKUP(Z225,'AMP models AxeFxIII'!$D$2:$H$299,2,FALSE)</f>
        <v>Not Used</v>
      </c>
      <c r="R225" s="4">
        <v>221</v>
      </c>
      <c r="S225" s="46" t="s">
        <v>555</v>
      </c>
      <c r="T225" s="46" t="s">
        <v>555</v>
      </c>
      <c r="U225" s="46" t="s">
        <v>555</v>
      </c>
      <c r="V225" s="46" t="s">
        <v>555</v>
      </c>
      <c r="W225" s="46" t="s">
        <v>555</v>
      </c>
      <c r="X225" s="46" t="s">
        <v>555</v>
      </c>
      <c r="Y225" s="46" t="s">
        <v>555</v>
      </c>
      <c r="Z225" s="46" t="s">
        <v>555</v>
      </c>
    </row>
    <row r="226" spans="1:26">
      <c r="A226" s="41">
        <f>preset_Names!A226</f>
        <v>222</v>
      </c>
      <c r="B226" t="str">
        <f t="shared" si="10"/>
        <v xml:space="preserve">strcpy(AMP1_A,("Not Used")); strcpy(AMP1_B,("Not Used")); strcpy(AMP1_C,("Not Used")); strcpy(AMP1_D,("Not Used")); </v>
      </c>
      <c r="C226" t="str">
        <f t="shared" si="11"/>
        <v xml:space="preserve">strcpy(AMP2_A,("Not Used")); strcpy(AMP2_B,("Not Used")); strcpy(AMP2_C,("Not Used")); strcpy(AMP2_D,("Not Used")); </v>
      </c>
      <c r="D226" s="31" t="s">
        <v>893</v>
      </c>
      <c r="E226" s="42" t="str">
        <f t="shared" si="9"/>
        <v>case 222: strcpy(AMP1_A,("Not Used")); strcpy(AMP1_B,("Not Used")); strcpy(AMP1_C,("Not Used")); strcpy(AMP1_D,("Not Used")); strcpy(AMP2_A,("Not Used")); strcpy(AMP2_B,("Not Used")); strcpy(AMP2_C,("Not Used")); strcpy(AMP2_D,("Not Used"));  break;</v>
      </c>
      <c r="F226" t="s">
        <v>893</v>
      </c>
      <c r="I226" t="s">
        <v>893</v>
      </c>
      <c r="J226" s="45" t="str">
        <f>VLOOKUP(S226,'AMP models AxeFxIII'!$D$2:$H$299,2,FALSE)</f>
        <v>Not Used</v>
      </c>
      <c r="K226" s="45" t="str">
        <f>VLOOKUP(T226,'AMP models AxeFxIII'!$D$2:$H$299,2,FALSE)</f>
        <v>Not Used</v>
      </c>
      <c r="L226" s="45" t="str">
        <f>VLOOKUP(U226,'AMP models AxeFxIII'!$D$2:$H$299,2,FALSE)</f>
        <v>Not Used</v>
      </c>
      <c r="M226" s="45" t="str">
        <f>VLOOKUP(V226,'AMP models AxeFxIII'!$D$2:$H$299,2,FALSE)</f>
        <v>Not Used</v>
      </c>
      <c r="N226" s="45" t="str">
        <f>VLOOKUP(W226,'AMP models AxeFxIII'!$D$2:$H$299,2,FALSE)</f>
        <v>Not Used</v>
      </c>
      <c r="O226" s="45" t="str">
        <f>VLOOKUP(X226,'AMP models AxeFxIII'!$D$2:$H$299,2,FALSE)</f>
        <v>Not Used</v>
      </c>
      <c r="P226" s="45" t="str">
        <f>VLOOKUP(Y226,'AMP models AxeFxIII'!$D$2:$H$299,2,FALSE)</f>
        <v>Not Used</v>
      </c>
      <c r="Q226" s="45" t="str">
        <f>VLOOKUP(Z226,'AMP models AxeFxIII'!$D$2:$H$299,2,FALSE)</f>
        <v>Not Used</v>
      </c>
      <c r="R226" s="4">
        <v>222</v>
      </c>
      <c r="S226" s="46" t="s">
        <v>555</v>
      </c>
      <c r="T226" s="46" t="s">
        <v>555</v>
      </c>
      <c r="U226" s="46" t="s">
        <v>555</v>
      </c>
      <c r="V226" s="46" t="s">
        <v>555</v>
      </c>
      <c r="W226" s="46" t="s">
        <v>555</v>
      </c>
      <c r="X226" s="46" t="s">
        <v>555</v>
      </c>
      <c r="Y226" s="46" t="s">
        <v>555</v>
      </c>
      <c r="Z226" s="46" t="s">
        <v>555</v>
      </c>
    </row>
    <row r="227" spans="1:26">
      <c r="A227" s="41">
        <f>preset_Names!A227</f>
        <v>223</v>
      </c>
      <c r="B227" t="str">
        <f t="shared" si="10"/>
        <v xml:space="preserve">strcpy(AMP1_A,("Not Used")); strcpy(AMP1_B,("Not Used")); strcpy(AMP1_C,("Not Used")); strcpy(AMP1_D,("Not Used")); </v>
      </c>
      <c r="C227" t="str">
        <f t="shared" si="11"/>
        <v xml:space="preserve">strcpy(AMP2_A,("Not Used")); strcpy(AMP2_B,("Not Used")); strcpy(AMP2_C,("Not Used")); strcpy(AMP2_D,("Not Used")); </v>
      </c>
      <c r="D227" s="31" t="s">
        <v>893</v>
      </c>
      <c r="E227" s="42" t="str">
        <f t="shared" si="9"/>
        <v>case 223: strcpy(AMP1_A,("Not Used")); strcpy(AMP1_B,("Not Used")); strcpy(AMP1_C,("Not Used")); strcpy(AMP1_D,("Not Used")); strcpy(AMP2_A,("Not Used")); strcpy(AMP2_B,("Not Used")); strcpy(AMP2_C,("Not Used")); strcpy(AMP2_D,("Not Used"));  break;</v>
      </c>
      <c r="F227" t="s">
        <v>893</v>
      </c>
      <c r="I227" t="s">
        <v>893</v>
      </c>
      <c r="J227" s="45" t="str">
        <f>VLOOKUP(S227,'AMP models AxeFxIII'!$D$2:$H$299,2,FALSE)</f>
        <v>Not Used</v>
      </c>
      <c r="K227" s="45" t="str">
        <f>VLOOKUP(T227,'AMP models AxeFxIII'!$D$2:$H$299,2,FALSE)</f>
        <v>Not Used</v>
      </c>
      <c r="L227" s="45" t="str">
        <f>VLOOKUP(U227,'AMP models AxeFxIII'!$D$2:$H$299,2,FALSE)</f>
        <v>Not Used</v>
      </c>
      <c r="M227" s="45" t="str">
        <f>VLOOKUP(V227,'AMP models AxeFxIII'!$D$2:$H$299,2,FALSE)</f>
        <v>Not Used</v>
      </c>
      <c r="N227" s="45" t="str">
        <f>VLOOKUP(W227,'AMP models AxeFxIII'!$D$2:$H$299,2,FALSE)</f>
        <v>Not Used</v>
      </c>
      <c r="O227" s="45" t="str">
        <f>VLOOKUP(X227,'AMP models AxeFxIII'!$D$2:$H$299,2,FALSE)</f>
        <v>Not Used</v>
      </c>
      <c r="P227" s="45" t="str">
        <f>VLOOKUP(Y227,'AMP models AxeFxIII'!$D$2:$H$299,2,FALSE)</f>
        <v>Not Used</v>
      </c>
      <c r="Q227" s="45" t="str">
        <f>VLOOKUP(Z227,'AMP models AxeFxIII'!$D$2:$H$299,2,FALSE)</f>
        <v>Not Used</v>
      </c>
      <c r="R227" s="4">
        <v>223</v>
      </c>
      <c r="S227" s="46" t="s">
        <v>555</v>
      </c>
      <c r="T227" s="46" t="s">
        <v>555</v>
      </c>
      <c r="U227" s="46" t="s">
        <v>555</v>
      </c>
      <c r="V227" s="46" t="s">
        <v>555</v>
      </c>
      <c r="W227" s="46" t="s">
        <v>555</v>
      </c>
      <c r="X227" s="46" t="s">
        <v>555</v>
      </c>
      <c r="Y227" s="46" t="s">
        <v>555</v>
      </c>
      <c r="Z227" s="46" t="s">
        <v>555</v>
      </c>
    </row>
    <row r="228" spans="1:26">
      <c r="A228" s="41">
        <f>preset_Names!A228</f>
        <v>224</v>
      </c>
      <c r="B228" t="str">
        <f t="shared" si="10"/>
        <v xml:space="preserve">strcpy(AMP1_A,("Not Used")); strcpy(AMP1_B,("Not Used")); strcpy(AMP1_C,("Not Used")); strcpy(AMP1_D,("Not Used")); </v>
      </c>
      <c r="C228" t="str">
        <f t="shared" si="11"/>
        <v xml:space="preserve">strcpy(AMP2_A,("Not Used")); strcpy(AMP2_B,("Not Used")); strcpy(AMP2_C,("Not Used")); strcpy(AMP2_D,("Not Used")); </v>
      </c>
      <c r="D228" s="31" t="s">
        <v>893</v>
      </c>
      <c r="E228" s="42" t="str">
        <f t="shared" si="9"/>
        <v>case 224: strcpy(AMP1_A,("Not Used")); strcpy(AMP1_B,("Not Used")); strcpy(AMP1_C,("Not Used")); strcpy(AMP1_D,("Not Used")); strcpy(AMP2_A,("Not Used")); strcpy(AMP2_B,("Not Used")); strcpy(AMP2_C,("Not Used")); strcpy(AMP2_D,("Not Used"));  break;</v>
      </c>
      <c r="F228" t="s">
        <v>893</v>
      </c>
      <c r="I228" t="s">
        <v>893</v>
      </c>
      <c r="J228" s="45" t="str">
        <f>VLOOKUP(S228,'AMP models AxeFxIII'!$D$2:$H$299,2,FALSE)</f>
        <v>Not Used</v>
      </c>
      <c r="K228" s="45" t="str">
        <f>VLOOKUP(T228,'AMP models AxeFxIII'!$D$2:$H$299,2,FALSE)</f>
        <v>Not Used</v>
      </c>
      <c r="L228" s="45" t="str">
        <f>VLOOKUP(U228,'AMP models AxeFxIII'!$D$2:$H$299,2,FALSE)</f>
        <v>Not Used</v>
      </c>
      <c r="M228" s="45" t="str">
        <f>VLOOKUP(V228,'AMP models AxeFxIII'!$D$2:$H$299,2,FALSE)</f>
        <v>Not Used</v>
      </c>
      <c r="N228" s="45" t="str">
        <f>VLOOKUP(W228,'AMP models AxeFxIII'!$D$2:$H$299,2,FALSE)</f>
        <v>Not Used</v>
      </c>
      <c r="O228" s="45" t="str">
        <f>VLOOKUP(X228,'AMP models AxeFxIII'!$D$2:$H$299,2,FALSE)</f>
        <v>Not Used</v>
      </c>
      <c r="P228" s="45" t="str">
        <f>VLOOKUP(Y228,'AMP models AxeFxIII'!$D$2:$H$299,2,FALSE)</f>
        <v>Not Used</v>
      </c>
      <c r="Q228" s="45" t="str">
        <f>VLOOKUP(Z228,'AMP models AxeFxIII'!$D$2:$H$299,2,FALSE)</f>
        <v>Not Used</v>
      </c>
      <c r="R228" s="4">
        <v>224</v>
      </c>
      <c r="S228" s="46" t="s">
        <v>555</v>
      </c>
      <c r="T228" s="46" t="s">
        <v>555</v>
      </c>
      <c r="U228" s="46" t="s">
        <v>555</v>
      </c>
      <c r="V228" s="46" t="s">
        <v>555</v>
      </c>
      <c r="W228" s="46" t="s">
        <v>555</v>
      </c>
      <c r="X228" s="46" t="s">
        <v>555</v>
      </c>
      <c r="Y228" s="46" t="s">
        <v>555</v>
      </c>
      <c r="Z228" s="46" t="s">
        <v>555</v>
      </c>
    </row>
    <row r="229" spans="1:26">
      <c r="A229" s="41">
        <f>preset_Names!A229</f>
        <v>225</v>
      </c>
      <c r="B229" t="str">
        <f t="shared" si="10"/>
        <v xml:space="preserve">strcpy(AMP1_A,("Not Used")); strcpy(AMP1_B,("Not Used")); strcpy(AMP1_C,("Not Used")); strcpy(AMP1_D,("Not Used")); </v>
      </c>
      <c r="C229" t="str">
        <f t="shared" si="11"/>
        <v xml:space="preserve">strcpy(AMP2_A,("Not Used")); strcpy(AMP2_B,("Not Used")); strcpy(AMP2_C,("Not Used")); strcpy(AMP2_D,("Not Used")); </v>
      </c>
      <c r="D229" s="31" t="s">
        <v>893</v>
      </c>
      <c r="E229" s="42" t="str">
        <f t="shared" si="9"/>
        <v>case 225: strcpy(AMP1_A,("Not Used")); strcpy(AMP1_B,("Not Used")); strcpy(AMP1_C,("Not Used")); strcpy(AMP1_D,("Not Used")); strcpy(AMP2_A,("Not Used")); strcpy(AMP2_B,("Not Used")); strcpy(AMP2_C,("Not Used")); strcpy(AMP2_D,("Not Used"));  break;</v>
      </c>
      <c r="F229" t="s">
        <v>893</v>
      </c>
      <c r="I229" t="s">
        <v>893</v>
      </c>
      <c r="J229" s="45" t="str">
        <f>VLOOKUP(S229,'AMP models AxeFxIII'!$D$2:$H$299,2,FALSE)</f>
        <v>Not Used</v>
      </c>
      <c r="K229" s="45" t="str">
        <f>VLOOKUP(T229,'AMP models AxeFxIII'!$D$2:$H$299,2,FALSE)</f>
        <v>Not Used</v>
      </c>
      <c r="L229" s="45" t="str">
        <f>VLOOKUP(U229,'AMP models AxeFxIII'!$D$2:$H$299,2,FALSE)</f>
        <v>Not Used</v>
      </c>
      <c r="M229" s="45" t="str">
        <f>VLOOKUP(V229,'AMP models AxeFxIII'!$D$2:$H$299,2,FALSE)</f>
        <v>Not Used</v>
      </c>
      <c r="N229" s="45" t="str">
        <f>VLOOKUP(W229,'AMP models AxeFxIII'!$D$2:$H$299,2,FALSE)</f>
        <v>Not Used</v>
      </c>
      <c r="O229" s="45" t="str">
        <f>VLOOKUP(X229,'AMP models AxeFxIII'!$D$2:$H$299,2,FALSE)</f>
        <v>Not Used</v>
      </c>
      <c r="P229" s="45" t="str">
        <f>VLOOKUP(Y229,'AMP models AxeFxIII'!$D$2:$H$299,2,FALSE)</f>
        <v>Not Used</v>
      </c>
      <c r="Q229" s="45" t="str">
        <f>VLOOKUP(Z229,'AMP models AxeFxIII'!$D$2:$H$299,2,FALSE)</f>
        <v>Not Used</v>
      </c>
      <c r="R229" s="4">
        <v>225</v>
      </c>
      <c r="S229" s="46" t="s">
        <v>555</v>
      </c>
      <c r="T229" s="46" t="s">
        <v>555</v>
      </c>
      <c r="U229" s="46" t="s">
        <v>555</v>
      </c>
      <c r="V229" s="46" t="s">
        <v>555</v>
      </c>
      <c r="W229" s="46" t="s">
        <v>555</v>
      </c>
      <c r="X229" s="46" t="s">
        <v>555</v>
      </c>
      <c r="Y229" s="46" t="s">
        <v>555</v>
      </c>
      <c r="Z229" s="46" t="s">
        <v>555</v>
      </c>
    </row>
    <row r="230" spans="1:26">
      <c r="A230" s="41">
        <f>preset_Names!A230</f>
        <v>226</v>
      </c>
      <c r="B230" t="str">
        <f t="shared" si="10"/>
        <v xml:space="preserve">strcpy(AMP1_A,("Not Used")); strcpy(AMP1_B,("Not Used")); strcpy(AMP1_C,("Not Used")); strcpy(AMP1_D,("Not Used")); </v>
      </c>
      <c r="C230" t="str">
        <f t="shared" si="11"/>
        <v xml:space="preserve">strcpy(AMP2_A,("Not Used")); strcpy(AMP2_B,("Not Used")); strcpy(AMP2_C,("Not Used")); strcpy(AMP2_D,("Not Used")); </v>
      </c>
      <c r="D230" s="31" t="s">
        <v>893</v>
      </c>
      <c r="E230" s="42" t="str">
        <f t="shared" si="9"/>
        <v>case 226: strcpy(AMP1_A,("Not Used")); strcpy(AMP1_B,("Not Used")); strcpy(AMP1_C,("Not Used")); strcpy(AMP1_D,("Not Used")); strcpy(AMP2_A,("Not Used")); strcpy(AMP2_B,("Not Used")); strcpy(AMP2_C,("Not Used")); strcpy(AMP2_D,("Not Used"));  break;</v>
      </c>
      <c r="F230" t="s">
        <v>893</v>
      </c>
      <c r="I230" t="s">
        <v>893</v>
      </c>
      <c r="J230" s="45" t="str">
        <f>VLOOKUP(S230,'AMP models AxeFxIII'!$D$2:$H$299,2,FALSE)</f>
        <v>Not Used</v>
      </c>
      <c r="K230" s="45" t="str">
        <f>VLOOKUP(T230,'AMP models AxeFxIII'!$D$2:$H$299,2,FALSE)</f>
        <v>Not Used</v>
      </c>
      <c r="L230" s="45" t="str">
        <f>VLOOKUP(U230,'AMP models AxeFxIII'!$D$2:$H$299,2,FALSE)</f>
        <v>Not Used</v>
      </c>
      <c r="M230" s="45" t="str">
        <f>VLOOKUP(V230,'AMP models AxeFxIII'!$D$2:$H$299,2,FALSE)</f>
        <v>Not Used</v>
      </c>
      <c r="N230" s="45" t="str">
        <f>VLOOKUP(W230,'AMP models AxeFxIII'!$D$2:$H$299,2,FALSE)</f>
        <v>Not Used</v>
      </c>
      <c r="O230" s="45" t="str">
        <f>VLOOKUP(X230,'AMP models AxeFxIII'!$D$2:$H$299,2,FALSE)</f>
        <v>Not Used</v>
      </c>
      <c r="P230" s="45" t="str">
        <f>VLOOKUP(Y230,'AMP models AxeFxIII'!$D$2:$H$299,2,FALSE)</f>
        <v>Not Used</v>
      </c>
      <c r="Q230" s="45" t="str">
        <f>VLOOKUP(Z230,'AMP models AxeFxIII'!$D$2:$H$299,2,FALSE)</f>
        <v>Not Used</v>
      </c>
      <c r="R230" s="4">
        <v>226</v>
      </c>
      <c r="S230" s="46" t="s">
        <v>555</v>
      </c>
      <c r="T230" s="46" t="s">
        <v>555</v>
      </c>
      <c r="U230" s="46" t="s">
        <v>555</v>
      </c>
      <c r="V230" s="46" t="s">
        <v>555</v>
      </c>
      <c r="W230" s="46" t="s">
        <v>555</v>
      </c>
      <c r="X230" s="46" t="s">
        <v>555</v>
      </c>
      <c r="Y230" s="46" t="s">
        <v>555</v>
      </c>
      <c r="Z230" s="46" t="s">
        <v>555</v>
      </c>
    </row>
    <row r="231" spans="1:26">
      <c r="A231" s="41">
        <f>preset_Names!A231</f>
        <v>227</v>
      </c>
      <c r="B231" t="str">
        <f t="shared" si="10"/>
        <v xml:space="preserve">strcpy(AMP1_A,("Not Used")); strcpy(AMP1_B,("Not Used")); strcpy(AMP1_C,("Not Used")); strcpy(AMP1_D,("Not Used")); </v>
      </c>
      <c r="C231" t="str">
        <f t="shared" si="11"/>
        <v xml:space="preserve">strcpy(AMP2_A,("Not Used")); strcpy(AMP2_B,("Not Used")); strcpy(AMP2_C,("Not Used")); strcpy(AMP2_D,("Not Used")); </v>
      </c>
      <c r="D231" s="31" t="s">
        <v>893</v>
      </c>
      <c r="E231" s="42" t="str">
        <f t="shared" si="9"/>
        <v>case 227: strcpy(AMP1_A,("Not Used")); strcpy(AMP1_B,("Not Used")); strcpy(AMP1_C,("Not Used")); strcpy(AMP1_D,("Not Used")); strcpy(AMP2_A,("Not Used")); strcpy(AMP2_B,("Not Used")); strcpy(AMP2_C,("Not Used")); strcpy(AMP2_D,("Not Used"));  break;</v>
      </c>
      <c r="F231" t="s">
        <v>893</v>
      </c>
      <c r="I231" t="s">
        <v>893</v>
      </c>
      <c r="J231" s="45" t="str">
        <f>VLOOKUP(S231,'AMP models AxeFxIII'!$D$2:$H$299,2,FALSE)</f>
        <v>Not Used</v>
      </c>
      <c r="K231" s="45" t="str">
        <f>VLOOKUP(T231,'AMP models AxeFxIII'!$D$2:$H$299,2,FALSE)</f>
        <v>Not Used</v>
      </c>
      <c r="L231" s="45" t="str">
        <f>VLOOKUP(U231,'AMP models AxeFxIII'!$D$2:$H$299,2,FALSE)</f>
        <v>Not Used</v>
      </c>
      <c r="M231" s="45" t="str">
        <f>VLOOKUP(V231,'AMP models AxeFxIII'!$D$2:$H$299,2,FALSE)</f>
        <v>Not Used</v>
      </c>
      <c r="N231" s="45" t="str">
        <f>VLOOKUP(W231,'AMP models AxeFxIII'!$D$2:$H$299,2,FALSE)</f>
        <v>Not Used</v>
      </c>
      <c r="O231" s="45" t="str">
        <f>VLOOKUP(X231,'AMP models AxeFxIII'!$D$2:$H$299,2,FALSE)</f>
        <v>Not Used</v>
      </c>
      <c r="P231" s="45" t="str">
        <f>VLOOKUP(Y231,'AMP models AxeFxIII'!$D$2:$H$299,2,FALSE)</f>
        <v>Not Used</v>
      </c>
      <c r="Q231" s="45" t="str">
        <f>VLOOKUP(Z231,'AMP models AxeFxIII'!$D$2:$H$299,2,FALSE)</f>
        <v>Not Used</v>
      </c>
      <c r="R231" s="4">
        <v>227</v>
      </c>
      <c r="S231" s="46" t="s">
        <v>555</v>
      </c>
      <c r="T231" s="46" t="s">
        <v>555</v>
      </c>
      <c r="U231" s="46" t="s">
        <v>555</v>
      </c>
      <c r="V231" s="46" t="s">
        <v>555</v>
      </c>
      <c r="W231" s="46" t="s">
        <v>555</v>
      </c>
      <c r="X231" s="46" t="s">
        <v>555</v>
      </c>
      <c r="Y231" s="46" t="s">
        <v>555</v>
      </c>
      <c r="Z231" s="46" t="s">
        <v>555</v>
      </c>
    </row>
    <row r="232" spans="1:26">
      <c r="A232" s="41">
        <f>preset_Names!A232</f>
        <v>228</v>
      </c>
      <c r="B232" t="str">
        <f t="shared" si="10"/>
        <v xml:space="preserve">strcpy(AMP1_A,("Not Used")); strcpy(AMP1_B,("Not Used")); strcpy(AMP1_C,("Not Used")); strcpy(AMP1_D,("Not Used")); </v>
      </c>
      <c r="C232" t="str">
        <f t="shared" si="11"/>
        <v xml:space="preserve">strcpy(AMP2_A,("Not Used")); strcpy(AMP2_B,("Not Used")); strcpy(AMP2_C,("Not Used")); strcpy(AMP2_D,("Not Used")); </v>
      </c>
      <c r="D232" s="31" t="s">
        <v>893</v>
      </c>
      <c r="E232" s="42" t="str">
        <f t="shared" si="9"/>
        <v>case 228: strcpy(AMP1_A,("Not Used")); strcpy(AMP1_B,("Not Used")); strcpy(AMP1_C,("Not Used")); strcpy(AMP1_D,("Not Used")); strcpy(AMP2_A,("Not Used")); strcpy(AMP2_B,("Not Used")); strcpy(AMP2_C,("Not Used")); strcpy(AMP2_D,("Not Used"));  break;</v>
      </c>
      <c r="F232" t="s">
        <v>893</v>
      </c>
      <c r="I232" t="s">
        <v>893</v>
      </c>
      <c r="J232" s="45" t="str">
        <f>VLOOKUP(S232,'AMP models AxeFxIII'!$D$2:$H$299,2,FALSE)</f>
        <v>Not Used</v>
      </c>
      <c r="K232" s="45" t="str">
        <f>VLOOKUP(T232,'AMP models AxeFxIII'!$D$2:$H$299,2,FALSE)</f>
        <v>Not Used</v>
      </c>
      <c r="L232" s="45" t="str">
        <f>VLOOKUP(U232,'AMP models AxeFxIII'!$D$2:$H$299,2,FALSE)</f>
        <v>Not Used</v>
      </c>
      <c r="M232" s="45" t="str">
        <f>VLOOKUP(V232,'AMP models AxeFxIII'!$D$2:$H$299,2,FALSE)</f>
        <v>Not Used</v>
      </c>
      <c r="N232" s="45" t="str">
        <f>VLOOKUP(W232,'AMP models AxeFxIII'!$D$2:$H$299,2,FALSE)</f>
        <v>Not Used</v>
      </c>
      <c r="O232" s="45" t="str">
        <f>VLOOKUP(X232,'AMP models AxeFxIII'!$D$2:$H$299,2,FALSE)</f>
        <v>Not Used</v>
      </c>
      <c r="P232" s="45" t="str">
        <f>VLOOKUP(Y232,'AMP models AxeFxIII'!$D$2:$H$299,2,FALSE)</f>
        <v>Not Used</v>
      </c>
      <c r="Q232" s="45" t="str">
        <f>VLOOKUP(Z232,'AMP models AxeFxIII'!$D$2:$H$299,2,FALSE)</f>
        <v>Not Used</v>
      </c>
      <c r="R232" s="4">
        <v>228</v>
      </c>
      <c r="S232" s="46" t="s">
        <v>555</v>
      </c>
      <c r="T232" s="46" t="s">
        <v>555</v>
      </c>
      <c r="U232" s="46" t="s">
        <v>555</v>
      </c>
      <c r="V232" s="46" t="s">
        <v>555</v>
      </c>
      <c r="W232" s="46" t="s">
        <v>555</v>
      </c>
      <c r="X232" s="46" t="s">
        <v>555</v>
      </c>
      <c r="Y232" s="46" t="s">
        <v>555</v>
      </c>
      <c r="Z232" s="46" t="s">
        <v>555</v>
      </c>
    </row>
    <row r="233" spans="1:26">
      <c r="A233" s="41">
        <f>preset_Names!A233</f>
        <v>229</v>
      </c>
      <c r="B233" t="str">
        <f t="shared" si="10"/>
        <v xml:space="preserve">strcpy(AMP1_A,("Not Used")); strcpy(AMP1_B,("Not Used")); strcpy(AMP1_C,("Not Used")); strcpy(AMP1_D,("Not Used")); </v>
      </c>
      <c r="C233" t="str">
        <f t="shared" si="11"/>
        <v xml:space="preserve">strcpy(AMP2_A,("Not Used")); strcpy(AMP2_B,("Not Used")); strcpy(AMP2_C,("Not Used")); strcpy(AMP2_D,("Not Used")); </v>
      </c>
      <c r="D233" s="31" t="s">
        <v>893</v>
      </c>
      <c r="E233" s="42" t="str">
        <f t="shared" si="9"/>
        <v>case 229: strcpy(AMP1_A,("Not Used")); strcpy(AMP1_B,("Not Used")); strcpy(AMP1_C,("Not Used")); strcpy(AMP1_D,("Not Used")); strcpy(AMP2_A,("Not Used")); strcpy(AMP2_B,("Not Used")); strcpy(AMP2_C,("Not Used")); strcpy(AMP2_D,("Not Used"));  break;</v>
      </c>
      <c r="F233" t="s">
        <v>893</v>
      </c>
      <c r="I233" t="s">
        <v>893</v>
      </c>
      <c r="J233" s="45" t="str">
        <f>VLOOKUP(S233,'AMP models AxeFxIII'!$D$2:$H$299,2,FALSE)</f>
        <v>Not Used</v>
      </c>
      <c r="K233" s="45" t="str">
        <f>VLOOKUP(T233,'AMP models AxeFxIII'!$D$2:$H$299,2,FALSE)</f>
        <v>Not Used</v>
      </c>
      <c r="L233" s="45" t="str">
        <f>VLOOKUP(U233,'AMP models AxeFxIII'!$D$2:$H$299,2,FALSE)</f>
        <v>Not Used</v>
      </c>
      <c r="M233" s="45" t="str">
        <f>VLOOKUP(V233,'AMP models AxeFxIII'!$D$2:$H$299,2,FALSE)</f>
        <v>Not Used</v>
      </c>
      <c r="N233" s="45" t="str">
        <f>VLOOKUP(W233,'AMP models AxeFxIII'!$D$2:$H$299,2,FALSE)</f>
        <v>Not Used</v>
      </c>
      <c r="O233" s="45" t="str">
        <f>VLOOKUP(X233,'AMP models AxeFxIII'!$D$2:$H$299,2,FALSE)</f>
        <v>Not Used</v>
      </c>
      <c r="P233" s="45" t="str">
        <f>VLOOKUP(Y233,'AMP models AxeFxIII'!$D$2:$H$299,2,FALSE)</f>
        <v>Not Used</v>
      </c>
      <c r="Q233" s="45" t="str">
        <f>VLOOKUP(Z233,'AMP models AxeFxIII'!$D$2:$H$299,2,FALSE)</f>
        <v>Not Used</v>
      </c>
      <c r="R233" s="4">
        <v>229</v>
      </c>
      <c r="S233" s="46" t="s">
        <v>555</v>
      </c>
      <c r="T233" s="46" t="s">
        <v>555</v>
      </c>
      <c r="U233" s="46" t="s">
        <v>555</v>
      </c>
      <c r="V233" s="46" t="s">
        <v>555</v>
      </c>
      <c r="W233" s="46" t="s">
        <v>555</v>
      </c>
      <c r="X233" s="46" t="s">
        <v>555</v>
      </c>
      <c r="Y233" s="46" t="s">
        <v>555</v>
      </c>
      <c r="Z233" s="46" t="s">
        <v>555</v>
      </c>
    </row>
    <row r="234" spans="1:26">
      <c r="A234" s="41">
        <f>preset_Names!A234</f>
        <v>230</v>
      </c>
      <c r="B234" t="str">
        <f t="shared" si="10"/>
        <v xml:space="preserve">strcpy(AMP1_A,("Not Used")); strcpy(AMP1_B,("Not Used")); strcpy(AMP1_C,("Not Used")); strcpy(AMP1_D,("Not Used")); </v>
      </c>
      <c r="C234" t="str">
        <f t="shared" si="11"/>
        <v xml:space="preserve">strcpy(AMP2_A,("Not Used")); strcpy(AMP2_B,("Not Used")); strcpy(AMP2_C,("Not Used")); strcpy(AMP2_D,("Not Used")); </v>
      </c>
      <c r="D234" s="31" t="s">
        <v>893</v>
      </c>
      <c r="E234" s="42" t="str">
        <f t="shared" si="9"/>
        <v>case 230: strcpy(AMP1_A,("Not Used")); strcpy(AMP1_B,("Not Used")); strcpy(AMP1_C,("Not Used")); strcpy(AMP1_D,("Not Used")); strcpy(AMP2_A,("Not Used")); strcpy(AMP2_B,("Not Used")); strcpy(AMP2_C,("Not Used")); strcpy(AMP2_D,("Not Used"));  break;</v>
      </c>
      <c r="F234" t="s">
        <v>893</v>
      </c>
      <c r="I234" t="s">
        <v>893</v>
      </c>
      <c r="J234" s="45" t="str">
        <f>VLOOKUP(S234,'AMP models AxeFxIII'!$D$2:$H$299,2,FALSE)</f>
        <v>Not Used</v>
      </c>
      <c r="K234" s="45" t="str">
        <f>VLOOKUP(T234,'AMP models AxeFxIII'!$D$2:$H$299,2,FALSE)</f>
        <v>Not Used</v>
      </c>
      <c r="L234" s="45" t="str">
        <f>VLOOKUP(U234,'AMP models AxeFxIII'!$D$2:$H$299,2,FALSE)</f>
        <v>Not Used</v>
      </c>
      <c r="M234" s="45" t="str">
        <f>VLOOKUP(V234,'AMP models AxeFxIII'!$D$2:$H$299,2,FALSE)</f>
        <v>Not Used</v>
      </c>
      <c r="N234" s="45" t="str">
        <f>VLOOKUP(W234,'AMP models AxeFxIII'!$D$2:$H$299,2,FALSE)</f>
        <v>Not Used</v>
      </c>
      <c r="O234" s="45" t="str">
        <f>VLOOKUP(X234,'AMP models AxeFxIII'!$D$2:$H$299,2,FALSE)</f>
        <v>Not Used</v>
      </c>
      <c r="P234" s="45" t="str">
        <f>VLOOKUP(Y234,'AMP models AxeFxIII'!$D$2:$H$299,2,FALSE)</f>
        <v>Not Used</v>
      </c>
      <c r="Q234" s="45" t="str">
        <f>VLOOKUP(Z234,'AMP models AxeFxIII'!$D$2:$H$299,2,FALSE)</f>
        <v>Not Used</v>
      </c>
      <c r="R234" s="4">
        <v>230</v>
      </c>
      <c r="S234" s="46" t="s">
        <v>555</v>
      </c>
      <c r="T234" s="46" t="s">
        <v>555</v>
      </c>
      <c r="U234" s="46" t="s">
        <v>555</v>
      </c>
      <c r="V234" s="46" t="s">
        <v>555</v>
      </c>
      <c r="W234" s="46" t="s">
        <v>555</v>
      </c>
      <c r="X234" s="46" t="s">
        <v>555</v>
      </c>
      <c r="Y234" s="46" t="s">
        <v>555</v>
      </c>
      <c r="Z234" s="46" t="s">
        <v>555</v>
      </c>
    </row>
    <row r="235" spans="1:26">
      <c r="A235" s="41">
        <f>preset_Names!A235</f>
        <v>231</v>
      </c>
      <c r="B235" t="str">
        <f t="shared" si="10"/>
        <v xml:space="preserve">strcpy(AMP1_A,("Not Used")); strcpy(AMP1_B,("Not Used")); strcpy(AMP1_C,("Not Used")); strcpy(AMP1_D,("Not Used")); </v>
      </c>
      <c r="C235" t="str">
        <f t="shared" si="11"/>
        <v xml:space="preserve">strcpy(AMP2_A,("Not Used")); strcpy(AMP2_B,("Not Used")); strcpy(AMP2_C,("Not Used")); strcpy(AMP2_D,("Not Used")); </v>
      </c>
      <c r="D235" s="31" t="s">
        <v>893</v>
      </c>
      <c r="E235" s="42" t="str">
        <f t="shared" si="9"/>
        <v>case 231: strcpy(AMP1_A,("Not Used")); strcpy(AMP1_B,("Not Used")); strcpy(AMP1_C,("Not Used")); strcpy(AMP1_D,("Not Used")); strcpy(AMP2_A,("Not Used")); strcpy(AMP2_B,("Not Used")); strcpy(AMP2_C,("Not Used")); strcpy(AMP2_D,("Not Used"));  break;</v>
      </c>
      <c r="F235" t="s">
        <v>893</v>
      </c>
      <c r="I235" t="s">
        <v>893</v>
      </c>
      <c r="J235" s="45" t="str">
        <f>VLOOKUP(S235,'AMP models AxeFxIII'!$D$2:$H$299,2,FALSE)</f>
        <v>Not Used</v>
      </c>
      <c r="K235" s="45" t="str">
        <f>VLOOKUP(T235,'AMP models AxeFxIII'!$D$2:$H$299,2,FALSE)</f>
        <v>Not Used</v>
      </c>
      <c r="L235" s="45" t="str">
        <f>VLOOKUP(U235,'AMP models AxeFxIII'!$D$2:$H$299,2,FALSE)</f>
        <v>Not Used</v>
      </c>
      <c r="M235" s="45" t="str">
        <f>VLOOKUP(V235,'AMP models AxeFxIII'!$D$2:$H$299,2,FALSE)</f>
        <v>Not Used</v>
      </c>
      <c r="N235" s="45" t="str">
        <f>VLOOKUP(W235,'AMP models AxeFxIII'!$D$2:$H$299,2,FALSE)</f>
        <v>Not Used</v>
      </c>
      <c r="O235" s="45" t="str">
        <f>VLOOKUP(X235,'AMP models AxeFxIII'!$D$2:$H$299,2,FALSE)</f>
        <v>Not Used</v>
      </c>
      <c r="P235" s="45" t="str">
        <f>VLOOKUP(Y235,'AMP models AxeFxIII'!$D$2:$H$299,2,FALSE)</f>
        <v>Not Used</v>
      </c>
      <c r="Q235" s="45" t="str">
        <f>VLOOKUP(Z235,'AMP models AxeFxIII'!$D$2:$H$299,2,FALSE)</f>
        <v>Not Used</v>
      </c>
      <c r="R235" s="4">
        <v>231</v>
      </c>
      <c r="S235" s="46" t="s">
        <v>555</v>
      </c>
      <c r="T235" s="46" t="s">
        <v>555</v>
      </c>
      <c r="U235" s="46" t="s">
        <v>555</v>
      </c>
      <c r="V235" s="46" t="s">
        <v>555</v>
      </c>
      <c r="W235" s="46" t="s">
        <v>555</v>
      </c>
      <c r="X235" s="46" t="s">
        <v>555</v>
      </c>
      <c r="Y235" s="46" t="s">
        <v>555</v>
      </c>
      <c r="Z235" s="46" t="s">
        <v>555</v>
      </c>
    </row>
    <row r="236" spans="1:26">
      <c r="A236" s="41">
        <f>preset_Names!A236</f>
        <v>232</v>
      </c>
      <c r="B236" t="str">
        <f t="shared" si="10"/>
        <v xml:space="preserve">strcpy(AMP1_A,("Not Used")); strcpy(AMP1_B,("Not Used")); strcpy(AMP1_C,("Not Used")); strcpy(AMP1_D,("Not Used")); </v>
      </c>
      <c r="C236" t="str">
        <f t="shared" si="11"/>
        <v xml:space="preserve">strcpy(AMP2_A,("Not Used")); strcpy(AMP2_B,("Not Used")); strcpy(AMP2_C,("Not Used")); strcpy(AMP2_D,("Not Used")); </v>
      </c>
      <c r="D236" s="31" t="s">
        <v>893</v>
      </c>
      <c r="E236" s="42" t="str">
        <f t="shared" si="9"/>
        <v>case 232: strcpy(AMP1_A,("Not Used")); strcpy(AMP1_B,("Not Used")); strcpy(AMP1_C,("Not Used")); strcpy(AMP1_D,("Not Used")); strcpy(AMP2_A,("Not Used")); strcpy(AMP2_B,("Not Used")); strcpy(AMP2_C,("Not Used")); strcpy(AMP2_D,("Not Used"));  break;</v>
      </c>
      <c r="F236" t="s">
        <v>893</v>
      </c>
      <c r="I236" t="s">
        <v>893</v>
      </c>
      <c r="J236" s="45" t="str">
        <f>VLOOKUP(S236,'AMP models AxeFxIII'!$D$2:$H$299,2,FALSE)</f>
        <v>Not Used</v>
      </c>
      <c r="K236" s="45" t="str">
        <f>VLOOKUP(T236,'AMP models AxeFxIII'!$D$2:$H$299,2,FALSE)</f>
        <v>Not Used</v>
      </c>
      <c r="L236" s="45" t="str">
        <f>VLOOKUP(U236,'AMP models AxeFxIII'!$D$2:$H$299,2,FALSE)</f>
        <v>Not Used</v>
      </c>
      <c r="M236" s="45" t="str">
        <f>VLOOKUP(V236,'AMP models AxeFxIII'!$D$2:$H$299,2,FALSE)</f>
        <v>Not Used</v>
      </c>
      <c r="N236" s="45" t="str">
        <f>VLOOKUP(W236,'AMP models AxeFxIII'!$D$2:$H$299,2,FALSE)</f>
        <v>Not Used</v>
      </c>
      <c r="O236" s="45" t="str">
        <f>VLOOKUP(X236,'AMP models AxeFxIII'!$D$2:$H$299,2,FALSE)</f>
        <v>Not Used</v>
      </c>
      <c r="P236" s="45" t="str">
        <f>VLOOKUP(Y236,'AMP models AxeFxIII'!$D$2:$H$299,2,FALSE)</f>
        <v>Not Used</v>
      </c>
      <c r="Q236" s="45" t="str">
        <f>VLOOKUP(Z236,'AMP models AxeFxIII'!$D$2:$H$299,2,FALSE)</f>
        <v>Not Used</v>
      </c>
      <c r="R236" s="4">
        <v>232</v>
      </c>
      <c r="S236" s="46" t="s">
        <v>555</v>
      </c>
      <c r="T236" s="46" t="s">
        <v>555</v>
      </c>
      <c r="U236" s="46" t="s">
        <v>555</v>
      </c>
      <c r="V236" s="46" t="s">
        <v>555</v>
      </c>
      <c r="W236" s="46" t="s">
        <v>555</v>
      </c>
      <c r="X236" s="46" t="s">
        <v>555</v>
      </c>
      <c r="Y236" s="46" t="s">
        <v>555</v>
      </c>
      <c r="Z236" s="46" t="s">
        <v>555</v>
      </c>
    </row>
    <row r="237" spans="1:26">
      <c r="A237" s="41">
        <f>preset_Names!A237</f>
        <v>233</v>
      </c>
      <c r="B237" t="str">
        <f t="shared" si="10"/>
        <v xml:space="preserve">strcpy(AMP1_A,("Not Used")); strcpy(AMP1_B,("Not Used")); strcpy(AMP1_C,("Not Used")); strcpy(AMP1_D,("Not Used")); </v>
      </c>
      <c r="C237" t="str">
        <f t="shared" si="11"/>
        <v xml:space="preserve">strcpy(AMP2_A,("Not Used")); strcpy(AMP2_B,("Not Used")); strcpy(AMP2_C,("Not Used")); strcpy(AMP2_D,("Not Used")); </v>
      </c>
      <c r="D237" s="31" t="s">
        <v>893</v>
      </c>
      <c r="E237" s="42" t="str">
        <f t="shared" si="9"/>
        <v>case 233: strcpy(AMP1_A,("Not Used")); strcpy(AMP1_B,("Not Used")); strcpy(AMP1_C,("Not Used")); strcpy(AMP1_D,("Not Used")); strcpy(AMP2_A,("Not Used")); strcpy(AMP2_B,("Not Used")); strcpy(AMP2_C,("Not Used")); strcpy(AMP2_D,("Not Used"));  break;</v>
      </c>
      <c r="F237" t="s">
        <v>893</v>
      </c>
      <c r="I237" t="s">
        <v>893</v>
      </c>
      <c r="J237" s="45" t="str">
        <f>VLOOKUP(S237,'AMP models AxeFxIII'!$D$2:$H$299,2,FALSE)</f>
        <v>Not Used</v>
      </c>
      <c r="K237" s="45" t="str">
        <f>VLOOKUP(T237,'AMP models AxeFxIII'!$D$2:$H$299,2,FALSE)</f>
        <v>Not Used</v>
      </c>
      <c r="L237" s="45" t="str">
        <f>VLOOKUP(U237,'AMP models AxeFxIII'!$D$2:$H$299,2,FALSE)</f>
        <v>Not Used</v>
      </c>
      <c r="M237" s="45" t="str">
        <f>VLOOKUP(V237,'AMP models AxeFxIII'!$D$2:$H$299,2,FALSE)</f>
        <v>Not Used</v>
      </c>
      <c r="N237" s="45" t="str">
        <f>VLOOKUP(W237,'AMP models AxeFxIII'!$D$2:$H$299,2,FALSE)</f>
        <v>Not Used</v>
      </c>
      <c r="O237" s="45" t="str">
        <f>VLOOKUP(X237,'AMP models AxeFxIII'!$D$2:$H$299,2,FALSE)</f>
        <v>Not Used</v>
      </c>
      <c r="P237" s="45" t="str">
        <f>VLOOKUP(Y237,'AMP models AxeFxIII'!$D$2:$H$299,2,FALSE)</f>
        <v>Not Used</v>
      </c>
      <c r="Q237" s="45" t="str">
        <f>VLOOKUP(Z237,'AMP models AxeFxIII'!$D$2:$H$299,2,FALSE)</f>
        <v>Not Used</v>
      </c>
      <c r="R237" s="4">
        <v>233</v>
      </c>
      <c r="S237" s="46" t="s">
        <v>555</v>
      </c>
      <c r="T237" s="46" t="s">
        <v>555</v>
      </c>
      <c r="U237" s="46" t="s">
        <v>555</v>
      </c>
      <c r="V237" s="46" t="s">
        <v>555</v>
      </c>
      <c r="W237" s="46" t="s">
        <v>555</v>
      </c>
      <c r="X237" s="46" t="s">
        <v>555</v>
      </c>
      <c r="Y237" s="46" t="s">
        <v>555</v>
      </c>
      <c r="Z237" s="46" t="s">
        <v>555</v>
      </c>
    </row>
    <row r="238" spans="1:26">
      <c r="A238" s="41">
        <f>preset_Names!A238</f>
        <v>234</v>
      </c>
      <c r="B238" t="str">
        <f t="shared" si="10"/>
        <v xml:space="preserve">strcpy(AMP1_A,("Not Used")); strcpy(AMP1_B,("Not Used")); strcpy(AMP1_C,("Not Used")); strcpy(AMP1_D,("Not Used")); </v>
      </c>
      <c r="C238" t="str">
        <f t="shared" si="11"/>
        <v xml:space="preserve">strcpy(AMP2_A,("Not Used")); strcpy(AMP2_B,("Not Used")); strcpy(AMP2_C,("Not Used")); strcpy(AMP2_D,("Not Used")); </v>
      </c>
      <c r="D238" s="31" t="s">
        <v>893</v>
      </c>
      <c r="E238" s="42" t="str">
        <f t="shared" si="9"/>
        <v>case 234: strcpy(AMP1_A,("Not Used")); strcpy(AMP1_B,("Not Used")); strcpy(AMP1_C,("Not Used")); strcpy(AMP1_D,("Not Used")); strcpy(AMP2_A,("Not Used")); strcpy(AMP2_B,("Not Used")); strcpy(AMP2_C,("Not Used")); strcpy(AMP2_D,("Not Used"));  break;</v>
      </c>
      <c r="F238" t="s">
        <v>893</v>
      </c>
      <c r="I238" t="s">
        <v>893</v>
      </c>
      <c r="J238" s="45" t="str">
        <f>VLOOKUP(S238,'AMP models AxeFxIII'!$D$2:$H$299,2,FALSE)</f>
        <v>Not Used</v>
      </c>
      <c r="K238" s="45" t="str">
        <f>VLOOKUP(T238,'AMP models AxeFxIII'!$D$2:$H$299,2,FALSE)</f>
        <v>Not Used</v>
      </c>
      <c r="L238" s="45" t="str">
        <f>VLOOKUP(U238,'AMP models AxeFxIII'!$D$2:$H$299,2,FALSE)</f>
        <v>Not Used</v>
      </c>
      <c r="M238" s="45" t="str">
        <f>VLOOKUP(V238,'AMP models AxeFxIII'!$D$2:$H$299,2,FALSE)</f>
        <v>Not Used</v>
      </c>
      <c r="N238" s="45" t="str">
        <f>VLOOKUP(W238,'AMP models AxeFxIII'!$D$2:$H$299,2,FALSE)</f>
        <v>Not Used</v>
      </c>
      <c r="O238" s="45" t="str">
        <f>VLOOKUP(X238,'AMP models AxeFxIII'!$D$2:$H$299,2,FALSE)</f>
        <v>Not Used</v>
      </c>
      <c r="P238" s="45" t="str">
        <f>VLOOKUP(Y238,'AMP models AxeFxIII'!$D$2:$H$299,2,FALSE)</f>
        <v>Not Used</v>
      </c>
      <c r="Q238" s="45" t="str">
        <f>VLOOKUP(Z238,'AMP models AxeFxIII'!$D$2:$H$299,2,FALSE)</f>
        <v>Not Used</v>
      </c>
      <c r="R238" s="4">
        <v>234</v>
      </c>
      <c r="S238" s="46" t="s">
        <v>555</v>
      </c>
      <c r="T238" s="46" t="s">
        <v>555</v>
      </c>
      <c r="U238" s="46" t="s">
        <v>555</v>
      </c>
      <c r="V238" s="46" t="s">
        <v>555</v>
      </c>
      <c r="W238" s="46" t="s">
        <v>555</v>
      </c>
      <c r="X238" s="46" t="s">
        <v>555</v>
      </c>
      <c r="Y238" s="46" t="s">
        <v>555</v>
      </c>
      <c r="Z238" s="46" t="s">
        <v>555</v>
      </c>
    </row>
    <row r="239" spans="1:26">
      <c r="A239" s="41">
        <f>preset_Names!A239</f>
        <v>235</v>
      </c>
      <c r="B239" t="str">
        <f t="shared" si="10"/>
        <v xml:space="preserve">strcpy(AMP1_A,("Not Used")); strcpy(AMP1_B,("Not Used")); strcpy(AMP1_C,("Not Used")); strcpy(AMP1_D,("Not Used")); </v>
      </c>
      <c r="C239" t="str">
        <f t="shared" si="11"/>
        <v xml:space="preserve">strcpy(AMP2_A,("Not Used")); strcpy(AMP2_B,("Not Used")); strcpy(AMP2_C,("Not Used")); strcpy(AMP2_D,("Not Used")); </v>
      </c>
      <c r="D239" s="31" t="s">
        <v>893</v>
      </c>
      <c r="E239" s="42" t="str">
        <f t="shared" si="9"/>
        <v>case 235: strcpy(AMP1_A,("Not Used")); strcpy(AMP1_B,("Not Used")); strcpy(AMP1_C,("Not Used")); strcpy(AMP1_D,("Not Used")); strcpy(AMP2_A,("Not Used")); strcpy(AMP2_B,("Not Used")); strcpy(AMP2_C,("Not Used")); strcpy(AMP2_D,("Not Used"));  break;</v>
      </c>
      <c r="F239" t="s">
        <v>893</v>
      </c>
      <c r="I239" t="s">
        <v>893</v>
      </c>
      <c r="J239" s="45" t="str">
        <f>VLOOKUP(S239,'AMP models AxeFxIII'!$D$2:$H$299,2,FALSE)</f>
        <v>Not Used</v>
      </c>
      <c r="K239" s="45" t="str">
        <f>VLOOKUP(T239,'AMP models AxeFxIII'!$D$2:$H$299,2,FALSE)</f>
        <v>Not Used</v>
      </c>
      <c r="L239" s="45" t="str">
        <f>VLOOKUP(U239,'AMP models AxeFxIII'!$D$2:$H$299,2,FALSE)</f>
        <v>Not Used</v>
      </c>
      <c r="M239" s="45" t="str">
        <f>VLOOKUP(V239,'AMP models AxeFxIII'!$D$2:$H$299,2,FALSE)</f>
        <v>Not Used</v>
      </c>
      <c r="N239" s="45" t="str">
        <f>VLOOKUP(W239,'AMP models AxeFxIII'!$D$2:$H$299,2,FALSE)</f>
        <v>Not Used</v>
      </c>
      <c r="O239" s="45" t="str">
        <f>VLOOKUP(X239,'AMP models AxeFxIII'!$D$2:$H$299,2,FALSE)</f>
        <v>Not Used</v>
      </c>
      <c r="P239" s="45" t="str">
        <f>VLOOKUP(Y239,'AMP models AxeFxIII'!$D$2:$H$299,2,FALSE)</f>
        <v>Not Used</v>
      </c>
      <c r="Q239" s="45" t="str">
        <f>VLOOKUP(Z239,'AMP models AxeFxIII'!$D$2:$H$299,2,FALSE)</f>
        <v>Not Used</v>
      </c>
      <c r="R239" s="4">
        <v>235</v>
      </c>
      <c r="S239" s="46" t="s">
        <v>555</v>
      </c>
      <c r="T239" s="46" t="s">
        <v>555</v>
      </c>
      <c r="U239" s="46" t="s">
        <v>555</v>
      </c>
      <c r="V239" s="46" t="s">
        <v>555</v>
      </c>
      <c r="W239" s="46" t="s">
        <v>555</v>
      </c>
      <c r="X239" s="46" t="s">
        <v>555</v>
      </c>
      <c r="Y239" s="46" t="s">
        <v>555</v>
      </c>
      <c r="Z239" s="46" t="s">
        <v>555</v>
      </c>
    </row>
    <row r="240" spans="1:26">
      <c r="A240" s="41">
        <f>preset_Names!A240</f>
        <v>236</v>
      </c>
      <c r="B240" t="str">
        <f t="shared" si="10"/>
        <v xml:space="preserve">strcpy(AMP1_A,("Not Used")); strcpy(AMP1_B,("Not Used")); strcpy(AMP1_C,("Not Used")); strcpy(AMP1_D,("Not Used")); </v>
      </c>
      <c r="C240" t="str">
        <f t="shared" si="11"/>
        <v xml:space="preserve">strcpy(AMP2_A,("Not Used")); strcpy(AMP2_B,("Not Used")); strcpy(AMP2_C,("Not Used")); strcpy(AMP2_D,("Not Used")); </v>
      </c>
      <c r="D240" s="31" t="s">
        <v>893</v>
      </c>
      <c r="E240" s="42" t="str">
        <f t="shared" si="9"/>
        <v>case 236: strcpy(AMP1_A,("Not Used")); strcpy(AMP1_B,("Not Used")); strcpy(AMP1_C,("Not Used")); strcpy(AMP1_D,("Not Used")); strcpy(AMP2_A,("Not Used")); strcpy(AMP2_B,("Not Used")); strcpy(AMP2_C,("Not Used")); strcpy(AMP2_D,("Not Used"));  break;</v>
      </c>
      <c r="F240" t="s">
        <v>893</v>
      </c>
      <c r="I240" t="s">
        <v>893</v>
      </c>
      <c r="J240" s="45" t="str">
        <f>VLOOKUP(S240,'AMP models AxeFxIII'!$D$2:$H$299,2,FALSE)</f>
        <v>Not Used</v>
      </c>
      <c r="K240" s="45" t="str">
        <f>VLOOKUP(T240,'AMP models AxeFxIII'!$D$2:$H$299,2,FALSE)</f>
        <v>Not Used</v>
      </c>
      <c r="L240" s="45" t="str">
        <f>VLOOKUP(U240,'AMP models AxeFxIII'!$D$2:$H$299,2,FALSE)</f>
        <v>Not Used</v>
      </c>
      <c r="M240" s="45" t="str">
        <f>VLOOKUP(V240,'AMP models AxeFxIII'!$D$2:$H$299,2,FALSE)</f>
        <v>Not Used</v>
      </c>
      <c r="N240" s="45" t="str">
        <f>VLOOKUP(W240,'AMP models AxeFxIII'!$D$2:$H$299,2,FALSE)</f>
        <v>Not Used</v>
      </c>
      <c r="O240" s="45" t="str">
        <f>VLOOKUP(X240,'AMP models AxeFxIII'!$D$2:$H$299,2,FALSE)</f>
        <v>Not Used</v>
      </c>
      <c r="P240" s="45" t="str">
        <f>VLOOKUP(Y240,'AMP models AxeFxIII'!$D$2:$H$299,2,FALSE)</f>
        <v>Not Used</v>
      </c>
      <c r="Q240" s="45" t="str">
        <f>VLOOKUP(Z240,'AMP models AxeFxIII'!$D$2:$H$299,2,FALSE)</f>
        <v>Not Used</v>
      </c>
      <c r="R240" s="4">
        <v>236</v>
      </c>
      <c r="S240" s="46" t="s">
        <v>555</v>
      </c>
      <c r="T240" s="46" t="s">
        <v>555</v>
      </c>
      <c r="U240" s="46" t="s">
        <v>555</v>
      </c>
      <c r="V240" s="46" t="s">
        <v>555</v>
      </c>
      <c r="W240" s="46" t="s">
        <v>555</v>
      </c>
      <c r="X240" s="46" t="s">
        <v>555</v>
      </c>
      <c r="Y240" s="46" t="s">
        <v>555</v>
      </c>
      <c r="Z240" s="46" t="s">
        <v>555</v>
      </c>
    </row>
    <row r="241" spans="1:26">
      <c r="A241" s="41">
        <f>preset_Names!A241</f>
        <v>237</v>
      </c>
      <c r="B241" t="str">
        <f t="shared" si="10"/>
        <v xml:space="preserve">strcpy(AMP1_A,("Not Used")); strcpy(AMP1_B,("Not Used")); strcpy(AMP1_C,("Not Used")); strcpy(AMP1_D,("Not Used")); </v>
      </c>
      <c r="C241" t="str">
        <f t="shared" si="11"/>
        <v xml:space="preserve">strcpy(AMP2_A,("Not Used")); strcpy(AMP2_B,("Not Used")); strcpy(AMP2_C,("Not Used")); strcpy(AMP2_D,("Not Used")); </v>
      </c>
      <c r="D241" s="31" t="s">
        <v>893</v>
      </c>
      <c r="E241" s="42" t="str">
        <f t="shared" si="9"/>
        <v>case 237: strcpy(AMP1_A,("Not Used")); strcpy(AMP1_B,("Not Used")); strcpy(AMP1_C,("Not Used")); strcpy(AMP1_D,("Not Used")); strcpy(AMP2_A,("Not Used")); strcpy(AMP2_B,("Not Used")); strcpy(AMP2_C,("Not Used")); strcpy(AMP2_D,("Not Used"));  break;</v>
      </c>
      <c r="F241" t="s">
        <v>893</v>
      </c>
      <c r="I241" t="s">
        <v>893</v>
      </c>
      <c r="J241" s="45" t="str">
        <f>VLOOKUP(S241,'AMP models AxeFxIII'!$D$2:$H$299,2,FALSE)</f>
        <v>Not Used</v>
      </c>
      <c r="K241" s="45" t="str">
        <f>VLOOKUP(T241,'AMP models AxeFxIII'!$D$2:$H$299,2,FALSE)</f>
        <v>Not Used</v>
      </c>
      <c r="L241" s="45" t="str">
        <f>VLOOKUP(U241,'AMP models AxeFxIII'!$D$2:$H$299,2,FALSE)</f>
        <v>Not Used</v>
      </c>
      <c r="M241" s="45" t="str">
        <f>VLOOKUP(V241,'AMP models AxeFxIII'!$D$2:$H$299,2,FALSE)</f>
        <v>Not Used</v>
      </c>
      <c r="N241" s="45" t="str">
        <f>VLOOKUP(W241,'AMP models AxeFxIII'!$D$2:$H$299,2,FALSE)</f>
        <v>Not Used</v>
      </c>
      <c r="O241" s="45" t="str">
        <f>VLOOKUP(X241,'AMP models AxeFxIII'!$D$2:$H$299,2,FALSE)</f>
        <v>Not Used</v>
      </c>
      <c r="P241" s="45" t="str">
        <f>VLOOKUP(Y241,'AMP models AxeFxIII'!$D$2:$H$299,2,FALSE)</f>
        <v>Not Used</v>
      </c>
      <c r="Q241" s="45" t="str">
        <f>VLOOKUP(Z241,'AMP models AxeFxIII'!$D$2:$H$299,2,FALSE)</f>
        <v>Not Used</v>
      </c>
      <c r="R241" s="4">
        <v>237</v>
      </c>
      <c r="S241" s="46" t="s">
        <v>555</v>
      </c>
      <c r="T241" s="46" t="s">
        <v>555</v>
      </c>
      <c r="U241" s="46" t="s">
        <v>555</v>
      </c>
      <c r="V241" s="46" t="s">
        <v>555</v>
      </c>
      <c r="W241" s="46" t="s">
        <v>555</v>
      </c>
      <c r="X241" s="46" t="s">
        <v>555</v>
      </c>
      <c r="Y241" s="46" t="s">
        <v>555</v>
      </c>
      <c r="Z241" s="46" t="s">
        <v>555</v>
      </c>
    </row>
    <row r="242" spans="1:26">
      <c r="A242" s="41">
        <f>preset_Names!A242</f>
        <v>238</v>
      </c>
      <c r="B242" t="str">
        <f t="shared" si="10"/>
        <v xml:space="preserve">strcpy(AMP1_A,("Not Used")); strcpy(AMP1_B,("Not Used")); strcpy(AMP1_C,("Not Used")); strcpy(AMP1_D,("Not Used")); </v>
      </c>
      <c r="C242" t="str">
        <f t="shared" si="11"/>
        <v xml:space="preserve">strcpy(AMP2_A,("Not Used")); strcpy(AMP2_B,("Not Used")); strcpy(AMP2_C,("Not Used")); strcpy(AMP2_D,("Not Used")); </v>
      </c>
      <c r="D242" s="31" t="s">
        <v>893</v>
      </c>
      <c r="E242" s="42" t="str">
        <f t="shared" si="9"/>
        <v>case 238: strcpy(AMP1_A,("Not Used")); strcpy(AMP1_B,("Not Used")); strcpy(AMP1_C,("Not Used")); strcpy(AMP1_D,("Not Used")); strcpy(AMP2_A,("Not Used")); strcpy(AMP2_B,("Not Used")); strcpy(AMP2_C,("Not Used")); strcpy(AMP2_D,("Not Used"));  break;</v>
      </c>
      <c r="F242" t="s">
        <v>893</v>
      </c>
      <c r="I242" t="s">
        <v>893</v>
      </c>
      <c r="J242" s="45" t="str">
        <f>VLOOKUP(S242,'AMP models AxeFxIII'!$D$2:$H$299,2,FALSE)</f>
        <v>Not Used</v>
      </c>
      <c r="K242" s="45" t="str">
        <f>VLOOKUP(T242,'AMP models AxeFxIII'!$D$2:$H$299,2,FALSE)</f>
        <v>Not Used</v>
      </c>
      <c r="L242" s="45" t="str">
        <f>VLOOKUP(U242,'AMP models AxeFxIII'!$D$2:$H$299,2,FALSE)</f>
        <v>Not Used</v>
      </c>
      <c r="M242" s="45" t="str">
        <f>VLOOKUP(V242,'AMP models AxeFxIII'!$D$2:$H$299,2,FALSE)</f>
        <v>Not Used</v>
      </c>
      <c r="N242" s="45" t="str">
        <f>VLOOKUP(W242,'AMP models AxeFxIII'!$D$2:$H$299,2,FALSE)</f>
        <v>Not Used</v>
      </c>
      <c r="O242" s="45" t="str">
        <f>VLOOKUP(X242,'AMP models AxeFxIII'!$D$2:$H$299,2,FALSE)</f>
        <v>Not Used</v>
      </c>
      <c r="P242" s="45" t="str">
        <f>VLOOKUP(Y242,'AMP models AxeFxIII'!$D$2:$H$299,2,FALSE)</f>
        <v>Not Used</v>
      </c>
      <c r="Q242" s="45" t="str">
        <f>VLOOKUP(Z242,'AMP models AxeFxIII'!$D$2:$H$299,2,FALSE)</f>
        <v>Not Used</v>
      </c>
      <c r="R242" s="4">
        <v>238</v>
      </c>
      <c r="S242" s="46" t="s">
        <v>555</v>
      </c>
      <c r="T242" s="46" t="s">
        <v>555</v>
      </c>
      <c r="U242" s="46" t="s">
        <v>555</v>
      </c>
      <c r="V242" s="46" t="s">
        <v>555</v>
      </c>
      <c r="W242" s="46" t="s">
        <v>555</v>
      </c>
      <c r="X242" s="46" t="s">
        <v>555</v>
      </c>
      <c r="Y242" s="46" t="s">
        <v>555</v>
      </c>
      <c r="Z242" s="46" t="s">
        <v>555</v>
      </c>
    </row>
    <row r="243" spans="1:26">
      <c r="A243" s="41">
        <f>preset_Names!A243</f>
        <v>239</v>
      </c>
      <c r="B243" t="str">
        <f t="shared" si="10"/>
        <v xml:space="preserve">strcpy(AMP1_A,("Not Used")); strcpy(AMP1_B,("Not Used")); strcpy(AMP1_C,("Not Used")); strcpy(AMP1_D,("Not Used")); </v>
      </c>
      <c r="C243" t="str">
        <f t="shared" si="11"/>
        <v xml:space="preserve">strcpy(AMP2_A,("Not Used")); strcpy(AMP2_B,("Not Used")); strcpy(AMP2_C,("Not Used")); strcpy(AMP2_D,("Not Used")); </v>
      </c>
      <c r="D243" s="31" t="s">
        <v>893</v>
      </c>
      <c r="E243" s="42" t="str">
        <f t="shared" si="9"/>
        <v>case 239: strcpy(AMP1_A,("Not Used")); strcpy(AMP1_B,("Not Used")); strcpy(AMP1_C,("Not Used")); strcpy(AMP1_D,("Not Used")); strcpy(AMP2_A,("Not Used")); strcpy(AMP2_B,("Not Used")); strcpy(AMP2_C,("Not Used")); strcpy(AMP2_D,("Not Used"));  break;</v>
      </c>
      <c r="F243" t="s">
        <v>893</v>
      </c>
      <c r="I243" t="s">
        <v>893</v>
      </c>
      <c r="J243" s="45" t="str">
        <f>VLOOKUP(S243,'AMP models AxeFxIII'!$D$2:$H$299,2,FALSE)</f>
        <v>Not Used</v>
      </c>
      <c r="K243" s="45" t="str">
        <f>VLOOKUP(T243,'AMP models AxeFxIII'!$D$2:$H$299,2,FALSE)</f>
        <v>Not Used</v>
      </c>
      <c r="L243" s="45" t="str">
        <f>VLOOKUP(U243,'AMP models AxeFxIII'!$D$2:$H$299,2,FALSE)</f>
        <v>Not Used</v>
      </c>
      <c r="M243" s="45" t="str">
        <f>VLOOKUP(V243,'AMP models AxeFxIII'!$D$2:$H$299,2,FALSE)</f>
        <v>Not Used</v>
      </c>
      <c r="N243" s="45" t="str">
        <f>VLOOKUP(W243,'AMP models AxeFxIII'!$D$2:$H$299,2,FALSE)</f>
        <v>Not Used</v>
      </c>
      <c r="O243" s="45" t="str">
        <f>VLOOKUP(X243,'AMP models AxeFxIII'!$D$2:$H$299,2,FALSE)</f>
        <v>Not Used</v>
      </c>
      <c r="P243" s="45" t="str">
        <f>VLOOKUP(Y243,'AMP models AxeFxIII'!$D$2:$H$299,2,FALSE)</f>
        <v>Not Used</v>
      </c>
      <c r="Q243" s="45" t="str">
        <f>VLOOKUP(Z243,'AMP models AxeFxIII'!$D$2:$H$299,2,FALSE)</f>
        <v>Not Used</v>
      </c>
      <c r="R243" s="4">
        <v>239</v>
      </c>
      <c r="S243" s="46" t="s">
        <v>555</v>
      </c>
      <c r="T243" s="46" t="s">
        <v>555</v>
      </c>
      <c r="U243" s="46" t="s">
        <v>555</v>
      </c>
      <c r="V243" s="46" t="s">
        <v>555</v>
      </c>
      <c r="W243" s="46" t="s">
        <v>555</v>
      </c>
      <c r="X243" s="46" t="s">
        <v>555</v>
      </c>
      <c r="Y243" s="46" t="s">
        <v>555</v>
      </c>
      <c r="Z243" s="46" t="s">
        <v>555</v>
      </c>
    </row>
    <row r="244" spans="1:26">
      <c r="A244" s="41">
        <f>preset_Names!A244</f>
        <v>240</v>
      </c>
      <c r="B244" t="str">
        <f t="shared" si="10"/>
        <v xml:space="preserve">strcpy(AMP1_A,("Not Used")); strcpy(AMP1_B,("Not Used")); strcpy(AMP1_C,("Not Used")); strcpy(AMP1_D,("Not Used")); </v>
      </c>
      <c r="C244" t="str">
        <f t="shared" si="11"/>
        <v xml:space="preserve">strcpy(AMP2_A,("Not Used")); strcpy(AMP2_B,("Not Used")); strcpy(AMP2_C,("Not Used")); strcpy(AMP2_D,("Not Used")); </v>
      </c>
      <c r="D244" s="31" t="s">
        <v>893</v>
      </c>
      <c r="E244" s="42" t="str">
        <f t="shared" si="9"/>
        <v>case 240: strcpy(AMP1_A,("Not Used")); strcpy(AMP1_B,("Not Used")); strcpy(AMP1_C,("Not Used")); strcpy(AMP1_D,("Not Used")); strcpy(AMP2_A,("Not Used")); strcpy(AMP2_B,("Not Used")); strcpy(AMP2_C,("Not Used")); strcpy(AMP2_D,("Not Used"));  break;</v>
      </c>
      <c r="F244" t="s">
        <v>893</v>
      </c>
      <c r="I244" t="s">
        <v>893</v>
      </c>
      <c r="J244" s="45" t="str">
        <f>VLOOKUP(S244,'AMP models AxeFxIII'!$D$2:$H$299,2,FALSE)</f>
        <v>Not Used</v>
      </c>
      <c r="K244" s="45" t="str">
        <f>VLOOKUP(T244,'AMP models AxeFxIII'!$D$2:$H$299,2,FALSE)</f>
        <v>Not Used</v>
      </c>
      <c r="L244" s="45" t="str">
        <f>VLOOKUP(U244,'AMP models AxeFxIII'!$D$2:$H$299,2,FALSE)</f>
        <v>Not Used</v>
      </c>
      <c r="M244" s="45" t="str">
        <f>VLOOKUP(V244,'AMP models AxeFxIII'!$D$2:$H$299,2,FALSE)</f>
        <v>Not Used</v>
      </c>
      <c r="N244" s="45" t="str">
        <f>VLOOKUP(W244,'AMP models AxeFxIII'!$D$2:$H$299,2,FALSE)</f>
        <v>Not Used</v>
      </c>
      <c r="O244" s="45" t="str">
        <f>VLOOKUP(X244,'AMP models AxeFxIII'!$D$2:$H$299,2,FALSE)</f>
        <v>Not Used</v>
      </c>
      <c r="P244" s="45" t="str">
        <f>VLOOKUP(Y244,'AMP models AxeFxIII'!$D$2:$H$299,2,FALSE)</f>
        <v>Not Used</v>
      </c>
      <c r="Q244" s="45" t="str">
        <f>VLOOKUP(Z244,'AMP models AxeFxIII'!$D$2:$H$299,2,FALSE)</f>
        <v>Not Used</v>
      </c>
      <c r="R244" s="4">
        <v>240</v>
      </c>
      <c r="S244" s="46" t="s">
        <v>555</v>
      </c>
      <c r="T244" s="46" t="s">
        <v>555</v>
      </c>
      <c r="U244" s="46" t="s">
        <v>555</v>
      </c>
      <c r="V244" s="46" t="s">
        <v>555</v>
      </c>
      <c r="W244" s="46" t="s">
        <v>555</v>
      </c>
      <c r="X244" s="46" t="s">
        <v>555</v>
      </c>
      <c r="Y244" s="46" t="s">
        <v>555</v>
      </c>
      <c r="Z244" s="46" t="s">
        <v>555</v>
      </c>
    </row>
    <row r="245" spans="1:26">
      <c r="A245" s="41">
        <f>preset_Names!A245</f>
        <v>241</v>
      </c>
      <c r="B245" t="str">
        <f t="shared" si="10"/>
        <v xml:space="preserve">strcpy(AMP1_A,("Not Used")); strcpy(AMP1_B,("Not Used")); strcpy(AMP1_C,("Not Used")); strcpy(AMP1_D,("Not Used")); </v>
      </c>
      <c r="C245" t="str">
        <f t="shared" si="11"/>
        <v xml:space="preserve">strcpy(AMP2_A,("Not Used")); strcpy(AMP2_B,("Not Used")); strcpy(AMP2_C,("Not Used")); strcpy(AMP2_D,("Not Used")); </v>
      </c>
      <c r="D245" s="31" t="s">
        <v>893</v>
      </c>
      <c r="E245" s="42" t="str">
        <f t="shared" si="9"/>
        <v>case 241: strcpy(AMP1_A,("Not Used")); strcpy(AMP1_B,("Not Used")); strcpy(AMP1_C,("Not Used")); strcpy(AMP1_D,("Not Used")); strcpy(AMP2_A,("Not Used")); strcpy(AMP2_B,("Not Used")); strcpy(AMP2_C,("Not Used")); strcpy(AMP2_D,("Not Used"));  break;</v>
      </c>
      <c r="F245" t="s">
        <v>893</v>
      </c>
      <c r="I245" t="s">
        <v>893</v>
      </c>
      <c r="J245" s="45" t="str">
        <f>VLOOKUP(S245,'AMP models AxeFxIII'!$D$2:$H$299,2,FALSE)</f>
        <v>Not Used</v>
      </c>
      <c r="K245" s="45" t="str">
        <f>VLOOKUP(T245,'AMP models AxeFxIII'!$D$2:$H$299,2,FALSE)</f>
        <v>Not Used</v>
      </c>
      <c r="L245" s="45" t="str">
        <f>VLOOKUP(U245,'AMP models AxeFxIII'!$D$2:$H$299,2,FALSE)</f>
        <v>Not Used</v>
      </c>
      <c r="M245" s="45" t="str">
        <f>VLOOKUP(V245,'AMP models AxeFxIII'!$D$2:$H$299,2,FALSE)</f>
        <v>Not Used</v>
      </c>
      <c r="N245" s="45" t="str">
        <f>VLOOKUP(W245,'AMP models AxeFxIII'!$D$2:$H$299,2,FALSE)</f>
        <v>Not Used</v>
      </c>
      <c r="O245" s="45" t="str">
        <f>VLOOKUP(X245,'AMP models AxeFxIII'!$D$2:$H$299,2,FALSE)</f>
        <v>Not Used</v>
      </c>
      <c r="P245" s="45" t="str">
        <f>VLOOKUP(Y245,'AMP models AxeFxIII'!$D$2:$H$299,2,FALSE)</f>
        <v>Not Used</v>
      </c>
      <c r="Q245" s="45" t="str">
        <f>VLOOKUP(Z245,'AMP models AxeFxIII'!$D$2:$H$299,2,FALSE)</f>
        <v>Not Used</v>
      </c>
      <c r="R245" s="4">
        <v>241</v>
      </c>
      <c r="S245" s="46" t="s">
        <v>555</v>
      </c>
      <c r="T245" s="46" t="s">
        <v>555</v>
      </c>
      <c r="U245" s="46" t="s">
        <v>555</v>
      </c>
      <c r="V245" s="46" t="s">
        <v>555</v>
      </c>
      <c r="W245" s="46" t="s">
        <v>555</v>
      </c>
      <c r="X245" s="46" t="s">
        <v>555</v>
      </c>
      <c r="Y245" s="46" t="s">
        <v>555</v>
      </c>
      <c r="Z245" s="46" t="s">
        <v>555</v>
      </c>
    </row>
    <row r="246" spans="1:26">
      <c r="A246" s="41">
        <f>preset_Names!A246</f>
        <v>242</v>
      </c>
      <c r="B246" t="str">
        <f t="shared" si="10"/>
        <v xml:space="preserve">strcpy(AMP1_A,("Not Used")); strcpy(AMP1_B,("Not Used")); strcpy(AMP1_C,("Not Used")); strcpy(AMP1_D,("Not Used")); </v>
      </c>
      <c r="C246" t="str">
        <f t="shared" si="11"/>
        <v xml:space="preserve">strcpy(AMP2_A,("Not Used")); strcpy(AMP2_B,("Not Used")); strcpy(AMP2_C,("Not Used")); strcpy(AMP2_D,("Not Used")); </v>
      </c>
      <c r="D246" s="31" t="s">
        <v>893</v>
      </c>
      <c r="E246" s="42" t="str">
        <f t="shared" si="9"/>
        <v>case 242: strcpy(AMP1_A,("Not Used")); strcpy(AMP1_B,("Not Used")); strcpy(AMP1_C,("Not Used")); strcpy(AMP1_D,("Not Used")); strcpy(AMP2_A,("Not Used")); strcpy(AMP2_B,("Not Used")); strcpy(AMP2_C,("Not Used")); strcpy(AMP2_D,("Not Used"));  break;</v>
      </c>
      <c r="F246" t="s">
        <v>893</v>
      </c>
      <c r="I246" t="s">
        <v>893</v>
      </c>
      <c r="J246" s="45" t="str">
        <f>VLOOKUP(S246,'AMP models AxeFxIII'!$D$2:$H$299,2,FALSE)</f>
        <v>Not Used</v>
      </c>
      <c r="K246" s="45" t="str">
        <f>VLOOKUP(T246,'AMP models AxeFxIII'!$D$2:$H$299,2,FALSE)</f>
        <v>Not Used</v>
      </c>
      <c r="L246" s="45" t="str">
        <f>VLOOKUP(U246,'AMP models AxeFxIII'!$D$2:$H$299,2,FALSE)</f>
        <v>Not Used</v>
      </c>
      <c r="M246" s="45" t="str">
        <f>VLOOKUP(V246,'AMP models AxeFxIII'!$D$2:$H$299,2,FALSE)</f>
        <v>Not Used</v>
      </c>
      <c r="N246" s="45" t="str">
        <f>VLOOKUP(W246,'AMP models AxeFxIII'!$D$2:$H$299,2,FALSE)</f>
        <v>Not Used</v>
      </c>
      <c r="O246" s="45" t="str">
        <f>VLOOKUP(X246,'AMP models AxeFxIII'!$D$2:$H$299,2,FALSE)</f>
        <v>Not Used</v>
      </c>
      <c r="P246" s="45" t="str">
        <f>VLOOKUP(Y246,'AMP models AxeFxIII'!$D$2:$H$299,2,FALSE)</f>
        <v>Not Used</v>
      </c>
      <c r="Q246" s="45" t="str">
        <f>VLOOKUP(Z246,'AMP models AxeFxIII'!$D$2:$H$299,2,FALSE)</f>
        <v>Not Used</v>
      </c>
      <c r="R246" s="4">
        <v>242</v>
      </c>
      <c r="S246" s="46" t="s">
        <v>555</v>
      </c>
      <c r="T246" s="46" t="s">
        <v>555</v>
      </c>
      <c r="U246" s="46" t="s">
        <v>555</v>
      </c>
      <c r="V246" s="46" t="s">
        <v>555</v>
      </c>
      <c r="W246" s="46" t="s">
        <v>555</v>
      </c>
      <c r="X246" s="46" t="s">
        <v>555</v>
      </c>
      <c r="Y246" s="46" t="s">
        <v>555</v>
      </c>
      <c r="Z246" s="46" t="s">
        <v>555</v>
      </c>
    </row>
    <row r="247" spans="1:26">
      <c r="A247" s="41">
        <f>preset_Names!A247</f>
        <v>243</v>
      </c>
      <c r="B247" t="str">
        <f t="shared" si="10"/>
        <v xml:space="preserve">strcpy(AMP1_A,("Not Used")); strcpy(AMP1_B,("Not Used")); strcpy(AMP1_C,("Not Used")); strcpy(AMP1_D,("Not Used")); </v>
      </c>
      <c r="C247" t="str">
        <f t="shared" si="11"/>
        <v xml:space="preserve">strcpy(AMP2_A,("Not Used")); strcpy(AMP2_B,("Not Used")); strcpy(AMP2_C,("Not Used")); strcpy(AMP2_D,("Not Used")); </v>
      </c>
      <c r="D247" s="31" t="s">
        <v>893</v>
      </c>
      <c r="E247" s="42" t="str">
        <f t="shared" si="9"/>
        <v>case 243: strcpy(AMP1_A,("Not Used")); strcpy(AMP1_B,("Not Used")); strcpy(AMP1_C,("Not Used")); strcpy(AMP1_D,("Not Used")); strcpy(AMP2_A,("Not Used")); strcpy(AMP2_B,("Not Used")); strcpy(AMP2_C,("Not Used")); strcpy(AMP2_D,("Not Used"));  break;</v>
      </c>
      <c r="F247" t="s">
        <v>893</v>
      </c>
      <c r="I247" t="s">
        <v>893</v>
      </c>
      <c r="J247" s="45" t="str">
        <f>VLOOKUP(S247,'AMP models AxeFxIII'!$D$2:$H$299,2,FALSE)</f>
        <v>Not Used</v>
      </c>
      <c r="K247" s="45" t="str">
        <f>VLOOKUP(T247,'AMP models AxeFxIII'!$D$2:$H$299,2,FALSE)</f>
        <v>Not Used</v>
      </c>
      <c r="L247" s="45" t="str">
        <f>VLOOKUP(U247,'AMP models AxeFxIII'!$D$2:$H$299,2,FALSE)</f>
        <v>Not Used</v>
      </c>
      <c r="M247" s="45" t="str">
        <f>VLOOKUP(V247,'AMP models AxeFxIII'!$D$2:$H$299,2,FALSE)</f>
        <v>Not Used</v>
      </c>
      <c r="N247" s="45" t="str">
        <f>VLOOKUP(W247,'AMP models AxeFxIII'!$D$2:$H$299,2,FALSE)</f>
        <v>Not Used</v>
      </c>
      <c r="O247" s="45" t="str">
        <f>VLOOKUP(X247,'AMP models AxeFxIII'!$D$2:$H$299,2,FALSE)</f>
        <v>Not Used</v>
      </c>
      <c r="P247" s="45" t="str">
        <f>VLOOKUP(Y247,'AMP models AxeFxIII'!$D$2:$H$299,2,FALSE)</f>
        <v>Not Used</v>
      </c>
      <c r="Q247" s="45" t="str">
        <f>VLOOKUP(Z247,'AMP models AxeFxIII'!$D$2:$H$299,2,FALSE)</f>
        <v>Not Used</v>
      </c>
      <c r="R247" s="4">
        <v>243</v>
      </c>
      <c r="S247" s="46" t="s">
        <v>555</v>
      </c>
      <c r="T247" s="46" t="s">
        <v>555</v>
      </c>
      <c r="U247" s="46" t="s">
        <v>555</v>
      </c>
      <c r="V247" s="46" t="s">
        <v>555</v>
      </c>
      <c r="W247" s="46" t="s">
        <v>555</v>
      </c>
      <c r="X247" s="46" t="s">
        <v>555</v>
      </c>
      <c r="Y247" s="46" t="s">
        <v>555</v>
      </c>
      <c r="Z247" s="46" t="s">
        <v>555</v>
      </c>
    </row>
    <row r="248" spans="1:26">
      <c r="A248" s="41">
        <f>preset_Names!A248</f>
        <v>244</v>
      </c>
      <c r="B248" t="str">
        <f t="shared" si="10"/>
        <v xml:space="preserve">strcpy(AMP1_A,("Not Used")); strcpy(AMP1_B,("Not Used")); strcpy(AMP1_C,("Not Used")); strcpy(AMP1_D,("Not Used")); </v>
      </c>
      <c r="C248" t="str">
        <f t="shared" si="11"/>
        <v xml:space="preserve">strcpy(AMP2_A,("Not Used")); strcpy(AMP2_B,("Not Used")); strcpy(AMP2_C,("Not Used")); strcpy(AMP2_D,("Not Used")); </v>
      </c>
      <c r="D248" s="31" t="s">
        <v>893</v>
      </c>
      <c r="E248" s="42" t="str">
        <f t="shared" si="9"/>
        <v>case 244: strcpy(AMP1_A,("Not Used")); strcpy(AMP1_B,("Not Used")); strcpy(AMP1_C,("Not Used")); strcpy(AMP1_D,("Not Used")); strcpy(AMP2_A,("Not Used")); strcpy(AMP2_B,("Not Used")); strcpy(AMP2_C,("Not Used")); strcpy(AMP2_D,("Not Used"));  break;</v>
      </c>
      <c r="F248" t="s">
        <v>893</v>
      </c>
      <c r="I248" t="s">
        <v>893</v>
      </c>
      <c r="J248" s="45" t="str">
        <f>VLOOKUP(S248,'AMP models AxeFxIII'!$D$2:$H$299,2,FALSE)</f>
        <v>Not Used</v>
      </c>
      <c r="K248" s="45" t="str">
        <f>VLOOKUP(T248,'AMP models AxeFxIII'!$D$2:$H$299,2,FALSE)</f>
        <v>Not Used</v>
      </c>
      <c r="L248" s="45" t="str">
        <f>VLOOKUP(U248,'AMP models AxeFxIII'!$D$2:$H$299,2,FALSE)</f>
        <v>Not Used</v>
      </c>
      <c r="M248" s="45" t="str">
        <f>VLOOKUP(V248,'AMP models AxeFxIII'!$D$2:$H$299,2,FALSE)</f>
        <v>Not Used</v>
      </c>
      <c r="N248" s="45" t="str">
        <f>VLOOKUP(W248,'AMP models AxeFxIII'!$D$2:$H$299,2,FALSE)</f>
        <v>Not Used</v>
      </c>
      <c r="O248" s="45" t="str">
        <f>VLOOKUP(X248,'AMP models AxeFxIII'!$D$2:$H$299,2,FALSE)</f>
        <v>Not Used</v>
      </c>
      <c r="P248" s="45" t="str">
        <f>VLOOKUP(Y248,'AMP models AxeFxIII'!$D$2:$H$299,2,FALSE)</f>
        <v>Not Used</v>
      </c>
      <c r="Q248" s="45" t="str">
        <f>VLOOKUP(Z248,'AMP models AxeFxIII'!$D$2:$H$299,2,FALSE)</f>
        <v>Not Used</v>
      </c>
      <c r="R248" s="4">
        <v>244</v>
      </c>
      <c r="S248" s="46" t="s">
        <v>555</v>
      </c>
      <c r="T248" s="46" t="s">
        <v>555</v>
      </c>
      <c r="U248" s="46" t="s">
        <v>555</v>
      </c>
      <c r="V248" s="46" t="s">
        <v>555</v>
      </c>
      <c r="W248" s="46" t="s">
        <v>555</v>
      </c>
      <c r="X248" s="46" t="s">
        <v>555</v>
      </c>
      <c r="Y248" s="46" t="s">
        <v>555</v>
      </c>
      <c r="Z248" s="46" t="s">
        <v>555</v>
      </c>
    </row>
    <row r="249" spans="1:26">
      <c r="A249" s="41">
        <f>preset_Names!A249</f>
        <v>245</v>
      </c>
      <c r="B249" t="str">
        <f t="shared" si="10"/>
        <v xml:space="preserve">strcpy(AMP1_A,("Not Used")); strcpy(AMP1_B,("Not Used")); strcpy(AMP1_C,("Not Used")); strcpy(AMP1_D,("Not Used")); </v>
      </c>
      <c r="C249" t="str">
        <f t="shared" si="11"/>
        <v xml:space="preserve">strcpy(AMP2_A,("Not Used")); strcpy(AMP2_B,("Not Used")); strcpy(AMP2_C,("Not Used")); strcpy(AMP2_D,("Not Used")); </v>
      </c>
      <c r="D249" s="31" t="s">
        <v>893</v>
      </c>
      <c r="E249" s="42" t="str">
        <f t="shared" si="9"/>
        <v>case 245: strcpy(AMP1_A,("Not Used")); strcpy(AMP1_B,("Not Used")); strcpy(AMP1_C,("Not Used")); strcpy(AMP1_D,("Not Used")); strcpy(AMP2_A,("Not Used")); strcpy(AMP2_B,("Not Used")); strcpy(AMP2_C,("Not Used")); strcpy(AMP2_D,("Not Used"));  break;</v>
      </c>
      <c r="F249" t="s">
        <v>893</v>
      </c>
      <c r="I249" t="s">
        <v>893</v>
      </c>
      <c r="J249" s="45" t="str">
        <f>VLOOKUP(S249,'AMP models AxeFxIII'!$D$2:$H$299,2,FALSE)</f>
        <v>Not Used</v>
      </c>
      <c r="K249" s="45" t="str">
        <f>VLOOKUP(T249,'AMP models AxeFxIII'!$D$2:$H$299,2,FALSE)</f>
        <v>Not Used</v>
      </c>
      <c r="L249" s="45" t="str">
        <f>VLOOKUP(U249,'AMP models AxeFxIII'!$D$2:$H$299,2,FALSE)</f>
        <v>Not Used</v>
      </c>
      <c r="M249" s="45" t="str">
        <f>VLOOKUP(V249,'AMP models AxeFxIII'!$D$2:$H$299,2,FALSE)</f>
        <v>Not Used</v>
      </c>
      <c r="N249" s="45" t="str">
        <f>VLOOKUP(W249,'AMP models AxeFxIII'!$D$2:$H$299,2,FALSE)</f>
        <v>Not Used</v>
      </c>
      <c r="O249" s="45" t="str">
        <f>VLOOKUP(X249,'AMP models AxeFxIII'!$D$2:$H$299,2,FALSE)</f>
        <v>Not Used</v>
      </c>
      <c r="P249" s="45" t="str">
        <f>VLOOKUP(Y249,'AMP models AxeFxIII'!$D$2:$H$299,2,FALSE)</f>
        <v>Not Used</v>
      </c>
      <c r="Q249" s="45" t="str">
        <f>VLOOKUP(Z249,'AMP models AxeFxIII'!$D$2:$H$299,2,FALSE)</f>
        <v>Not Used</v>
      </c>
      <c r="R249" s="4">
        <v>245</v>
      </c>
      <c r="S249" s="46" t="s">
        <v>555</v>
      </c>
      <c r="T249" s="46" t="s">
        <v>555</v>
      </c>
      <c r="U249" s="46" t="s">
        <v>555</v>
      </c>
      <c r="V249" s="46" t="s">
        <v>555</v>
      </c>
      <c r="W249" s="46" t="s">
        <v>555</v>
      </c>
      <c r="X249" s="46" t="s">
        <v>555</v>
      </c>
      <c r="Y249" s="46" t="s">
        <v>555</v>
      </c>
      <c r="Z249" s="46" t="s">
        <v>555</v>
      </c>
    </row>
    <row r="250" spans="1:26">
      <c r="A250" s="41">
        <f>preset_Names!A250</f>
        <v>246</v>
      </c>
      <c r="B250" t="str">
        <f t="shared" si="10"/>
        <v xml:space="preserve">strcpy(AMP1_A,("Not Used")); strcpy(AMP1_B,("Not Used")); strcpy(AMP1_C,("Not Used")); strcpy(AMP1_D,("Not Used")); </v>
      </c>
      <c r="C250" t="str">
        <f t="shared" si="11"/>
        <v xml:space="preserve">strcpy(AMP2_A,("Not Used")); strcpy(AMP2_B,("Not Used")); strcpy(AMP2_C,("Not Used")); strcpy(AMP2_D,("Not Used")); </v>
      </c>
      <c r="D250" s="31" t="s">
        <v>893</v>
      </c>
      <c r="E250" s="42" t="str">
        <f t="shared" si="9"/>
        <v>case 246: strcpy(AMP1_A,("Not Used")); strcpy(AMP1_B,("Not Used")); strcpy(AMP1_C,("Not Used")); strcpy(AMP1_D,("Not Used")); strcpy(AMP2_A,("Not Used")); strcpy(AMP2_B,("Not Used")); strcpy(AMP2_C,("Not Used")); strcpy(AMP2_D,("Not Used"));  break;</v>
      </c>
      <c r="F250" t="s">
        <v>893</v>
      </c>
      <c r="I250" t="s">
        <v>893</v>
      </c>
      <c r="J250" s="45" t="str">
        <f>VLOOKUP(S250,'AMP models AxeFxIII'!$D$2:$H$299,2,FALSE)</f>
        <v>Not Used</v>
      </c>
      <c r="K250" s="45" t="str">
        <f>VLOOKUP(T250,'AMP models AxeFxIII'!$D$2:$H$299,2,FALSE)</f>
        <v>Not Used</v>
      </c>
      <c r="L250" s="45" t="str">
        <f>VLOOKUP(U250,'AMP models AxeFxIII'!$D$2:$H$299,2,FALSE)</f>
        <v>Not Used</v>
      </c>
      <c r="M250" s="45" t="str">
        <f>VLOOKUP(V250,'AMP models AxeFxIII'!$D$2:$H$299,2,FALSE)</f>
        <v>Not Used</v>
      </c>
      <c r="N250" s="45" t="str">
        <f>VLOOKUP(W250,'AMP models AxeFxIII'!$D$2:$H$299,2,FALSE)</f>
        <v>Not Used</v>
      </c>
      <c r="O250" s="45" t="str">
        <f>VLOOKUP(X250,'AMP models AxeFxIII'!$D$2:$H$299,2,FALSE)</f>
        <v>Not Used</v>
      </c>
      <c r="P250" s="45" t="str">
        <f>VLOOKUP(Y250,'AMP models AxeFxIII'!$D$2:$H$299,2,FALSE)</f>
        <v>Not Used</v>
      </c>
      <c r="Q250" s="45" t="str">
        <f>VLOOKUP(Z250,'AMP models AxeFxIII'!$D$2:$H$299,2,FALSE)</f>
        <v>Not Used</v>
      </c>
      <c r="R250" s="4">
        <v>246</v>
      </c>
      <c r="S250" s="46" t="s">
        <v>555</v>
      </c>
      <c r="T250" s="46" t="s">
        <v>555</v>
      </c>
      <c r="U250" s="46" t="s">
        <v>555</v>
      </c>
      <c r="V250" s="46" t="s">
        <v>555</v>
      </c>
      <c r="W250" s="46" t="s">
        <v>555</v>
      </c>
      <c r="X250" s="46" t="s">
        <v>555</v>
      </c>
      <c r="Y250" s="46" t="s">
        <v>555</v>
      </c>
      <c r="Z250" s="46" t="s">
        <v>555</v>
      </c>
    </row>
    <row r="251" spans="1:26">
      <c r="A251" s="41">
        <f>preset_Names!A251</f>
        <v>247</v>
      </c>
      <c r="B251" t="str">
        <f t="shared" si="10"/>
        <v xml:space="preserve">strcpy(AMP1_A,("Not Used")); strcpy(AMP1_B,("Not Used")); strcpy(AMP1_C,("Not Used")); strcpy(AMP1_D,("Not Used")); </v>
      </c>
      <c r="C251" t="str">
        <f t="shared" si="11"/>
        <v xml:space="preserve">strcpy(AMP2_A,("Not Used")); strcpy(AMP2_B,("Not Used")); strcpy(AMP2_C,("Not Used")); strcpy(AMP2_D,("Not Used")); </v>
      </c>
      <c r="D251" s="31" t="s">
        <v>893</v>
      </c>
      <c r="E251" s="42" t="str">
        <f t="shared" si="9"/>
        <v>case 247: strcpy(AMP1_A,("Not Used")); strcpy(AMP1_B,("Not Used")); strcpy(AMP1_C,("Not Used")); strcpy(AMP1_D,("Not Used")); strcpy(AMP2_A,("Not Used")); strcpy(AMP2_B,("Not Used")); strcpy(AMP2_C,("Not Used")); strcpy(AMP2_D,("Not Used"));  break;</v>
      </c>
      <c r="F251" t="s">
        <v>893</v>
      </c>
      <c r="I251" t="s">
        <v>893</v>
      </c>
      <c r="J251" s="45" t="str">
        <f>VLOOKUP(S251,'AMP models AxeFxIII'!$D$2:$H$299,2,FALSE)</f>
        <v>Not Used</v>
      </c>
      <c r="K251" s="45" t="str">
        <f>VLOOKUP(T251,'AMP models AxeFxIII'!$D$2:$H$299,2,FALSE)</f>
        <v>Not Used</v>
      </c>
      <c r="L251" s="45" t="str">
        <f>VLOOKUP(U251,'AMP models AxeFxIII'!$D$2:$H$299,2,FALSE)</f>
        <v>Not Used</v>
      </c>
      <c r="M251" s="45" t="str">
        <f>VLOOKUP(V251,'AMP models AxeFxIII'!$D$2:$H$299,2,FALSE)</f>
        <v>Not Used</v>
      </c>
      <c r="N251" s="45" t="str">
        <f>VLOOKUP(W251,'AMP models AxeFxIII'!$D$2:$H$299,2,FALSE)</f>
        <v>Not Used</v>
      </c>
      <c r="O251" s="45" t="str">
        <f>VLOOKUP(X251,'AMP models AxeFxIII'!$D$2:$H$299,2,FALSE)</f>
        <v>Not Used</v>
      </c>
      <c r="P251" s="45" t="str">
        <f>VLOOKUP(Y251,'AMP models AxeFxIII'!$D$2:$H$299,2,FALSE)</f>
        <v>Not Used</v>
      </c>
      <c r="Q251" s="45" t="str">
        <f>VLOOKUP(Z251,'AMP models AxeFxIII'!$D$2:$H$299,2,FALSE)</f>
        <v>Not Used</v>
      </c>
      <c r="R251" s="4">
        <v>247</v>
      </c>
      <c r="S251" s="46" t="s">
        <v>555</v>
      </c>
      <c r="T251" s="46" t="s">
        <v>555</v>
      </c>
      <c r="U251" s="46" t="s">
        <v>555</v>
      </c>
      <c r="V251" s="46" t="s">
        <v>555</v>
      </c>
      <c r="W251" s="46" t="s">
        <v>555</v>
      </c>
      <c r="X251" s="46" t="s">
        <v>555</v>
      </c>
      <c r="Y251" s="46" t="s">
        <v>555</v>
      </c>
      <c r="Z251" s="46" t="s">
        <v>555</v>
      </c>
    </row>
    <row r="252" spans="1:26">
      <c r="A252" s="41">
        <f>preset_Names!A252</f>
        <v>248</v>
      </c>
      <c r="B252" t="str">
        <f t="shared" si="10"/>
        <v xml:space="preserve">strcpy(AMP1_A,("Not Used")); strcpy(AMP1_B,("Not Used")); strcpy(AMP1_C,("Not Used")); strcpy(AMP1_D,("Not Used")); </v>
      </c>
      <c r="C252" t="str">
        <f t="shared" si="11"/>
        <v xml:space="preserve">strcpy(AMP2_A,("Not Used")); strcpy(AMP2_B,("Not Used")); strcpy(AMP2_C,("Not Used")); strcpy(AMP2_D,("Not Used")); </v>
      </c>
      <c r="D252" s="31" t="s">
        <v>893</v>
      </c>
      <c r="E252" s="42" t="str">
        <f t="shared" si="9"/>
        <v>case 248: strcpy(AMP1_A,("Not Used")); strcpy(AMP1_B,("Not Used")); strcpy(AMP1_C,("Not Used")); strcpy(AMP1_D,("Not Used")); strcpy(AMP2_A,("Not Used")); strcpy(AMP2_B,("Not Used")); strcpy(AMP2_C,("Not Used")); strcpy(AMP2_D,("Not Used"));  break;</v>
      </c>
      <c r="F252" t="s">
        <v>893</v>
      </c>
      <c r="I252" t="s">
        <v>893</v>
      </c>
      <c r="J252" s="45" t="str">
        <f>VLOOKUP(S252,'AMP models AxeFxIII'!$D$2:$H$299,2,FALSE)</f>
        <v>Not Used</v>
      </c>
      <c r="K252" s="45" t="str">
        <f>VLOOKUP(T252,'AMP models AxeFxIII'!$D$2:$H$299,2,FALSE)</f>
        <v>Not Used</v>
      </c>
      <c r="L252" s="45" t="str">
        <f>VLOOKUP(U252,'AMP models AxeFxIII'!$D$2:$H$299,2,FALSE)</f>
        <v>Not Used</v>
      </c>
      <c r="M252" s="45" t="str">
        <f>VLOOKUP(V252,'AMP models AxeFxIII'!$D$2:$H$299,2,FALSE)</f>
        <v>Not Used</v>
      </c>
      <c r="N252" s="45" t="str">
        <f>VLOOKUP(W252,'AMP models AxeFxIII'!$D$2:$H$299,2,FALSE)</f>
        <v>Not Used</v>
      </c>
      <c r="O252" s="45" t="str">
        <f>VLOOKUP(X252,'AMP models AxeFxIII'!$D$2:$H$299,2,FALSE)</f>
        <v>Not Used</v>
      </c>
      <c r="P252" s="45" t="str">
        <f>VLOOKUP(Y252,'AMP models AxeFxIII'!$D$2:$H$299,2,FALSE)</f>
        <v>Not Used</v>
      </c>
      <c r="Q252" s="45" t="str">
        <f>VLOOKUP(Z252,'AMP models AxeFxIII'!$D$2:$H$299,2,FALSE)</f>
        <v>Not Used</v>
      </c>
      <c r="R252" s="4">
        <v>248</v>
      </c>
      <c r="S252" s="46" t="s">
        <v>555</v>
      </c>
      <c r="T252" s="46" t="s">
        <v>555</v>
      </c>
      <c r="U252" s="46" t="s">
        <v>555</v>
      </c>
      <c r="V252" s="46" t="s">
        <v>555</v>
      </c>
      <c r="W252" s="46" t="s">
        <v>555</v>
      </c>
      <c r="X252" s="46" t="s">
        <v>555</v>
      </c>
      <c r="Y252" s="46" t="s">
        <v>555</v>
      </c>
      <c r="Z252" s="46" t="s">
        <v>555</v>
      </c>
    </row>
    <row r="253" spans="1:26">
      <c r="A253" s="41">
        <f>preset_Names!A253</f>
        <v>249</v>
      </c>
      <c r="B253" t="str">
        <f t="shared" si="10"/>
        <v xml:space="preserve">strcpy(AMP1_A,("Not Used")); strcpy(AMP1_B,("Not Used")); strcpy(AMP1_C,("Not Used")); strcpy(AMP1_D,("Not Used")); </v>
      </c>
      <c r="C253" t="str">
        <f t="shared" si="11"/>
        <v xml:space="preserve">strcpy(AMP2_A,("Not Used")); strcpy(AMP2_B,("Not Used")); strcpy(AMP2_C,("Not Used")); strcpy(AMP2_D,("Not Used")); </v>
      </c>
      <c r="D253" s="31" t="s">
        <v>893</v>
      </c>
      <c r="E253" s="42" t="str">
        <f t="shared" si="9"/>
        <v>case 249: strcpy(AMP1_A,("Not Used")); strcpy(AMP1_B,("Not Used")); strcpy(AMP1_C,("Not Used")); strcpy(AMP1_D,("Not Used")); strcpy(AMP2_A,("Not Used")); strcpy(AMP2_B,("Not Used")); strcpy(AMP2_C,("Not Used")); strcpy(AMP2_D,("Not Used"));  break;</v>
      </c>
      <c r="F253" t="s">
        <v>893</v>
      </c>
      <c r="I253" t="s">
        <v>893</v>
      </c>
      <c r="J253" s="45" t="str">
        <f>VLOOKUP(S253,'AMP models AxeFxIII'!$D$2:$H$299,2,FALSE)</f>
        <v>Not Used</v>
      </c>
      <c r="K253" s="45" t="str">
        <f>VLOOKUP(T253,'AMP models AxeFxIII'!$D$2:$H$299,2,FALSE)</f>
        <v>Not Used</v>
      </c>
      <c r="L253" s="45" t="str">
        <f>VLOOKUP(U253,'AMP models AxeFxIII'!$D$2:$H$299,2,FALSE)</f>
        <v>Not Used</v>
      </c>
      <c r="M253" s="45" t="str">
        <f>VLOOKUP(V253,'AMP models AxeFxIII'!$D$2:$H$299,2,FALSE)</f>
        <v>Not Used</v>
      </c>
      <c r="N253" s="45" t="str">
        <f>VLOOKUP(W253,'AMP models AxeFxIII'!$D$2:$H$299,2,FALSE)</f>
        <v>Not Used</v>
      </c>
      <c r="O253" s="45" t="str">
        <f>VLOOKUP(X253,'AMP models AxeFxIII'!$D$2:$H$299,2,FALSE)</f>
        <v>Not Used</v>
      </c>
      <c r="P253" s="45" t="str">
        <f>VLOOKUP(Y253,'AMP models AxeFxIII'!$D$2:$H$299,2,FALSE)</f>
        <v>Not Used</v>
      </c>
      <c r="Q253" s="45" t="str">
        <f>VLOOKUP(Z253,'AMP models AxeFxIII'!$D$2:$H$299,2,FALSE)</f>
        <v>Not Used</v>
      </c>
      <c r="R253" s="4">
        <v>249</v>
      </c>
      <c r="S253" s="46" t="s">
        <v>555</v>
      </c>
      <c r="T253" s="46" t="s">
        <v>555</v>
      </c>
      <c r="U253" s="46" t="s">
        <v>555</v>
      </c>
      <c r="V253" s="46" t="s">
        <v>555</v>
      </c>
      <c r="W253" s="46" t="s">
        <v>555</v>
      </c>
      <c r="X253" s="46" t="s">
        <v>555</v>
      </c>
      <c r="Y253" s="46" t="s">
        <v>555</v>
      </c>
      <c r="Z253" s="46" t="s">
        <v>555</v>
      </c>
    </row>
    <row r="254" spans="1:26">
      <c r="A254" s="41">
        <f>preset_Names!A254</f>
        <v>250</v>
      </c>
      <c r="B254" t="str">
        <f t="shared" si="10"/>
        <v xml:space="preserve">strcpy(AMP1_A,("Not Used")); strcpy(AMP1_B,("Not Used")); strcpy(AMP1_C,("Not Used")); strcpy(AMP1_D,("Not Used")); </v>
      </c>
      <c r="C254" t="str">
        <f t="shared" si="11"/>
        <v xml:space="preserve">strcpy(AMP2_A,("Not Used")); strcpy(AMP2_B,("Not Used")); strcpy(AMP2_C,("Not Used")); strcpy(AMP2_D,("Not Used")); </v>
      </c>
      <c r="D254" s="31" t="s">
        <v>893</v>
      </c>
      <c r="E254" s="42" t="str">
        <f t="shared" si="9"/>
        <v>case 250: strcpy(AMP1_A,("Not Used")); strcpy(AMP1_B,("Not Used")); strcpy(AMP1_C,("Not Used")); strcpy(AMP1_D,("Not Used")); strcpy(AMP2_A,("Not Used")); strcpy(AMP2_B,("Not Used")); strcpy(AMP2_C,("Not Used")); strcpy(AMP2_D,("Not Used"));  break;</v>
      </c>
      <c r="F254" t="s">
        <v>893</v>
      </c>
      <c r="I254" t="s">
        <v>893</v>
      </c>
      <c r="J254" s="45" t="str">
        <f>VLOOKUP(S254,'AMP models AxeFxIII'!$D$2:$H$299,2,FALSE)</f>
        <v>Not Used</v>
      </c>
      <c r="K254" s="45" t="str">
        <f>VLOOKUP(T254,'AMP models AxeFxIII'!$D$2:$H$299,2,FALSE)</f>
        <v>Not Used</v>
      </c>
      <c r="L254" s="45" t="str">
        <f>VLOOKUP(U254,'AMP models AxeFxIII'!$D$2:$H$299,2,FALSE)</f>
        <v>Not Used</v>
      </c>
      <c r="M254" s="45" t="str">
        <f>VLOOKUP(V254,'AMP models AxeFxIII'!$D$2:$H$299,2,FALSE)</f>
        <v>Not Used</v>
      </c>
      <c r="N254" s="45" t="str">
        <f>VLOOKUP(W254,'AMP models AxeFxIII'!$D$2:$H$299,2,FALSE)</f>
        <v>Not Used</v>
      </c>
      <c r="O254" s="45" t="str">
        <f>VLOOKUP(X254,'AMP models AxeFxIII'!$D$2:$H$299,2,FALSE)</f>
        <v>Not Used</v>
      </c>
      <c r="P254" s="45" t="str">
        <f>VLOOKUP(Y254,'AMP models AxeFxIII'!$D$2:$H$299,2,FALSE)</f>
        <v>Not Used</v>
      </c>
      <c r="Q254" s="45" t="str">
        <f>VLOOKUP(Z254,'AMP models AxeFxIII'!$D$2:$H$299,2,FALSE)</f>
        <v>Not Used</v>
      </c>
      <c r="R254" s="4">
        <v>250</v>
      </c>
      <c r="S254" s="46" t="s">
        <v>555</v>
      </c>
      <c r="T254" s="46" t="s">
        <v>555</v>
      </c>
      <c r="U254" s="46" t="s">
        <v>555</v>
      </c>
      <c r="V254" s="46" t="s">
        <v>555</v>
      </c>
      <c r="W254" s="46" t="s">
        <v>555</v>
      </c>
      <c r="X254" s="46" t="s">
        <v>555</v>
      </c>
      <c r="Y254" s="46" t="s">
        <v>555</v>
      </c>
      <c r="Z254" s="46" t="s">
        <v>555</v>
      </c>
    </row>
    <row r="255" spans="1:26">
      <c r="A255" s="41">
        <f>preset_Names!A255</f>
        <v>251</v>
      </c>
      <c r="B255" t="str">
        <f t="shared" si="10"/>
        <v xml:space="preserve">strcpy(AMP1_A,("Not Used")); strcpy(AMP1_B,("Not Used")); strcpy(AMP1_C,("Not Used")); strcpy(AMP1_D,("Not Used")); </v>
      </c>
      <c r="C255" t="str">
        <f t="shared" si="11"/>
        <v xml:space="preserve">strcpy(AMP2_A,("Not Used")); strcpy(AMP2_B,("Not Used")); strcpy(AMP2_C,("Not Used")); strcpy(AMP2_D,("Not Used")); </v>
      </c>
      <c r="D255" s="31" t="s">
        <v>893</v>
      </c>
      <c r="E255" s="42" t="str">
        <f t="shared" si="9"/>
        <v>case 251: strcpy(AMP1_A,("Not Used")); strcpy(AMP1_B,("Not Used")); strcpy(AMP1_C,("Not Used")); strcpy(AMP1_D,("Not Used")); strcpy(AMP2_A,("Not Used")); strcpy(AMP2_B,("Not Used")); strcpy(AMP2_C,("Not Used")); strcpy(AMP2_D,("Not Used"));  break;</v>
      </c>
      <c r="F255" t="s">
        <v>893</v>
      </c>
      <c r="I255" t="s">
        <v>893</v>
      </c>
      <c r="J255" s="45" t="str">
        <f>VLOOKUP(S255,'AMP models AxeFxIII'!$D$2:$H$299,2,FALSE)</f>
        <v>Not Used</v>
      </c>
      <c r="K255" s="45" t="str">
        <f>VLOOKUP(T255,'AMP models AxeFxIII'!$D$2:$H$299,2,FALSE)</f>
        <v>Not Used</v>
      </c>
      <c r="L255" s="45" t="str">
        <f>VLOOKUP(U255,'AMP models AxeFxIII'!$D$2:$H$299,2,FALSE)</f>
        <v>Not Used</v>
      </c>
      <c r="M255" s="45" t="str">
        <f>VLOOKUP(V255,'AMP models AxeFxIII'!$D$2:$H$299,2,FALSE)</f>
        <v>Not Used</v>
      </c>
      <c r="N255" s="45" t="str">
        <f>VLOOKUP(W255,'AMP models AxeFxIII'!$D$2:$H$299,2,FALSE)</f>
        <v>Not Used</v>
      </c>
      <c r="O255" s="45" t="str">
        <f>VLOOKUP(X255,'AMP models AxeFxIII'!$D$2:$H$299,2,FALSE)</f>
        <v>Not Used</v>
      </c>
      <c r="P255" s="45" t="str">
        <f>VLOOKUP(Y255,'AMP models AxeFxIII'!$D$2:$H$299,2,FALSE)</f>
        <v>Not Used</v>
      </c>
      <c r="Q255" s="45" t="str">
        <f>VLOOKUP(Z255,'AMP models AxeFxIII'!$D$2:$H$299,2,FALSE)</f>
        <v>Not Used</v>
      </c>
      <c r="R255" s="4">
        <v>251</v>
      </c>
      <c r="S255" s="46" t="s">
        <v>555</v>
      </c>
      <c r="T255" s="46" t="s">
        <v>555</v>
      </c>
      <c r="U255" s="46" t="s">
        <v>555</v>
      </c>
      <c r="V255" s="46" t="s">
        <v>555</v>
      </c>
      <c r="W255" s="46" t="s">
        <v>555</v>
      </c>
      <c r="X255" s="46" t="s">
        <v>555</v>
      </c>
      <c r="Y255" s="46" t="s">
        <v>555</v>
      </c>
      <c r="Z255" s="46" t="s">
        <v>555</v>
      </c>
    </row>
    <row r="256" spans="1:26">
      <c r="A256" s="41">
        <f>preset_Names!A256</f>
        <v>252</v>
      </c>
      <c r="B256" t="str">
        <f t="shared" si="10"/>
        <v xml:space="preserve">strcpy(AMP1_A,("Not Used")); strcpy(AMP1_B,("Not Used")); strcpy(AMP1_C,("Not Used")); strcpy(AMP1_D,("Not Used")); </v>
      </c>
      <c r="C256" t="str">
        <f t="shared" si="11"/>
        <v xml:space="preserve">strcpy(AMP2_A,("Not Used")); strcpy(AMP2_B,("Not Used")); strcpy(AMP2_C,("Not Used")); strcpy(AMP2_D,("Not Used")); </v>
      </c>
      <c r="D256" s="31" t="s">
        <v>893</v>
      </c>
      <c r="E256" s="42" t="str">
        <f t="shared" si="9"/>
        <v>case 252: strcpy(AMP1_A,("Not Used")); strcpy(AMP1_B,("Not Used")); strcpy(AMP1_C,("Not Used")); strcpy(AMP1_D,("Not Used")); strcpy(AMP2_A,("Not Used")); strcpy(AMP2_B,("Not Used")); strcpy(AMP2_C,("Not Used")); strcpy(AMP2_D,("Not Used"));  break;</v>
      </c>
      <c r="F256" t="s">
        <v>893</v>
      </c>
      <c r="I256" t="s">
        <v>893</v>
      </c>
      <c r="J256" s="45" t="str">
        <f>VLOOKUP(S256,'AMP models AxeFxIII'!$D$2:$H$299,2,FALSE)</f>
        <v>Not Used</v>
      </c>
      <c r="K256" s="45" t="str">
        <f>VLOOKUP(T256,'AMP models AxeFxIII'!$D$2:$H$299,2,FALSE)</f>
        <v>Not Used</v>
      </c>
      <c r="L256" s="45" t="str">
        <f>VLOOKUP(U256,'AMP models AxeFxIII'!$D$2:$H$299,2,FALSE)</f>
        <v>Not Used</v>
      </c>
      <c r="M256" s="45" t="str">
        <f>VLOOKUP(V256,'AMP models AxeFxIII'!$D$2:$H$299,2,FALSE)</f>
        <v>Not Used</v>
      </c>
      <c r="N256" s="45" t="str">
        <f>VLOOKUP(W256,'AMP models AxeFxIII'!$D$2:$H$299,2,FALSE)</f>
        <v>Not Used</v>
      </c>
      <c r="O256" s="45" t="str">
        <f>VLOOKUP(X256,'AMP models AxeFxIII'!$D$2:$H$299,2,FALSE)</f>
        <v>Not Used</v>
      </c>
      <c r="P256" s="45" t="str">
        <f>VLOOKUP(Y256,'AMP models AxeFxIII'!$D$2:$H$299,2,FALSE)</f>
        <v>Not Used</v>
      </c>
      <c r="Q256" s="45" t="str">
        <f>VLOOKUP(Z256,'AMP models AxeFxIII'!$D$2:$H$299,2,FALSE)</f>
        <v>Not Used</v>
      </c>
      <c r="R256" s="4">
        <v>252</v>
      </c>
      <c r="S256" s="46" t="s">
        <v>555</v>
      </c>
      <c r="T256" s="46" t="s">
        <v>555</v>
      </c>
      <c r="U256" s="46" t="s">
        <v>555</v>
      </c>
      <c r="V256" s="46" t="s">
        <v>555</v>
      </c>
      <c r="W256" s="46" t="s">
        <v>555</v>
      </c>
      <c r="X256" s="46" t="s">
        <v>555</v>
      </c>
      <c r="Y256" s="46" t="s">
        <v>555</v>
      </c>
      <c r="Z256" s="46" t="s">
        <v>555</v>
      </c>
    </row>
    <row r="257" spans="1:26">
      <c r="A257" s="41">
        <f>preset_Names!A257</f>
        <v>253</v>
      </c>
      <c r="B257" t="str">
        <f t="shared" si="10"/>
        <v xml:space="preserve">strcpy(AMP1_A,("Not Used")); strcpy(AMP1_B,("Not Used")); strcpy(AMP1_C,("Not Used")); strcpy(AMP1_D,("Not Used")); </v>
      </c>
      <c r="C257" t="str">
        <f t="shared" si="11"/>
        <v xml:space="preserve">strcpy(AMP2_A,("Not Used")); strcpy(AMP2_B,("Not Used")); strcpy(AMP2_C,("Not Used")); strcpy(AMP2_D,("Not Used")); </v>
      </c>
      <c r="D257" s="31" t="s">
        <v>893</v>
      </c>
      <c r="E257" s="42" t="str">
        <f t="shared" si="9"/>
        <v>case 253: strcpy(AMP1_A,("Not Used")); strcpy(AMP1_B,("Not Used")); strcpy(AMP1_C,("Not Used")); strcpy(AMP1_D,("Not Used")); strcpy(AMP2_A,("Not Used")); strcpy(AMP2_B,("Not Used")); strcpy(AMP2_C,("Not Used")); strcpy(AMP2_D,("Not Used"));  break;</v>
      </c>
      <c r="F257" t="s">
        <v>893</v>
      </c>
      <c r="I257" t="s">
        <v>893</v>
      </c>
      <c r="J257" s="45" t="str">
        <f>VLOOKUP(S257,'AMP models AxeFxIII'!$D$2:$H$299,2,FALSE)</f>
        <v>Not Used</v>
      </c>
      <c r="K257" s="45" t="str">
        <f>VLOOKUP(T257,'AMP models AxeFxIII'!$D$2:$H$299,2,FALSE)</f>
        <v>Not Used</v>
      </c>
      <c r="L257" s="45" t="str">
        <f>VLOOKUP(U257,'AMP models AxeFxIII'!$D$2:$H$299,2,FALSE)</f>
        <v>Not Used</v>
      </c>
      <c r="M257" s="45" t="str">
        <f>VLOOKUP(V257,'AMP models AxeFxIII'!$D$2:$H$299,2,FALSE)</f>
        <v>Not Used</v>
      </c>
      <c r="N257" s="45" t="str">
        <f>VLOOKUP(W257,'AMP models AxeFxIII'!$D$2:$H$299,2,FALSE)</f>
        <v>Not Used</v>
      </c>
      <c r="O257" s="45" t="str">
        <f>VLOOKUP(X257,'AMP models AxeFxIII'!$D$2:$H$299,2,FALSE)</f>
        <v>Not Used</v>
      </c>
      <c r="P257" s="45" t="str">
        <f>VLOOKUP(Y257,'AMP models AxeFxIII'!$D$2:$H$299,2,FALSE)</f>
        <v>Not Used</v>
      </c>
      <c r="Q257" s="45" t="str">
        <f>VLOOKUP(Z257,'AMP models AxeFxIII'!$D$2:$H$299,2,FALSE)</f>
        <v>Not Used</v>
      </c>
      <c r="R257" s="4">
        <v>253</v>
      </c>
      <c r="S257" s="46" t="s">
        <v>555</v>
      </c>
      <c r="T257" s="46" t="s">
        <v>555</v>
      </c>
      <c r="U257" s="46" t="s">
        <v>555</v>
      </c>
      <c r="V257" s="46" t="s">
        <v>555</v>
      </c>
      <c r="W257" s="46" t="s">
        <v>555</v>
      </c>
      <c r="X257" s="46" t="s">
        <v>555</v>
      </c>
      <c r="Y257" s="46" t="s">
        <v>555</v>
      </c>
      <c r="Z257" s="46" t="s">
        <v>555</v>
      </c>
    </row>
    <row r="258" spans="1:26">
      <c r="A258" s="41">
        <f>preset_Names!A258</f>
        <v>254</v>
      </c>
      <c r="B258" t="str">
        <f t="shared" si="10"/>
        <v xml:space="preserve">strcpy(AMP1_A,("Not Used")); strcpy(AMP1_B,("Not Used")); strcpy(AMP1_C,("Not Used")); strcpy(AMP1_D,("Not Used")); </v>
      </c>
      <c r="C258" t="str">
        <f t="shared" si="11"/>
        <v xml:space="preserve">strcpy(AMP2_A,("Not Used")); strcpy(AMP2_B,("Not Used")); strcpy(AMP2_C,("Not Used")); strcpy(AMP2_D,("Not Used")); </v>
      </c>
      <c r="D258" s="31" t="s">
        <v>893</v>
      </c>
      <c r="E258" s="42" t="str">
        <f t="shared" si="9"/>
        <v>case 254: strcpy(AMP1_A,("Not Used")); strcpy(AMP1_B,("Not Used")); strcpy(AMP1_C,("Not Used")); strcpy(AMP1_D,("Not Used")); strcpy(AMP2_A,("Not Used")); strcpy(AMP2_B,("Not Used")); strcpy(AMP2_C,("Not Used")); strcpy(AMP2_D,("Not Used"));  break;</v>
      </c>
      <c r="F258" t="s">
        <v>893</v>
      </c>
      <c r="I258" t="s">
        <v>893</v>
      </c>
      <c r="J258" s="45" t="str">
        <f>VLOOKUP(S258,'AMP models AxeFxIII'!$D$2:$H$299,2,FALSE)</f>
        <v>Not Used</v>
      </c>
      <c r="K258" s="45" t="str">
        <f>VLOOKUP(T258,'AMP models AxeFxIII'!$D$2:$H$299,2,FALSE)</f>
        <v>Not Used</v>
      </c>
      <c r="L258" s="45" t="str">
        <f>VLOOKUP(U258,'AMP models AxeFxIII'!$D$2:$H$299,2,FALSE)</f>
        <v>Not Used</v>
      </c>
      <c r="M258" s="45" t="str">
        <f>VLOOKUP(V258,'AMP models AxeFxIII'!$D$2:$H$299,2,FALSE)</f>
        <v>Not Used</v>
      </c>
      <c r="N258" s="45" t="str">
        <f>VLOOKUP(W258,'AMP models AxeFxIII'!$D$2:$H$299,2,FALSE)</f>
        <v>Not Used</v>
      </c>
      <c r="O258" s="45" t="str">
        <f>VLOOKUP(X258,'AMP models AxeFxIII'!$D$2:$H$299,2,FALSE)</f>
        <v>Not Used</v>
      </c>
      <c r="P258" s="45" t="str">
        <f>VLOOKUP(Y258,'AMP models AxeFxIII'!$D$2:$H$299,2,FALSE)</f>
        <v>Not Used</v>
      </c>
      <c r="Q258" s="45" t="str">
        <f>VLOOKUP(Z258,'AMP models AxeFxIII'!$D$2:$H$299,2,FALSE)</f>
        <v>Not Used</v>
      </c>
      <c r="R258" s="4">
        <v>254</v>
      </c>
      <c r="S258" s="46" t="s">
        <v>555</v>
      </c>
      <c r="T258" s="46" t="s">
        <v>555</v>
      </c>
      <c r="U258" s="46" t="s">
        <v>555</v>
      </c>
      <c r="V258" s="46" t="s">
        <v>555</v>
      </c>
      <c r="W258" s="46" t="s">
        <v>555</v>
      </c>
      <c r="X258" s="46" t="s">
        <v>555</v>
      </c>
      <c r="Y258" s="46" t="s">
        <v>555</v>
      </c>
      <c r="Z258" s="46" t="s">
        <v>555</v>
      </c>
    </row>
    <row r="259" spans="1:26">
      <c r="A259" s="41">
        <f>preset_Names!A259</f>
        <v>255</v>
      </c>
      <c r="B259" t="str">
        <f t="shared" si="10"/>
        <v xml:space="preserve">strcpy(AMP1_A,("Not Used")); strcpy(AMP1_B,("Not Used")); strcpy(AMP1_C,("Not Used")); strcpy(AMP1_D,("Not Used")); </v>
      </c>
      <c r="C259" t="str">
        <f t="shared" si="11"/>
        <v xml:space="preserve">strcpy(AMP2_A,("Not Used")); strcpy(AMP2_B,("Not Used")); strcpy(AMP2_C,("Not Used")); strcpy(AMP2_D,("Not Used")); </v>
      </c>
      <c r="D259" s="31" t="s">
        <v>893</v>
      </c>
      <c r="E259" s="42" t="str">
        <f t="shared" si="9"/>
        <v>case 255: strcpy(AMP1_A,("Not Used")); strcpy(AMP1_B,("Not Used")); strcpy(AMP1_C,("Not Used")); strcpy(AMP1_D,("Not Used")); strcpy(AMP2_A,("Not Used")); strcpy(AMP2_B,("Not Used")); strcpy(AMP2_C,("Not Used")); strcpy(AMP2_D,("Not Used"));  break;</v>
      </c>
      <c r="F259" t="s">
        <v>893</v>
      </c>
      <c r="I259" t="s">
        <v>893</v>
      </c>
      <c r="J259" s="45" t="str">
        <f>VLOOKUP(S259,'AMP models AxeFxIII'!$D$2:$H$299,2,FALSE)</f>
        <v>Not Used</v>
      </c>
      <c r="K259" s="45" t="str">
        <f>VLOOKUP(T259,'AMP models AxeFxIII'!$D$2:$H$299,2,FALSE)</f>
        <v>Not Used</v>
      </c>
      <c r="L259" s="45" t="str">
        <f>VLOOKUP(U259,'AMP models AxeFxIII'!$D$2:$H$299,2,FALSE)</f>
        <v>Not Used</v>
      </c>
      <c r="M259" s="45" t="str">
        <f>VLOOKUP(V259,'AMP models AxeFxIII'!$D$2:$H$299,2,FALSE)</f>
        <v>Not Used</v>
      </c>
      <c r="N259" s="45" t="str">
        <f>VLOOKUP(W259,'AMP models AxeFxIII'!$D$2:$H$299,2,FALSE)</f>
        <v>Not Used</v>
      </c>
      <c r="O259" s="45" t="str">
        <f>VLOOKUP(X259,'AMP models AxeFxIII'!$D$2:$H$299,2,FALSE)</f>
        <v>Not Used</v>
      </c>
      <c r="P259" s="45" t="str">
        <f>VLOOKUP(Y259,'AMP models AxeFxIII'!$D$2:$H$299,2,FALSE)</f>
        <v>Not Used</v>
      </c>
      <c r="Q259" s="45" t="str">
        <f>VLOOKUP(Z259,'AMP models AxeFxIII'!$D$2:$H$299,2,FALSE)</f>
        <v>Not Used</v>
      </c>
      <c r="R259" s="4">
        <v>255</v>
      </c>
      <c r="S259" s="46" t="s">
        <v>555</v>
      </c>
      <c r="T259" s="46" t="s">
        <v>555</v>
      </c>
      <c r="U259" s="46" t="s">
        <v>555</v>
      </c>
      <c r="V259" s="46" t="s">
        <v>555</v>
      </c>
      <c r="W259" s="46" t="s">
        <v>555</v>
      </c>
      <c r="X259" s="46" t="s">
        <v>555</v>
      </c>
      <c r="Y259" s="46" t="s">
        <v>555</v>
      </c>
      <c r="Z259" s="46" t="s">
        <v>555</v>
      </c>
    </row>
    <row r="260" spans="1:26">
      <c r="A260" s="41">
        <f>preset_Names!A260</f>
        <v>256</v>
      </c>
      <c r="B260" t="str">
        <f t="shared" si="10"/>
        <v xml:space="preserve">strcpy(AMP1_A,("Not Used")); strcpy(AMP1_B,("Not Used")); strcpy(AMP1_C,("Not Used")); strcpy(AMP1_D,("Not Used")); </v>
      </c>
      <c r="C260" t="str">
        <f t="shared" si="11"/>
        <v xml:space="preserve">strcpy(AMP2_A,("Not Used")); strcpy(AMP2_B,("Not Used")); strcpy(AMP2_C,("Not Used")); strcpy(AMP2_D,("Not Used")); </v>
      </c>
      <c r="D260" s="31" t="s">
        <v>893</v>
      </c>
      <c r="E260" s="42" t="str">
        <f t="shared" si="9"/>
        <v>case 256: strcpy(AMP1_A,("Not Used")); strcpy(AMP1_B,("Not Used")); strcpy(AMP1_C,("Not Used")); strcpy(AMP1_D,("Not Used")); strcpy(AMP2_A,("Not Used")); strcpy(AMP2_B,("Not Used")); strcpy(AMP2_C,("Not Used")); strcpy(AMP2_D,("Not Used"));  break;</v>
      </c>
      <c r="F260" t="s">
        <v>893</v>
      </c>
      <c r="I260" t="s">
        <v>893</v>
      </c>
      <c r="J260" s="45" t="str">
        <f>VLOOKUP(S260,'AMP models AxeFxIII'!$D$2:$H$299,2,FALSE)</f>
        <v>Not Used</v>
      </c>
      <c r="K260" s="45" t="str">
        <f>VLOOKUP(T260,'AMP models AxeFxIII'!$D$2:$H$299,2,FALSE)</f>
        <v>Not Used</v>
      </c>
      <c r="L260" s="45" t="str">
        <f>VLOOKUP(U260,'AMP models AxeFxIII'!$D$2:$H$299,2,FALSE)</f>
        <v>Not Used</v>
      </c>
      <c r="M260" s="45" t="str">
        <f>VLOOKUP(V260,'AMP models AxeFxIII'!$D$2:$H$299,2,FALSE)</f>
        <v>Not Used</v>
      </c>
      <c r="N260" s="45" t="str">
        <f>VLOOKUP(W260,'AMP models AxeFxIII'!$D$2:$H$299,2,FALSE)</f>
        <v>Not Used</v>
      </c>
      <c r="O260" s="45" t="str">
        <f>VLOOKUP(X260,'AMP models AxeFxIII'!$D$2:$H$299,2,FALSE)</f>
        <v>Not Used</v>
      </c>
      <c r="P260" s="45" t="str">
        <f>VLOOKUP(Y260,'AMP models AxeFxIII'!$D$2:$H$299,2,FALSE)</f>
        <v>Not Used</v>
      </c>
      <c r="Q260" s="45" t="str">
        <f>VLOOKUP(Z260,'AMP models AxeFxIII'!$D$2:$H$299,2,FALSE)</f>
        <v>Not Used</v>
      </c>
      <c r="R260" s="4">
        <v>256</v>
      </c>
      <c r="S260" s="46" t="s">
        <v>555</v>
      </c>
      <c r="T260" s="46" t="s">
        <v>555</v>
      </c>
      <c r="U260" s="46" t="s">
        <v>555</v>
      </c>
      <c r="V260" s="46" t="s">
        <v>555</v>
      </c>
      <c r="W260" s="46" t="s">
        <v>555</v>
      </c>
      <c r="X260" s="46" t="s">
        <v>555</v>
      </c>
      <c r="Y260" s="46" t="s">
        <v>555</v>
      </c>
      <c r="Z260" s="46" t="s">
        <v>555</v>
      </c>
    </row>
    <row r="261" spans="1:26">
      <c r="A261" s="41">
        <f>preset_Names!A261</f>
        <v>257</v>
      </c>
      <c r="B261" t="str">
        <f t="shared" si="10"/>
        <v xml:space="preserve">strcpy(AMP1_A,("Not Used")); strcpy(AMP1_B,("Not Used")); strcpy(AMP1_C,("Not Used")); strcpy(AMP1_D,("Not Used")); </v>
      </c>
      <c r="C261" t="str">
        <f t="shared" si="11"/>
        <v xml:space="preserve">strcpy(AMP2_A,("Not Used")); strcpy(AMP2_B,("Not Used")); strcpy(AMP2_C,("Not Used")); strcpy(AMP2_D,("Not Used")); </v>
      </c>
      <c r="D261" s="31" t="s">
        <v>893</v>
      </c>
      <c r="E261" s="42" t="str">
        <f t="shared" ref="E261:E324" si="12" xml:space="preserve"> "case " &amp; A261 &amp; ": " &amp; B261 &amp; C261 &amp; " break;"</f>
        <v>case 257: strcpy(AMP1_A,("Not Used")); strcpy(AMP1_B,("Not Used")); strcpy(AMP1_C,("Not Used")); strcpy(AMP1_D,("Not Used")); strcpy(AMP2_A,("Not Used")); strcpy(AMP2_B,("Not Used")); strcpy(AMP2_C,("Not Used")); strcpy(AMP2_D,("Not Used"));  break;</v>
      </c>
      <c r="F261" t="s">
        <v>893</v>
      </c>
      <c r="I261" t="s">
        <v>893</v>
      </c>
      <c r="J261" s="45" t="str">
        <f>VLOOKUP(S261,'AMP models AxeFxIII'!$D$2:$H$299,2,FALSE)</f>
        <v>Not Used</v>
      </c>
      <c r="K261" s="45" t="str">
        <f>VLOOKUP(T261,'AMP models AxeFxIII'!$D$2:$H$299,2,FALSE)</f>
        <v>Not Used</v>
      </c>
      <c r="L261" s="45" t="str">
        <f>VLOOKUP(U261,'AMP models AxeFxIII'!$D$2:$H$299,2,FALSE)</f>
        <v>Not Used</v>
      </c>
      <c r="M261" s="45" t="str">
        <f>VLOOKUP(V261,'AMP models AxeFxIII'!$D$2:$H$299,2,FALSE)</f>
        <v>Not Used</v>
      </c>
      <c r="N261" s="45" t="str">
        <f>VLOOKUP(W261,'AMP models AxeFxIII'!$D$2:$H$299,2,FALSE)</f>
        <v>Not Used</v>
      </c>
      <c r="O261" s="45" t="str">
        <f>VLOOKUP(X261,'AMP models AxeFxIII'!$D$2:$H$299,2,FALSE)</f>
        <v>Not Used</v>
      </c>
      <c r="P261" s="45" t="str">
        <f>VLOOKUP(Y261,'AMP models AxeFxIII'!$D$2:$H$299,2,FALSE)</f>
        <v>Not Used</v>
      </c>
      <c r="Q261" s="45" t="str">
        <f>VLOOKUP(Z261,'AMP models AxeFxIII'!$D$2:$H$299,2,FALSE)</f>
        <v>Not Used</v>
      </c>
      <c r="R261" s="4">
        <v>257</v>
      </c>
      <c r="S261" s="46" t="s">
        <v>555</v>
      </c>
      <c r="T261" s="46" t="s">
        <v>555</v>
      </c>
      <c r="U261" s="46" t="s">
        <v>555</v>
      </c>
      <c r="V261" s="46" t="s">
        <v>555</v>
      </c>
      <c r="W261" s="46" t="s">
        <v>555</v>
      </c>
      <c r="X261" s="46" t="s">
        <v>555</v>
      </c>
      <c r="Y261" s="46" t="s">
        <v>555</v>
      </c>
      <c r="Z261" s="46" t="s">
        <v>555</v>
      </c>
    </row>
    <row r="262" spans="1:26">
      <c r="A262" s="41">
        <f>preset_Names!A262</f>
        <v>258</v>
      </c>
      <c r="B262" t="str">
        <f t="shared" ref="B262:B325" si="13">$F$4&amp;$J$3&amp;$G$4&amp;J262&amp;$H$4&amp;$F$4&amp;$K$3&amp;$G$4&amp;K262&amp;$H$4&amp;$F$4&amp;$L$3&amp;$G$4&amp;L262&amp;$H$4&amp;$F$4&amp;$M$3&amp;$G$4&amp;M262&amp;$H$4</f>
        <v xml:space="preserve">strcpy(AMP1_A,("Not Used")); strcpy(AMP1_B,("Not Used")); strcpy(AMP1_C,("Not Used")); strcpy(AMP1_D,("Not Used")); </v>
      </c>
      <c r="C262" t="str">
        <f t="shared" ref="C262:C325" si="14">$F$4&amp;$N$3&amp;$G$4&amp;N262&amp;$H$4&amp;$F$4&amp;$O$3&amp;$G$4&amp;O262&amp;$H$4&amp;$F$4&amp;$P$3&amp;$G$4&amp;P262&amp;$H$4&amp;$F$4&amp;$Q$3&amp;$G$4&amp;Q262&amp;$H$4</f>
        <v xml:space="preserve">strcpy(AMP2_A,("Not Used")); strcpy(AMP2_B,("Not Used")); strcpy(AMP2_C,("Not Used")); strcpy(AMP2_D,("Not Used")); </v>
      </c>
      <c r="D262" s="31" t="s">
        <v>893</v>
      </c>
      <c r="E262" s="42" t="str">
        <f t="shared" si="12"/>
        <v>case 258: strcpy(AMP1_A,("Not Used")); strcpy(AMP1_B,("Not Used")); strcpy(AMP1_C,("Not Used")); strcpy(AMP1_D,("Not Used")); strcpy(AMP2_A,("Not Used")); strcpy(AMP2_B,("Not Used")); strcpy(AMP2_C,("Not Used")); strcpy(AMP2_D,("Not Used"));  break;</v>
      </c>
      <c r="F262" t="s">
        <v>893</v>
      </c>
      <c r="I262" t="s">
        <v>893</v>
      </c>
      <c r="J262" s="45" t="str">
        <f>VLOOKUP(S262,'AMP models AxeFxIII'!$D$2:$H$299,2,FALSE)</f>
        <v>Not Used</v>
      </c>
      <c r="K262" s="45" t="str">
        <f>VLOOKUP(T262,'AMP models AxeFxIII'!$D$2:$H$299,2,FALSE)</f>
        <v>Not Used</v>
      </c>
      <c r="L262" s="45" t="str">
        <f>VLOOKUP(U262,'AMP models AxeFxIII'!$D$2:$H$299,2,FALSE)</f>
        <v>Not Used</v>
      </c>
      <c r="M262" s="45" t="str">
        <f>VLOOKUP(V262,'AMP models AxeFxIII'!$D$2:$H$299,2,FALSE)</f>
        <v>Not Used</v>
      </c>
      <c r="N262" s="45" t="str">
        <f>VLOOKUP(W262,'AMP models AxeFxIII'!$D$2:$H$299,2,FALSE)</f>
        <v>Not Used</v>
      </c>
      <c r="O262" s="45" t="str">
        <f>VLOOKUP(X262,'AMP models AxeFxIII'!$D$2:$H$299,2,FALSE)</f>
        <v>Not Used</v>
      </c>
      <c r="P262" s="45" t="str">
        <f>VLOOKUP(Y262,'AMP models AxeFxIII'!$D$2:$H$299,2,FALSE)</f>
        <v>Not Used</v>
      </c>
      <c r="Q262" s="45" t="str">
        <f>VLOOKUP(Z262,'AMP models AxeFxIII'!$D$2:$H$299,2,FALSE)</f>
        <v>Not Used</v>
      </c>
      <c r="R262" s="4">
        <v>258</v>
      </c>
      <c r="S262" s="46" t="s">
        <v>555</v>
      </c>
      <c r="T262" s="46" t="s">
        <v>555</v>
      </c>
      <c r="U262" s="46" t="s">
        <v>555</v>
      </c>
      <c r="V262" s="46" t="s">
        <v>555</v>
      </c>
      <c r="W262" s="46" t="s">
        <v>555</v>
      </c>
      <c r="X262" s="46" t="s">
        <v>555</v>
      </c>
      <c r="Y262" s="46" t="s">
        <v>555</v>
      </c>
      <c r="Z262" s="46" t="s">
        <v>555</v>
      </c>
    </row>
    <row r="263" spans="1:26">
      <c r="A263" s="41">
        <f>preset_Names!A263</f>
        <v>259</v>
      </c>
      <c r="B263" t="str">
        <f t="shared" si="13"/>
        <v xml:space="preserve">strcpy(AMP1_A,("Not Used")); strcpy(AMP1_B,("Not Used")); strcpy(AMP1_C,("Not Used")); strcpy(AMP1_D,("Not Used")); </v>
      </c>
      <c r="C263" t="str">
        <f t="shared" si="14"/>
        <v xml:space="preserve">strcpy(AMP2_A,("Not Used")); strcpy(AMP2_B,("Not Used")); strcpy(AMP2_C,("Not Used")); strcpy(AMP2_D,("Not Used")); </v>
      </c>
      <c r="D263" s="31" t="s">
        <v>893</v>
      </c>
      <c r="E263" s="42" t="str">
        <f t="shared" si="12"/>
        <v>case 259: strcpy(AMP1_A,("Not Used")); strcpy(AMP1_B,("Not Used")); strcpy(AMP1_C,("Not Used")); strcpy(AMP1_D,("Not Used")); strcpy(AMP2_A,("Not Used")); strcpy(AMP2_B,("Not Used")); strcpy(AMP2_C,("Not Used")); strcpy(AMP2_D,("Not Used"));  break;</v>
      </c>
      <c r="F263" t="s">
        <v>893</v>
      </c>
      <c r="I263" t="s">
        <v>893</v>
      </c>
      <c r="J263" s="45" t="str">
        <f>VLOOKUP(S263,'AMP models AxeFxIII'!$D$2:$H$299,2,FALSE)</f>
        <v>Not Used</v>
      </c>
      <c r="K263" s="45" t="str">
        <f>VLOOKUP(T263,'AMP models AxeFxIII'!$D$2:$H$299,2,FALSE)</f>
        <v>Not Used</v>
      </c>
      <c r="L263" s="45" t="str">
        <f>VLOOKUP(U263,'AMP models AxeFxIII'!$D$2:$H$299,2,FALSE)</f>
        <v>Not Used</v>
      </c>
      <c r="M263" s="45" t="str">
        <f>VLOOKUP(V263,'AMP models AxeFxIII'!$D$2:$H$299,2,FALSE)</f>
        <v>Not Used</v>
      </c>
      <c r="N263" s="45" t="str">
        <f>VLOOKUP(W263,'AMP models AxeFxIII'!$D$2:$H$299,2,FALSE)</f>
        <v>Not Used</v>
      </c>
      <c r="O263" s="45" t="str">
        <f>VLOOKUP(X263,'AMP models AxeFxIII'!$D$2:$H$299,2,FALSE)</f>
        <v>Not Used</v>
      </c>
      <c r="P263" s="45" t="str">
        <f>VLOOKUP(Y263,'AMP models AxeFxIII'!$D$2:$H$299,2,FALSE)</f>
        <v>Not Used</v>
      </c>
      <c r="Q263" s="45" t="str">
        <f>VLOOKUP(Z263,'AMP models AxeFxIII'!$D$2:$H$299,2,FALSE)</f>
        <v>Not Used</v>
      </c>
      <c r="R263" s="4">
        <v>259</v>
      </c>
      <c r="S263" s="46" t="s">
        <v>555</v>
      </c>
      <c r="T263" s="46" t="s">
        <v>555</v>
      </c>
      <c r="U263" s="46" t="s">
        <v>555</v>
      </c>
      <c r="V263" s="46" t="s">
        <v>555</v>
      </c>
      <c r="W263" s="46" t="s">
        <v>555</v>
      </c>
      <c r="X263" s="46" t="s">
        <v>555</v>
      </c>
      <c r="Y263" s="46" t="s">
        <v>555</v>
      </c>
      <c r="Z263" s="46" t="s">
        <v>555</v>
      </c>
    </row>
    <row r="264" spans="1:26">
      <c r="A264" s="41">
        <f>preset_Names!A264</f>
        <v>260</v>
      </c>
      <c r="B264" t="str">
        <f t="shared" si="13"/>
        <v xml:space="preserve">strcpy(AMP1_A,("Not Used")); strcpy(AMP1_B,("Not Used")); strcpy(AMP1_C,("Not Used")); strcpy(AMP1_D,("Not Used")); </v>
      </c>
      <c r="C264" t="str">
        <f t="shared" si="14"/>
        <v xml:space="preserve">strcpy(AMP2_A,("Not Used")); strcpy(AMP2_B,("Not Used")); strcpy(AMP2_C,("Not Used")); strcpy(AMP2_D,("Not Used")); </v>
      </c>
      <c r="D264" s="31" t="s">
        <v>893</v>
      </c>
      <c r="E264" s="42" t="str">
        <f t="shared" si="12"/>
        <v>case 260: strcpy(AMP1_A,("Not Used")); strcpy(AMP1_B,("Not Used")); strcpy(AMP1_C,("Not Used")); strcpy(AMP1_D,("Not Used")); strcpy(AMP2_A,("Not Used")); strcpy(AMP2_B,("Not Used")); strcpy(AMP2_C,("Not Used")); strcpy(AMP2_D,("Not Used"));  break;</v>
      </c>
      <c r="F264" t="s">
        <v>893</v>
      </c>
      <c r="I264" t="s">
        <v>893</v>
      </c>
      <c r="J264" s="45" t="str">
        <f>VLOOKUP(S264,'AMP models AxeFxIII'!$D$2:$H$299,2,FALSE)</f>
        <v>Not Used</v>
      </c>
      <c r="K264" s="45" t="str">
        <f>VLOOKUP(T264,'AMP models AxeFxIII'!$D$2:$H$299,2,FALSE)</f>
        <v>Not Used</v>
      </c>
      <c r="L264" s="45" t="str">
        <f>VLOOKUP(U264,'AMP models AxeFxIII'!$D$2:$H$299,2,FALSE)</f>
        <v>Not Used</v>
      </c>
      <c r="M264" s="45" t="str">
        <f>VLOOKUP(V264,'AMP models AxeFxIII'!$D$2:$H$299,2,FALSE)</f>
        <v>Not Used</v>
      </c>
      <c r="N264" s="45" t="str">
        <f>VLOOKUP(W264,'AMP models AxeFxIII'!$D$2:$H$299,2,FALSE)</f>
        <v>Not Used</v>
      </c>
      <c r="O264" s="45" t="str">
        <f>VLOOKUP(X264,'AMP models AxeFxIII'!$D$2:$H$299,2,FALSE)</f>
        <v>Not Used</v>
      </c>
      <c r="P264" s="45" t="str">
        <f>VLOOKUP(Y264,'AMP models AxeFxIII'!$D$2:$H$299,2,FALSE)</f>
        <v>Not Used</v>
      </c>
      <c r="Q264" s="45" t="str">
        <f>VLOOKUP(Z264,'AMP models AxeFxIII'!$D$2:$H$299,2,FALSE)</f>
        <v>Not Used</v>
      </c>
      <c r="R264" s="4">
        <v>260</v>
      </c>
      <c r="S264" s="46" t="s">
        <v>555</v>
      </c>
      <c r="T264" s="46" t="s">
        <v>555</v>
      </c>
      <c r="U264" s="46" t="s">
        <v>555</v>
      </c>
      <c r="V264" s="46" t="s">
        <v>555</v>
      </c>
      <c r="W264" s="46" t="s">
        <v>555</v>
      </c>
      <c r="X264" s="46" t="s">
        <v>555</v>
      </c>
      <c r="Y264" s="46" t="s">
        <v>555</v>
      </c>
      <c r="Z264" s="46" t="s">
        <v>555</v>
      </c>
    </row>
    <row r="265" spans="1:26">
      <c r="A265" s="41">
        <f>preset_Names!A265</f>
        <v>261</v>
      </c>
      <c r="B265" t="str">
        <f t="shared" si="13"/>
        <v xml:space="preserve">strcpy(AMP1_A,("Not Used")); strcpy(AMP1_B,("Not Used")); strcpy(AMP1_C,("Not Used")); strcpy(AMP1_D,("Not Used")); </v>
      </c>
      <c r="C265" t="str">
        <f t="shared" si="14"/>
        <v xml:space="preserve">strcpy(AMP2_A,("Not Used")); strcpy(AMP2_B,("Not Used")); strcpy(AMP2_C,("Not Used")); strcpy(AMP2_D,("Not Used")); </v>
      </c>
      <c r="D265" s="31" t="s">
        <v>893</v>
      </c>
      <c r="E265" s="42" t="str">
        <f t="shared" si="12"/>
        <v>case 261: strcpy(AMP1_A,("Not Used")); strcpy(AMP1_B,("Not Used")); strcpy(AMP1_C,("Not Used")); strcpy(AMP1_D,("Not Used")); strcpy(AMP2_A,("Not Used")); strcpy(AMP2_B,("Not Used")); strcpy(AMP2_C,("Not Used")); strcpy(AMP2_D,("Not Used"));  break;</v>
      </c>
      <c r="F265" t="s">
        <v>893</v>
      </c>
      <c r="I265" t="s">
        <v>893</v>
      </c>
      <c r="J265" s="45" t="str">
        <f>VLOOKUP(S265,'AMP models AxeFxIII'!$D$2:$H$299,2,FALSE)</f>
        <v>Not Used</v>
      </c>
      <c r="K265" s="45" t="str">
        <f>VLOOKUP(T265,'AMP models AxeFxIII'!$D$2:$H$299,2,FALSE)</f>
        <v>Not Used</v>
      </c>
      <c r="L265" s="45" t="str">
        <f>VLOOKUP(U265,'AMP models AxeFxIII'!$D$2:$H$299,2,FALSE)</f>
        <v>Not Used</v>
      </c>
      <c r="M265" s="45" t="str">
        <f>VLOOKUP(V265,'AMP models AxeFxIII'!$D$2:$H$299,2,FALSE)</f>
        <v>Not Used</v>
      </c>
      <c r="N265" s="45" t="str">
        <f>VLOOKUP(W265,'AMP models AxeFxIII'!$D$2:$H$299,2,FALSE)</f>
        <v>Not Used</v>
      </c>
      <c r="O265" s="45" t="str">
        <f>VLOOKUP(X265,'AMP models AxeFxIII'!$D$2:$H$299,2,FALSE)</f>
        <v>Not Used</v>
      </c>
      <c r="P265" s="45" t="str">
        <f>VLOOKUP(Y265,'AMP models AxeFxIII'!$D$2:$H$299,2,FALSE)</f>
        <v>Not Used</v>
      </c>
      <c r="Q265" s="45" t="str">
        <f>VLOOKUP(Z265,'AMP models AxeFxIII'!$D$2:$H$299,2,FALSE)</f>
        <v>Not Used</v>
      </c>
      <c r="R265" s="4">
        <v>261</v>
      </c>
      <c r="S265" s="46" t="s">
        <v>555</v>
      </c>
      <c r="T265" s="46" t="s">
        <v>555</v>
      </c>
      <c r="U265" s="46" t="s">
        <v>555</v>
      </c>
      <c r="V265" s="46" t="s">
        <v>555</v>
      </c>
      <c r="W265" s="46" t="s">
        <v>555</v>
      </c>
      <c r="X265" s="46" t="s">
        <v>555</v>
      </c>
      <c r="Y265" s="46" t="s">
        <v>555</v>
      </c>
      <c r="Z265" s="46" t="s">
        <v>555</v>
      </c>
    </row>
    <row r="266" spans="1:26">
      <c r="A266" s="41">
        <f>preset_Names!A266</f>
        <v>262</v>
      </c>
      <c r="B266" t="str">
        <f t="shared" si="13"/>
        <v xml:space="preserve">strcpy(AMP1_A,("Not Used")); strcpy(AMP1_B,("Not Used")); strcpy(AMP1_C,("Not Used")); strcpy(AMP1_D,("Not Used")); </v>
      </c>
      <c r="C266" t="str">
        <f t="shared" si="14"/>
        <v xml:space="preserve">strcpy(AMP2_A,("Not Used")); strcpy(AMP2_B,("Not Used")); strcpy(AMP2_C,("Not Used")); strcpy(AMP2_D,("Not Used")); </v>
      </c>
      <c r="D266" s="31" t="s">
        <v>893</v>
      </c>
      <c r="E266" s="42" t="str">
        <f t="shared" si="12"/>
        <v>case 262: strcpy(AMP1_A,("Not Used")); strcpy(AMP1_B,("Not Used")); strcpy(AMP1_C,("Not Used")); strcpy(AMP1_D,("Not Used")); strcpy(AMP2_A,("Not Used")); strcpy(AMP2_B,("Not Used")); strcpy(AMP2_C,("Not Used")); strcpy(AMP2_D,("Not Used"));  break;</v>
      </c>
      <c r="F266" t="s">
        <v>893</v>
      </c>
      <c r="I266" t="s">
        <v>893</v>
      </c>
      <c r="J266" s="45" t="str">
        <f>VLOOKUP(S266,'AMP models AxeFxIII'!$D$2:$H$299,2,FALSE)</f>
        <v>Not Used</v>
      </c>
      <c r="K266" s="45" t="str">
        <f>VLOOKUP(T266,'AMP models AxeFxIII'!$D$2:$H$299,2,FALSE)</f>
        <v>Not Used</v>
      </c>
      <c r="L266" s="45" t="str">
        <f>VLOOKUP(U266,'AMP models AxeFxIII'!$D$2:$H$299,2,FALSE)</f>
        <v>Not Used</v>
      </c>
      <c r="M266" s="45" t="str">
        <f>VLOOKUP(V266,'AMP models AxeFxIII'!$D$2:$H$299,2,FALSE)</f>
        <v>Not Used</v>
      </c>
      <c r="N266" s="45" t="str">
        <f>VLOOKUP(W266,'AMP models AxeFxIII'!$D$2:$H$299,2,FALSE)</f>
        <v>Not Used</v>
      </c>
      <c r="O266" s="45" t="str">
        <f>VLOOKUP(X266,'AMP models AxeFxIII'!$D$2:$H$299,2,FALSE)</f>
        <v>Not Used</v>
      </c>
      <c r="P266" s="45" t="str">
        <f>VLOOKUP(Y266,'AMP models AxeFxIII'!$D$2:$H$299,2,FALSE)</f>
        <v>Not Used</v>
      </c>
      <c r="Q266" s="45" t="str">
        <f>VLOOKUP(Z266,'AMP models AxeFxIII'!$D$2:$H$299,2,FALSE)</f>
        <v>Not Used</v>
      </c>
      <c r="R266" s="4">
        <v>262</v>
      </c>
      <c r="S266" s="46" t="s">
        <v>555</v>
      </c>
      <c r="T266" s="46" t="s">
        <v>555</v>
      </c>
      <c r="U266" s="46" t="s">
        <v>555</v>
      </c>
      <c r="V266" s="46" t="s">
        <v>555</v>
      </c>
      <c r="W266" s="46" t="s">
        <v>555</v>
      </c>
      <c r="X266" s="46" t="s">
        <v>555</v>
      </c>
      <c r="Y266" s="46" t="s">
        <v>555</v>
      </c>
      <c r="Z266" s="46" t="s">
        <v>555</v>
      </c>
    </row>
    <row r="267" spans="1:26">
      <c r="A267" s="41">
        <f>preset_Names!A267</f>
        <v>263</v>
      </c>
      <c r="B267" t="str">
        <f t="shared" si="13"/>
        <v xml:space="preserve">strcpy(AMP1_A,("Not Used")); strcpy(AMP1_B,("Not Used")); strcpy(AMP1_C,("Not Used")); strcpy(AMP1_D,("Not Used")); </v>
      </c>
      <c r="C267" t="str">
        <f t="shared" si="14"/>
        <v xml:space="preserve">strcpy(AMP2_A,("Not Used")); strcpy(AMP2_B,("Not Used")); strcpy(AMP2_C,("Not Used")); strcpy(AMP2_D,("Not Used")); </v>
      </c>
      <c r="D267" s="31" t="s">
        <v>893</v>
      </c>
      <c r="E267" s="42" t="str">
        <f t="shared" si="12"/>
        <v>case 263: strcpy(AMP1_A,("Not Used")); strcpy(AMP1_B,("Not Used")); strcpy(AMP1_C,("Not Used")); strcpy(AMP1_D,("Not Used")); strcpy(AMP2_A,("Not Used")); strcpy(AMP2_B,("Not Used")); strcpy(AMP2_C,("Not Used")); strcpy(AMP2_D,("Not Used"));  break;</v>
      </c>
      <c r="F267" t="s">
        <v>893</v>
      </c>
      <c r="I267" t="s">
        <v>893</v>
      </c>
      <c r="J267" s="45" t="str">
        <f>VLOOKUP(S267,'AMP models AxeFxIII'!$D$2:$H$299,2,FALSE)</f>
        <v>Not Used</v>
      </c>
      <c r="K267" s="45" t="str">
        <f>VLOOKUP(T267,'AMP models AxeFxIII'!$D$2:$H$299,2,FALSE)</f>
        <v>Not Used</v>
      </c>
      <c r="L267" s="45" t="str">
        <f>VLOOKUP(U267,'AMP models AxeFxIII'!$D$2:$H$299,2,FALSE)</f>
        <v>Not Used</v>
      </c>
      <c r="M267" s="45" t="str">
        <f>VLOOKUP(V267,'AMP models AxeFxIII'!$D$2:$H$299,2,FALSE)</f>
        <v>Not Used</v>
      </c>
      <c r="N267" s="45" t="str">
        <f>VLOOKUP(W267,'AMP models AxeFxIII'!$D$2:$H$299,2,FALSE)</f>
        <v>Not Used</v>
      </c>
      <c r="O267" s="45" t="str">
        <f>VLOOKUP(X267,'AMP models AxeFxIII'!$D$2:$H$299,2,FALSE)</f>
        <v>Not Used</v>
      </c>
      <c r="P267" s="45" t="str">
        <f>VLOOKUP(Y267,'AMP models AxeFxIII'!$D$2:$H$299,2,FALSE)</f>
        <v>Not Used</v>
      </c>
      <c r="Q267" s="45" t="str">
        <f>VLOOKUP(Z267,'AMP models AxeFxIII'!$D$2:$H$299,2,FALSE)</f>
        <v>Not Used</v>
      </c>
      <c r="R267" s="4">
        <v>263</v>
      </c>
      <c r="S267" s="46" t="s">
        <v>555</v>
      </c>
      <c r="T267" s="46" t="s">
        <v>555</v>
      </c>
      <c r="U267" s="46" t="s">
        <v>555</v>
      </c>
      <c r="V267" s="46" t="s">
        <v>555</v>
      </c>
      <c r="W267" s="46" t="s">
        <v>555</v>
      </c>
      <c r="X267" s="46" t="s">
        <v>555</v>
      </c>
      <c r="Y267" s="46" t="s">
        <v>555</v>
      </c>
      <c r="Z267" s="46" t="s">
        <v>555</v>
      </c>
    </row>
    <row r="268" spans="1:26">
      <c r="A268" s="41">
        <f>preset_Names!A268</f>
        <v>264</v>
      </c>
      <c r="B268" t="str">
        <f t="shared" si="13"/>
        <v xml:space="preserve">strcpy(AMP1_A,("Not Used")); strcpy(AMP1_B,("Not Used")); strcpy(AMP1_C,("Not Used")); strcpy(AMP1_D,("Not Used")); </v>
      </c>
      <c r="C268" t="str">
        <f t="shared" si="14"/>
        <v xml:space="preserve">strcpy(AMP2_A,("Not Used")); strcpy(AMP2_B,("Not Used")); strcpy(AMP2_C,("Not Used")); strcpy(AMP2_D,("Not Used")); </v>
      </c>
      <c r="D268" s="31" t="s">
        <v>893</v>
      </c>
      <c r="E268" s="42" t="str">
        <f t="shared" si="12"/>
        <v>case 264: strcpy(AMP1_A,("Not Used")); strcpy(AMP1_B,("Not Used")); strcpy(AMP1_C,("Not Used")); strcpy(AMP1_D,("Not Used")); strcpy(AMP2_A,("Not Used")); strcpy(AMP2_B,("Not Used")); strcpy(AMP2_C,("Not Used")); strcpy(AMP2_D,("Not Used"));  break;</v>
      </c>
      <c r="F268" t="s">
        <v>893</v>
      </c>
      <c r="I268" t="s">
        <v>893</v>
      </c>
      <c r="J268" s="45" t="str">
        <f>VLOOKUP(S268,'AMP models AxeFxIII'!$D$2:$H$299,2,FALSE)</f>
        <v>Not Used</v>
      </c>
      <c r="K268" s="45" t="str">
        <f>VLOOKUP(T268,'AMP models AxeFxIII'!$D$2:$H$299,2,FALSE)</f>
        <v>Not Used</v>
      </c>
      <c r="L268" s="45" t="str">
        <f>VLOOKUP(U268,'AMP models AxeFxIII'!$D$2:$H$299,2,FALSE)</f>
        <v>Not Used</v>
      </c>
      <c r="M268" s="45" t="str">
        <f>VLOOKUP(V268,'AMP models AxeFxIII'!$D$2:$H$299,2,FALSE)</f>
        <v>Not Used</v>
      </c>
      <c r="N268" s="45" t="str">
        <f>VLOOKUP(W268,'AMP models AxeFxIII'!$D$2:$H$299,2,FALSE)</f>
        <v>Not Used</v>
      </c>
      <c r="O268" s="45" t="str">
        <f>VLOOKUP(X268,'AMP models AxeFxIII'!$D$2:$H$299,2,FALSE)</f>
        <v>Not Used</v>
      </c>
      <c r="P268" s="45" t="str">
        <f>VLOOKUP(Y268,'AMP models AxeFxIII'!$D$2:$H$299,2,FALSE)</f>
        <v>Not Used</v>
      </c>
      <c r="Q268" s="45" t="str">
        <f>VLOOKUP(Z268,'AMP models AxeFxIII'!$D$2:$H$299,2,FALSE)</f>
        <v>Not Used</v>
      </c>
      <c r="R268" s="4">
        <v>264</v>
      </c>
      <c r="S268" s="46" t="s">
        <v>555</v>
      </c>
      <c r="T268" s="46" t="s">
        <v>555</v>
      </c>
      <c r="U268" s="46" t="s">
        <v>555</v>
      </c>
      <c r="V268" s="46" t="s">
        <v>555</v>
      </c>
      <c r="W268" s="46" t="s">
        <v>555</v>
      </c>
      <c r="X268" s="46" t="s">
        <v>555</v>
      </c>
      <c r="Y268" s="46" t="s">
        <v>555</v>
      </c>
      <c r="Z268" s="46" t="s">
        <v>555</v>
      </c>
    </row>
    <row r="269" spans="1:26">
      <c r="A269" s="41">
        <f>preset_Names!A269</f>
        <v>265</v>
      </c>
      <c r="B269" t="str">
        <f t="shared" si="13"/>
        <v xml:space="preserve">strcpy(AMP1_A,("Not Used")); strcpy(AMP1_B,("Not Used")); strcpy(AMP1_C,("Not Used")); strcpy(AMP1_D,("Not Used")); </v>
      </c>
      <c r="C269" t="str">
        <f t="shared" si="14"/>
        <v xml:space="preserve">strcpy(AMP2_A,("Not Used")); strcpy(AMP2_B,("Not Used")); strcpy(AMP2_C,("Not Used")); strcpy(AMP2_D,("Not Used")); </v>
      </c>
      <c r="D269" s="31" t="s">
        <v>893</v>
      </c>
      <c r="E269" s="42" t="str">
        <f t="shared" si="12"/>
        <v>case 265: strcpy(AMP1_A,("Not Used")); strcpy(AMP1_B,("Not Used")); strcpy(AMP1_C,("Not Used")); strcpy(AMP1_D,("Not Used")); strcpy(AMP2_A,("Not Used")); strcpy(AMP2_B,("Not Used")); strcpy(AMP2_C,("Not Used")); strcpy(AMP2_D,("Not Used"));  break;</v>
      </c>
      <c r="F269" t="s">
        <v>893</v>
      </c>
      <c r="I269" t="s">
        <v>893</v>
      </c>
      <c r="J269" s="45" t="str">
        <f>VLOOKUP(S269,'AMP models AxeFxIII'!$D$2:$H$299,2,FALSE)</f>
        <v>Not Used</v>
      </c>
      <c r="K269" s="45" t="str">
        <f>VLOOKUP(T269,'AMP models AxeFxIII'!$D$2:$H$299,2,FALSE)</f>
        <v>Not Used</v>
      </c>
      <c r="L269" s="45" t="str">
        <f>VLOOKUP(U269,'AMP models AxeFxIII'!$D$2:$H$299,2,FALSE)</f>
        <v>Not Used</v>
      </c>
      <c r="M269" s="45" t="str">
        <f>VLOOKUP(V269,'AMP models AxeFxIII'!$D$2:$H$299,2,FALSE)</f>
        <v>Not Used</v>
      </c>
      <c r="N269" s="45" t="str">
        <f>VLOOKUP(W269,'AMP models AxeFxIII'!$D$2:$H$299,2,FALSE)</f>
        <v>Not Used</v>
      </c>
      <c r="O269" s="45" t="str">
        <f>VLOOKUP(X269,'AMP models AxeFxIII'!$D$2:$H$299,2,FALSE)</f>
        <v>Not Used</v>
      </c>
      <c r="P269" s="45" t="str">
        <f>VLOOKUP(Y269,'AMP models AxeFxIII'!$D$2:$H$299,2,FALSE)</f>
        <v>Not Used</v>
      </c>
      <c r="Q269" s="45" t="str">
        <f>VLOOKUP(Z269,'AMP models AxeFxIII'!$D$2:$H$299,2,FALSE)</f>
        <v>Not Used</v>
      </c>
      <c r="R269" s="4">
        <v>265</v>
      </c>
      <c r="S269" s="46" t="s">
        <v>555</v>
      </c>
      <c r="T269" s="46" t="s">
        <v>555</v>
      </c>
      <c r="U269" s="46" t="s">
        <v>555</v>
      </c>
      <c r="V269" s="46" t="s">
        <v>555</v>
      </c>
      <c r="W269" s="46" t="s">
        <v>555</v>
      </c>
      <c r="X269" s="46" t="s">
        <v>555</v>
      </c>
      <c r="Y269" s="46" t="s">
        <v>555</v>
      </c>
      <c r="Z269" s="46" t="s">
        <v>555</v>
      </c>
    </row>
    <row r="270" spans="1:26">
      <c r="A270" s="41">
        <f>preset_Names!A270</f>
        <v>266</v>
      </c>
      <c r="B270" t="str">
        <f t="shared" si="13"/>
        <v xml:space="preserve">strcpy(AMP1_A,("Not Used")); strcpy(AMP1_B,("Not Used")); strcpy(AMP1_C,("Not Used")); strcpy(AMP1_D,("Not Used")); </v>
      </c>
      <c r="C270" t="str">
        <f t="shared" si="14"/>
        <v xml:space="preserve">strcpy(AMP2_A,("Not Used")); strcpy(AMP2_B,("Not Used")); strcpy(AMP2_C,("Not Used")); strcpy(AMP2_D,("Not Used")); </v>
      </c>
      <c r="D270" s="31" t="s">
        <v>893</v>
      </c>
      <c r="E270" s="42" t="str">
        <f t="shared" si="12"/>
        <v>case 266: strcpy(AMP1_A,("Not Used")); strcpy(AMP1_B,("Not Used")); strcpy(AMP1_C,("Not Used")); strcpy(AMP1_D,("Not Used")); strcpy(AMP2_A,("Not Used")); strcpy(AMP2_B,("Not Used")); strcpy(AMP2_C,("Not Used")); strcpy(AMP2_D,("Not Used"));  break;</v>
      </c>
      <c r="F270" t="s">
        <v>893</v>
      </c>
      <c r="I270" t="s">
        <v>893</v>
      </c>
      <c r="J270" s="45" t="str">
        <f>VLOOKUP(S270,'AMP models AxeFxIII'!$D$2:$H$299,2,FALSE)</f>
        <v>Not Used</v>
      </c>
      <c r="K270" s="45" t="str">
        <f>VLOOKUP(T270,'AMP models AxeFxIII'!$D$2:$H$299,2,FALSE)</f>
        <v>Not Used</v>
      </c>
      <c r="L270" s="45" t="str">
        <f>VLOOKUP(U270,'AMP models AxeFxIII'!$D$2:$H$299,2,FALSE)</f>
        <v>Not Used</v>
      </c>
      <c r="M270" s="45" t="str">
        <f>VLOOKUP(V270,'AMP models AxeFxIII'!$D$2:$H$299,2,FALSE)</f>
        <v>Not Used</v>
      </c>
      <c r="N270" s="45" t="str">
        <f>VLOOKUP(W270,'AMP models AxeFxIII'!$D$2:$H$299,2,FALSE)</f>
        <v>Not Used</v>
      </c>
      <c r="O270" s="45" t="str">
        <f>VLOOKUP(X270,'AMP models AxeFxIII'!$D$2:$H$299,2,FALSE)</f>
        <v>Not Used</v>
      </c>
      <c r="P270" s="45" t="str">
        <f>VLOOKUP(Y270,'AMP models AxeFxIII'!$D$2:$H$299,2,FALSE)</f>
        <v>Not Used</v>
      </c>
      <c r="Q270" s="45" t="str">
        <f>VLOOKUP(Z270,'AMP models AxeFxIII'!$D$2:$H$299,2,FALSE)</f>
        <v>Not Used</v>
      </c>
      <c r="R270" s="4">
        <v>266</v>
      </c>
      <c r="S270" s="46" t="s">
        <v>555</v>
      </c>
      <c r="T270" s="46" t="s">
        <v>555</v>
      </c>
      <c r="U270" s="46" t="s">
        <v>555</v>
      </c>
      <c r="V270" s="46" t="s">
        <v>555</v>
      </c>
      <c r="W270" s="46" t="s">
        <v>555</v>
      </c>
      <c r="X270" s="46" t="s">
        <v>555</v>
      </c>
      <c r="Y270" s="46" t="s">
        <v>555</v>
      </c>
      <c r="Z270" s="46" t="s">
        <v>555</v>
      </c>
    </row>
    <row r="271" spans="1:26">
      <c r="A271" s="41">
        <f>preset_Names!A271</f>
        <v>267</v>
      </c>
      <c r="B271" t="str">
        <f t="shared" si="13"/>
        <v xml:space="preserve">strcpy(AMP1_A,("Not Used")); strcpy(AMP1_B,("Not Used")); strcpy(AMP1_C,("Not Used")); strcpy(AMP1_D,("Not Used")); </v>
      </c>
      <c r="C271" t="str">
        <f t="shared" si="14"/>
        <v xml:space="preserve">strcpy(AMP2_A,("Not Used")); strcpy(AMP2_B,("Not Used")); strcpy(AMP2_C,("Not Used")); strcpy(AMP2_D,("Not Used")); </v>
      </c>
      <c r="D271" s="31" t="s">
        <v>893</v>
      </c>
      <c r="E271" s="42" t="str">
        <f t="shared" si="12"/>
        <v>case 267: strcpy(AMP1_A,("Not Used")); strcpy(AMP1_B,("Not Used")); strcpy(AMP1_C,("Not Used")); strcpy(AMP1_D,("Not Used")); strcpy(AMP2_A,("Not Used")); strcpy(AMP2_B,("Not Used")); strcpy(AMP2_C,("Not Used")); strcpy(AMP2_D,("Not Used"));  break;</v>
      </c>
      <c r="F271" t="s">
        <v>893</v>
      </c>
      <c r="I271" t="s">
        <v>893</v>
      </c>
      <c r="J271" s="45" t="str">
        <f>VLOOKUP(S271,'AMP models AxeFxIII'!$D$2:$H$299,2,FALSE)</f>
        <v>Not Used</v>
      </c>
      <c r="K271" s="45" t="str">
        <f>VLOOKUP(T271,'AMP models AxeFxIII'!$D$2:$H$299,2,FALSE)</f>
        <v>Not Used</v>
      </c>
      <c r="L271" s="45" t="str">
        <f>VLOOKUP(U271,'AMP models AxeFxIII'!$D$2:$H$299,2,FALSE)</f>
        <v>Not Used</v>
      </c>
      <c r="M271" s="45" t="str">
        <f>VLOOKUP(V271,'AMP models AxeFxIII'!$D$2:$H$299,2,FALSE)</f>
        <v>Not Used</v>
      </c>
      <c r="N271" s="45" t="str">
        <f>VLOOKUP(W271,'AMP models AxeFxIII'!$D$2:$H$299,2,FALSE)</f>
        <v>Not Used</v>
      </c>
      <c r="O271" s="45" t="str">
        <f>VLOOKUP(X271,'AMP models AxeFxIII'!$D$2:$H$299,2,FALSE)</f>
        <v>Not Used</v>
      </c>
      <c r="P271" s="45" t="str">
        <f>VLOOKUP(Y271,'AMP models AxeFxIII'!$D$2:$H$299,2,FALSE)</f>
        <v>Not Used</v>
      </c>
      <c r="Q271" s="45" t="str">
        <f>VLOOKUP(Z271,'AMP models AxeFxIII'!$D$2:$H$299,2,FALSE)</f>
        <v>Not Used</v>
      </c>
      <c r="R271" s="4">
        <v>267</v>
      </c>
      <c r="S271" s="46" t="s">
        <v>555</v>
      </c>
      <c r="T271" s="46" t="s">
        <v>555</v>
      </c>
      <c r="U271" s="46" t="s">
        <v>555</v>
      </c>
      <c r="V271" s="46" t="s">
        <v>555</v>
      </c>
      <c r="W271" s="46" t="s">
        <v>555</v>
      </c>
      <c r="X271" s="46" t="s">
        <v>555</v>
      </c>
      <c r="Y271" s="46" t="s">
        <v>555</v>
      </c>
      <c r="Z271" s="46" t="s">
        <v>555</v>
      </c>
    </row>
    <row r="272" spans="1:26">
      <c r="A272" s="41">
        <f>preset_Names!A272</f>
        <v>268</v>
      </c>
      <c r="B272" t="str">
        <f t="shared" si="13"/>
        <v xml:space="preserve">strcpy(AMP1_A,("Not Used")); strcpy(AMP1_B,("Not Used")); strcpy(AMP1_C,("Not Used")); strcpy(AMP1_D,("Not Used")); </v>
      </c>
      <c r="C272" t="str">
        <f t="shared" si="14"/>
        <v xml:space="preserve">strcpy(AMP2_A,("Not Used")); strcpy(AMP2_B,("Not Used")); strcpy(AMP2_C,("Not Used")); strcpy(AMP2_D,("Not Used")); </v>
      </c>
      <c r="D272" s="31" t="s">
        <v>893</v>
      </c>
      <c r="E272" s="42" t="str">
        <f t="shared" si="12"/>
        <v>case 268: strcpy(AMP1_A,("Not Used")); strcpy(AMP1_B,("Not Used")); strcpy(AMP1_C,("Not Used")); strcpy(AMP1_D,("Not Used")); strcpy(AMP2_A,("Not Used")); strcpy(AMP2_B,("Not Used")); strcpy(AMP2_C,("Not Used")); strcpy(AMP2_D,("Not Used"));  break;</v>
      </c>
      <c r="F272" t="s">
        <v>893</v>
      </c>
      <c r="I272" t="s">
        <v>893</v>
      </c>
      <c r="J272" s="45" t="str">
        <f>VLOOKUP(S272,'AMP models AxeFxIII'!$D$2:$H$299,2,FALSE)</f>
        <v>Not Used</v>
      </c>
      <c r="K272" s="45" t="str">
        <f>VLOOKUP(T272,'AMP models AxeFxIII'!$D$2:$H$299,2,FALSE)</f>
        <v>Not Used</v>
      </c>
      <c r="L272" s="45" t="str">
        <f>VLOOKUP(U272,'AMP models AxeFxIII'!$D$2:$H$299,2,FALSE)</f>
        <v>Not Used</v>
      </c>
      <c r="M272" s="45" t="str">
        <f>VLOOKUP(V272,'AMP models AxeFxIII'!$D$2:$H$299,2,FALSE)</f>
        <v>Not Used</v>
      </c>
      <c r="N272" s="45" t="str">
        <f>VLOOKUP(W272,'AMP models AxeFxIII'!$D$2:$H$299,2,FALSE)</f>
        <v>Not Used</v>
      </c>
      <c r="O272" s="45" t="str">
        <f>VLOOKUP(X272,'AMP models AxeFxIII'!$D$2:$H$299,2,FALSE)</f>
        <v>Not Used</v>
      </c>
      <c r="P272" s="45" t="str">
        <f>VLOOKUP(Y272,'AMP models AxeFxIII'!$D$2:$H$299,2,FALSE)</f>
        <v>Not Used</v>
      </c>
      <c r="Q272" s="45" t="str">
        <f>VLOOKUP(Z272,'AMP models AxeFxIII'!$D$2:$H$299,2,FALSE)</f>
        <v>Not Used</v>
      </c>
      <c r="R272" s="4">
        <v>268</v>
      </c>
      <c r="S272" s="46" t="s">
        <v>555</v>
      </c>
      <c r="T272" s="46" t="s">
        <v>555</v>
      </c>
      <c r="U272" s="46" t="s">
        <v>555</v>
      </c>
      <c r="V272" s="46" t="s">
        <v>555</v>
      </c>
      <c r="W272" s="46" t="s">
        <v>555</v>
      </c>
      <c r="X272" s="46" t="s">
        <v>555</v>
      </c>
      <c r="Y272" s="46" t="s">
        <v>555</v>
      </c>
      <c r="Z272" s="46" t="s">
        <v>555</v>
      </c>
    </row>
    <row r="273" spans="1:26">
      <c r="A273" s="41">
        <f>preset_Names!A273</f>
        <v>269</v>
      </c>
      <c r="B273" t="str">
        <f t="shared" si="13"/>
        <v xml:space="preserve">strcpy(AMP1_A,("Not Used")); strcpy(AMP1_B,("Not Used")); strcpy(AMP1_C,("Not Used")); strcpy(AMP1_D,("Not Used")); </v>
      </c>
      <c r="C273" t="str">
        <f t="shared" si="14"/>
        <v xml:space="preserve">strcpy(AMP2_A,("Not Used")); strcpy(AMP2_B,("Not Used")); strcpy(AMP2_C,("Not Used")); strcpy(AMP2_D,("Not Used")); </v>
      </c>
      <c r="D273" s="31" t="s">
        <v>893</v>
      </c>
      <c r="E273" s="42" t="str">
        <f t="shared" si="12"/>
        <v>case 269: strcpy(AMP1_A,("Not Used")); strcpy(AMP1_B,("Not Used")); strcpy(AMP1_C,("Not Used")); strcpy(AMP1_D,("Not Used")); strcpy(AMP2_A,("Not Used")); strcpy(AMP2_B,("Not Used")); strcpy(AMP2_C,("Not Used")); strcpy(AMP2_D,("Not Used"));  break;</v>
      </c>
      <c r="F273" t="s">
        <v>893</v>
      </c>
      <c r="I273" t="s">
        <v>893</v>
      </c>
      <c r="J273" s="45" t="str">
        <f>VLOOKUP(S273,'AMP models AxeFxIII'!$D$2:$H$299,2,FALSE)</f>
        <v>Not Used</v>
      </c>
      <c r="K273" s="45" t="str">
        <f>VLOOKUP(T273,'AMP models AxeFxIII'!$D$2:$H$299,2,FALSE)</f>
        <v>Not Used</v>
      </c>
      <c r="L273" s="45" t="str">
        <f>VLOOKUP(U273,'AMP models AxeFxIII'!$D$2:$H$299,2,FALSE)</f>
        <v>Not Used</v>
      </c>
      <c r="M273" s="45" t="str">
        <f>VLOOKUP(V273,'AMP models AxeFxIII'!$D$2:$H$299,2,FALSE)</f>
        <v>Not Used</v>
      </c>
      <c r="N273" s="45" t="str">
        <f>VLOOKUP(W273,'AMP models AxeFxIII'!$D$2:$H$299,2,FALSE)</f>
        <v>Not Used</v>
      </c>
      <c r="O273" s="45" t="str">
        <f>VLOOKUP(X273,'AMP models AxeFxIII'!$D$2:$H$299,2,FALSE)</f>
        <v>Not Used</v>
      </c>
      <c r="P273" s="45" t="str">
        <f>VLOOKUP(Y273,'AMP models AxeFxIII'!$D$2:$H$299,2,FALSE)</f>
        <v>Not Used</v>
      </c>
      <c r="Q273" s="45" t="str">
        <f>VLOOKUP(Z273,'AMP models AxeFxIII'!$D$2:$H$299,2,FALSE)</f>
        <v>Not Used</v>
      </c>
      <c r="R273" s="4">
        <v>269</v>
      </c>
      <c r="S273" s="46" t="s">
        <v>555</v>
      </c>
      <c r="T273" s="46" t="s">
        <v>555</v>
      </c>
      <c r="U273" s="46" t="s">
        <v>555</v>
      </c>
      <c r="V273" s="46" t="s">
        <v>555</v>
      </c>
      <c r="W273" s="46" t="s">
        <v>555</v>
      </c>
      <c r="X273" s="46" t="s">
        <v>555</v>
      </c>
      <c r="Y273" s="46" t="s">
        <v>555</v>
      </c>
      <c r="Z273" s="46" t="s">
        <v>555</v>
      </c>
    </row>
    <row r="274" spans="1:26">
      <c r="A274" s="41">
        <f>preset_Names!A274</f>
        <v>270</v>
      </c>
      <c r="B274" t="str">
        <f t="shared" si="13"/>
        <v xml:space="preserve">strcpy(AMP1_A,("Not Used")); strcpy(AMP1_B,("Not Used")); strcpy(AMP1_C,("Not Used")); strcpy(AMP1_D,("Not Used")); </v>
      </c>
      <c r="C274" t="str">
        <f t="shared" si="14"/>
        <v xml:space="preserve">strcpy(AMP2_A,("Not Used")); strcpy(AMP2_B,("Not Used")); strcpy(AMP2_C,("Not Used")); strcpy(AMP2_D,("Not Used")); </v>
      </c>
      <c r="D274" s="31" t="s">
        <v>893</v>
      </c>
      <c r="E274" s="42" t="str">
        <f t="shared" si="12"/>
        <v>case 270: strcpy(AMP1_A,("Not Used")); strcpy(AMP1_B,("Not Used")); strcpy(AMP1_C,("Not Used")); strcpy(AMP1_D,("Not Used")); strcpy(AMP2_A,("Not Used")); strcpy(AMP2_B,("Not Used")); strcpy(AMP2_C,("Not Used")); strcpy(AMP2_D,("Not Used"));  break;</v>
      </c>
      <c r="F274" t="s">
        <v>893</v>
      </c>
      <c r="I274" t="s">
        <v>893</v>
      </c>
      <c r="J274" s="45" t="str">
        <f>VLOOKUP(S274,'AMP models AxeFxIII'!$D$2:$H$299,2,FALSE)</f>
        <v>Not Used</v>
      </c>
      <c r="K274" s="45" t="str">
        <f>VLOOKUP(T274,'AMP models AxeFxIII'!$D$2:$H$299,2,FALSE)</f>
        <v>Not Used</v>
      </c>
      <c r="L274" s="45" t="str">
        <f>VLOOKUP(U274,'AMP models AxeFxIII'!$D$2:$H$299,2,FALSE)</f>
        <v>Not Used</v>
      </c>
      <c r="M274" s="45" t="str">
        <f>VLOOKUP(V274,'AMP models AxeFxIII'!$D$2:$H$299,2,FALSE)</f>
        <v>Not Used</v>
      </c>
      <c r="N274" s="45" t="str">
        <f>VLOOKUP(W274,'AMP models AxeFxIII'!$D$2:$H$299,2,FALSE)</f>
        <v>Not Used</v>
      </c>
      <c r="O274" s="45" t="str">
        <f>VLOOKUP(X274,'AMP models AxeFxIII'!$D$2:$H$299,2,FALSE)</f>
        <v>Not Used</v>
      </c>
      <c r="P274" s="45" t="str">
        <f>VLOOKUP(Y274,'AMP models AxeFxIII'!$D$2:$H$299,2,FALSE)</f>
        <v>Not Used</v>
      </c>
      <c r="Q274" s="45" t="str">
        <f>VLOOKUP(Z274,'AMP models AxeFxIII'!$D$2:$H$299,2,FALSE)</f>
        <v>Not Used</v>
      </c>
      <c r="R274" s="4">
        <v>270</v>
      </c>
      <c r="S274" s="46" t="s">
        <v>555</v>
      </c>
      <c r="T274" s="46" t="s">
        <v>555</v>
      </c>
      <c r="U274" s="46" t="s">
        <v>555</v>
      </c>
      <c r="V274" s="46" t="s">
        <v>555</v>
      </c>
      <c r="W274" s="46" t="s">
        <v>555</v>
      </c>
      <c r="X274" s="46" t="s">
        <v>555</v>
      </c>
      <c r="Y274" s="46" t="s">
        <v>555</v>
      </c>
      <c r="Z274" s="46" t="s">
        <v>555</v>
      </c>
    </row>
    <row r="275" spans="1:26">
      <c r="A275" s="41">
        <f>preset_Names!A275</f>
        <v>271</v>
      </c>
      <c r="B275" t="str">
        <f t="shared" si="13"/>
        <v xml:space="preserve">strcpy(AMP1_A,("Not Used")); strcpy(AMP1_B,("Not Used")); strcpy(AMP1_C,("Not Used")); strcpy(AMP1_D,("Not Used")); </v>
      </c>
      <c r="C275" t="str">
        <f t="shared" si="14"/>
        <v xml:space="preserve">strcpy(AMP2_A,("Not Used")); strcpy(AMP2_B,("Not Used")); strcpy(AMP2_C,("Not Used")); strcpy(AMP2_D,("Not Used")); </v>
      </c>
      <c r="D275" s="31" t="s">
        <v>893</v>
      </c>
      <c r="E275" s="42" t="str">
        <f t="shared" si="12"/>
        <v>case 271: strcpy(AMP1_A,("Not Used")); strcpy(AMP1_B,("Not Used")); strcpy(AMP1_C,("Not Used")); strcpy(AMP1_D,("Not Used")); strcpy(AMP2_A,("Not Used")); strcpy(AMP2_B,("Not Used")); strcpy(AMP2_C,("Not Used")); strcpy(AMP2_D,("Not Used"));  break;</v>
      </c>
      <c r="F275" t="s">
        <v>893</v>
      </c>
      <c r="I275" t="s">
        <v>893</v>
      </c>
      <c r="J275" s="45" t="str">
        <f>VLOOKUP(S275,'AMP models AxeFxIII'!$D$2:$H$299,2,FALSE)</f>
        <v>Not Used</v>
      </c>
      <c r="K275" s="45" t="str">
        <f>VLOOKUP(T275,'AMP models AxeFxIII'!$D$2:$H$299,2,FALSE)</f>
        <v>Not Used</v>
      </c>
      <c r="L275" s="45" t="str">
        <f>VLOOKUP(U275,'AMP models AxeFxIII'!$D$2:$H$299,2,FALSE)</f>
        <v>Not Used</v>
      </c>
      <c r="M275" s="45" t="str">
        <f>VLOOKUP(V275,'AMP models AxeFxIII'!$D$2:$H$299,2,FALSE)</f>
        <v>Not Used</v>
      </c>
      <c r="N275" s="45" t="str">
        <f>VLOOKUP(W275,'AMP models AxeFxIII'!$D$2:$H$299,2,FALSE)</f>
        <v>Not Used</v>
      </c>
      <c r="O275" s="45" t="str">
        <f>VLOOKUP(X275,'AMP models AxeFxIII'!$D$2:$H$299,2,FALSE)</f>
        <v>Not Used</v>
      </c>
      <c r="P275" s="45" t="str">
        <f>VLOOKUP(Y275,'AMP models AxeFxIII'!$D$2:$H$299,2,FALSE)</f>
        <v>Not Used</v>
      </c>
      <c r="Q275" s="45" t="str">
        <f>VLOOKUP(Z275,'AMP models AxeFxIII'!$D$2:$H$299,2,FALSE)</f>
        <v>Not Used</v>
      </c>
      <c r="R275" s="4">
        <v>271</v>
      </c>
      <c r="S275" s="46" t="s">
        <v>555</v>
      </c>
      <c r="T275" s="46" t="s">
        <v>555</v>
      </c>
      <c r="U275" s="46" t="s">
        <v>555</v>
      </c>
      <c r="V275" s="46" t="s">
        <v>555</v>
      </c>
      <c r="W275" s="46" t="s">
        <v>555</v>
      </c>
      <c r="X275" s="46" t="s">
        <v>555</v>
      </c>
      <c r="Y275" s="46" t="s">
        <v>555</v>
      </c>
      <c r="Z275" s="46" t="s">
        <v>555</v>
      </c>
    </row>
    <row r="276" spans="1:26">
      <c r="A276" s="41">
        <f>preset_Names!A276</f>
        <v>272</v>
      </c>
      <c r="B276" t="str">
        <f t="shared" si="13"/>
        <v xml:space="preserve">strcpy(AMP1_A,("Not Used")); strcpy(AMP1_B,("Not Used")); strcpy(AMP1_C,("Not Used")); strcpy(AMP1_D,("Not Used")); </v>
      </c>
      <c r="C276" t="str">
        <f t="shared" si="14"/>
        <v xml:space="preserve">strcpy(AMP2_A,("Not Used")); strcpy(AMP2_B,("Not Used")); strcpy(AMP2_C,("Not Used")); strcpy(AMP2_D,("Not Used")); </v>
      </c>
      <c r="D276" s="31" t="s">
        <v>893</v>
      </c>
      <c r="E276" s="42" t="str">
        <f t="shared" si="12"/>
        <v>case 272: strcpy(AMP1_A,("Not Used")); strcpy(AMP1_B,("Not Used")); strcpy(AMP1_C,("Not Used")); strcpy(AMP1_D,("Not Used")); strcpy(AMP2_A,("Not Used")); strcpy(AMP2_B,("Not Used")); strcpy(AMP2_C,("Not Used")); strcpy(AMP2_D,("Not Used"));  break;</v>
      </c>
      <c r="F276" t="s">
        <v>893</v>
      </c>
      <c r="I276" t="s">
        <v>893</v>
      </c>
      <c r="J276" s="45" t="str">
        <f>VLOOKUP(S276,'AMP models AxeFxIII'!$D$2:$H$299,2,FALSE)</f>
        <v>Not Used</v>
      </c>
      <c r="K276" s="45" t="str">
        <f>VLOOKUP(T276,'AMP models AxeFxIII'!$D$2:$H$299,2,FALSE)</f>
        <v>Not Used</v>
      </c>
      <c r="L276" s="45" t="str">
        <f>VLOOKUP(U276,'AMP models AxeFxIII'!$D$2:$H$299,2,FALSE)</f>
        <v>Not Used</v>
      </c>
      <c r="M276" s="45" t="str">
        <f>VLOOKUP(V276,'AMP models AxeFxIII'!$D$2:$H$299,2,FALSE)</f>
        <v>Not Used</v>
      </c>
      <c r="N276" s="45" t="str">
        <f>VLOOKUP(W276,'AMP models AxeFxIII'!$D$2:$H$299,2,FALSE)</f>
        <v>Not Used</v>
      </c>
      <c r="O276" s="45" t="str">
        <f>VLOOKUP(X276,'AMP models AxeFxIII'!$D$2:$H$299,2,FALSE)</f>
        <v>Not Used</v>
      </c>
      <c r="P276" s="45" t="str">
        <f>VLOOKUP(Y276,'AMP models AxeFxIII'!$D$2:$H$299,2,FALSE)</f>
        <v>Not Used</v>
      </c>
      <c r="Q276" s="45" t="str">
        <f>VLOOKUP(Z276,'AMP models AxeFxIII'!$D$2:$H$299,2,FALSE)</f>
        <v>Not Used</v>
      </c>
      <c r="R276" s="4">
        <v>272</v>
      </c>
      <c r="S276" s="46" t="s">
        <v>555</v>
      </c>
      <c r="T276" s="46" t="s">
        <v>555</v>
      </c>
      <c r="U276" s="46" t="s">
        <v>555</v>
      </c>
      <c r="V276" s="46" t="s">
        <v>555</v>
      </c>
      <c r="W276" s="46" t="s">
        <v>555</v>
      </c>
      <c r="X276" s="46" t="s">
        <v>555</v>
      </c>
      <c r="Y276" s="46" t="s">
        <v>555</v>
      </c>
      <c r="Z276" s="46" t="s">
        <v>555</v>
      </c>
    </row>
    <row r="277" spans="1:26">
      <c r="A277" s="41">
        <f>preset_Names!A277</f>
        <v>273</v>
      </c>
      <c r="B277" t="str">
        <f t="shared" si="13"/>
        <v xml:space="preserve">strcpy(AMP1_A,("Not Used")); strcpy(AMP1_B,("Not Used")); strcpy(AMP1_C,("Not Used")); strcpy(AMP1_D,("Not Used")); </v>
      </c>
      <c r="C277" t="str">
        <f t="shared" si="14"/>
        <v xml:space="preserve">strcpy(AMP2_A,("Not Used")); strcpy(AMP2_B,("Not Used")); strcpy(AMP2_C,("Not Used")); strcpy(AMP2_D,("Not Used")); </v>
      </c>
      <c r="D277" s="31" t="s">
        <v>893</v>
      </c>
      <c r="E277" s="42" t="str">
        <f t="shared" si="12"/>
        <v>case 273: strcpy(AMP1_A,("Not Used")); strcpy(AMP1_B,("Not Used")); strcpy(AMP1_C,("Not Used")); strcpy(AMP1_D,("Not Used")); strcpy(AMP2_A,("Not Used")); strcpy(AMP2_B,("Not Used")); strcpy(AMP2_C,("Not Used")); strcpy(AMP2_D,("Not Used"));  break;</v>
      </c>
      <c r="F277" t="s">
        <v>893</v>
      </c>
      <c r="I277" t="s">
        <v>893</v>
      </c>
      <c r="J277" s="45" t="str">
        <f>VLOOKUP(S277,'AMP models AxeFxIII'!$D$2:$H$299,2,FALSE)</f>
        <v>Not Used</v>
      </c>
      <c r="K277" s="45" t="str">
        <f>VLOOKUP(T277,'AMP models AxeFxIII'!$D$2:$H$299,2,FALSE)</f>
        <v>Not Used</v>
      </c>
      <c r="L277" s="45" t="str">
        <f>VLOOKUP(U277,'AMP models AxeFxIII'!$D$2:$H$299,2,FALSE)</f>
        <v>Not Used</v>
      </c>
      <c r="M277" s="45" t="str">
        <f>VLOOKUP(V277,'AMP models AxeFxIII'!$D$2:$H$299,2,FALSE)</f>
        <v>Not Used</v>
      </c>
      <c r="N277" s="45" t="str">
        <f>VLOOKUP(W277,'AMP models AxeFxIII'!$D$2:$H$299,2,FALSE)</f>
        <v>Not Used</v>
      </c>
      <c r="O277" s="45" t="str">
        <f>VLOOKUP(X277,'AMP models AxeFxIII'!$D$2:$H$299,2,FALSE)</f>
        <v>Not Used</v>
      </c>
      <c r="P277" s="45" t="str">
        <f>VLOOKUP(Y277,'AMP models AxeFxIII'!$D$2:$H$299,2,FALSE)</f>
        <v>Not Used</v>
      </c>
      <c r="Q277" s="45" t="str">
        <f>VLOOKUP(Z277,'AMP models AxeFxIII'!$D$2:$H$299,2,FALSE)</f>
        <v>Not Used</v>
      </c>
      <c r="R277" s="4">
        <v>273</v>
      </c>
      <c r="S277" s="46" t="s">
        <v>555</v>
      </c>
      <c r="T277" s="46" t="s">
        <v>555</v>
      </c>
      <c r="U277" s="46" t="s">
        <v>555</v>
      </c>
      <c r="V277" s="46" t="s">
        <v>555</v>
      </c>
      <c r="W277" s="46" t="s">
        <v>555</v>
      </c>
      <c r="X277" s="46" t="s">
        <v>555</v>
      </c>
      <c r="Y277" s="46" t="s">
        <v>555</v>
      </c>
      <c r="Z277" s="46" t="s">
        <v>555</v>
      </c>
    </row>
    <row r="278" spans="1:26">
      <c r="A278" s="41">
        <f>preset_Names!A278</f>
        <v>274</v>
      </c>
      <c r="B278" t="str">
        <f t="shared" si="13"/>
        <v xml:space="preserve">strcpy(AMP1_A,("Not Used")); strcpy(AMP1_B,("Not Used")); strcpy(AMP1_C,("Not Used")); strcpy(AMP1_D,("Not Used")); </v>
      </c>
      <c r="C278" t="str">
        <f t="shared" si="14"/>
        <v xml:space="preserve">strcpy(AMP2_A,("Not Used")); strcpy(AMP2_B,("Not Used")); strcpy(AMP2_C,("Not Used")); strcpy(AMP2_D,("Not Used")); </v>
      </c>
      <c r="D278" s="31" t="s">
        <v>893</v>
      </c>
      <c r="E278" s="42" t="str">
        <f t="shared" si="12"/>
        <v>case 274: strcpy(AMP1_A,("Not Used")); strcpy(AMP1_B,("Not Used")); strcpy(AMP1_C,("Not Used")); strcpy(AMP1_D,("Not Used")); strcpy(AMP2_A,("Not Used")); strcpy(AMP2_B,("Not Used")); strcpy(AMP2_C,("Not Used")); strcpy(AMP2_D,("Not Used"));  break;</v>
      </c>
      <c r="F278" t="s">
        <v>893</v>
      </c>
      <c r="I278" t="s">
        <v>893</v>
      </c>
      <c r="J278" s="45" t="str">
        <f>VLOOKUP(S278,'AMP models AxeFxIII'!$D$2:$H$299,2,FALSE)</f>
        <v>Not Used</v>
      </c>
      <c r="K278" s="45" t="str">
        <f>VLOOKUP(T278,'AMP models AxeFxIII'!$D$2:$H$299,2,FALSE)</f>
        <v>Not Used</v>
      </c>
      <c r="L278" s="45" t="str">
        <f>VLOOKUP(U278,'AMP models AxeFxIII'!$D$2:$H$299,2,FALSE)</f>
        <v>Not Used</v>
      </c>
      <c r="M278" s="45" t="str">
        <f>VLOOKUP(V278,'AMP models AxeFxIII'!$D$2:$H$299,2,FALSE)</f>
        <v>Not Used</v>
      </c>
      <c r="N278" s="45" t="str">
        <f>VLOOKUP(W278,'AMP models AxeFxIII'!$D$2:$H$299,2,FALSE)</f>
        <v>Not Used</v>
      </c>
      <c r="O278" s="45" t="str">
        <f>VLOOKUP(X278,'AMP models AxeFxIII'!$D$2:$H$299,2,FALSE)</f>
        <v>Not Used</v>
      </c>
      <c r="P278" s="45" t="str">
        <f>VLOOKUP(Y278,'AMP models AxeFxIII'!$D$2:$H$299,2,FALSE)</f>
        <v>Not Used</v>
      </c>
      <c r="Q278" s="45" t="str">
        <f>VLOOKUP(Z278,'AMP models AxeFxIII'!$D$2:$H$299,2,FALSE)</f>
        <v>Not Used</v>
      </c>
      <c r="R278" s="4">
        <v>274</v>
      </c>
      <c r="S278" s="46" t="s">
        <v>555</v>
      </c>
      <c r="T278" s="46" t="s">
        <v>555</v>
      </c>
      <c r="U278" s="46" t="s">
        <v>555</v>
      </c>
      <c r="V278" s="46" t="s">
        <v>555</v>
      </c>
      <c r="W278" s="46" t="s">
        <v>555</v>
      </c>
      <c r="X278" s="46" t="s">
        <v>555</v>
      </c>
      <c r="Y278" s="46" t="s">
        <v>555</v>
      </c>
      <c r="Z278" s="46" t="s">
        <v>555</v>
      </c>
    </row>
    <row r="279" spans="1:26">
      <c r="A279" s="41">
        <f>preset_Names!A279</f>
        <v>275</v>
      </c>
      <c r="B279" t="str">
        <f t="shared" si="13"/>
        <v xml:space="preserve">strcpy(AMP1_A,("Not Used")); strcpy(AMP1_B,("Not Used")); strcpy(AMP1_C,("Not Used")); strcpy(AMP1_D,("Not Used")); </v>
      </c>
      <c r="C279" t="str">
        <f t="shared" si="14"/>
        <v xml:space="preserve">strcpy(AMP2_A,("Not Used")); strcpy(AMP2_B,("Not Used")); strcpy(AMP2_C,("Not Used")); strcpy(AMP2_D,("Not Used")); </v>
      </c>
      <c r="D279" s="31" t="s">
        <v>893</v>
      </c>
      <c r="E279" s="42" t="str">
        <f t="shared" si="12"/>
        <v>case 275: strcpy(AMP1_A,("Not Used")); strcpy(AMP1_B,("Not Used")); strcpy(AMP1_C,("Not Used")); strcpy(AMP1_D,("Not Used")); strcpy(AMP2_A,("Not Used")); strcpy(AMP2_B,("Not Used")); strcpy(AMP2_C,("Not Used")); strcpy(AMP2_D,("Not Used"));  break;</v>
      </c>
      <c r="F279" t="s">
        <v>893</v>
      </c>
      <c r="I279" t="s">
        <v>893</v>
      </c>
      <c r="J279" s="45" t="str">
        <f>VLOOKUP(S279,'AMP models AxeFxIII'!$D$2:$H$299,2,FALSE)</f>
        <v>Not Used</v>
      </c>
      <c r="K279" s="45" t="str">
        <f>VLOOKUP(T279,'AMP models AxeFxIII'!$D$2:$H$299,2,FALSE)</f>
        <v>Not Used</v>
      </c>
      <c r="L279" s="45" t="str">
        <f>VLOOKUP(U279,'AMP models AxeFxIII'!$D$2:$H$299,2,FALSE)</f>
        <v>Not Used</v>
      </c>
      <c r="M279" s="45" t="str">
        <f>VLOOKUP(V279,'AMP models AxeFxIII'!$D$2:$H$299,2,FALSE)</f>
        <v>Not Used</v>
      </c>
      <c r="N279" s="45" t="str">
        <f>VLOOKUP(W279,'AMP models AxeFxIII'!$D$2:$H$299,2,FALSE)</f>
        <v>Not Used</v>
      </c>
      <c r="O279" s="45" t="str">
        <f>VLOOKUP(X279,'AMP models AxeFxIII'!$D$2:$H$299,2,FALSE)</f>
        <v>Not Used</v>
      </c>
      <c r="P279" s="45" t="str">
        <f>VLOOKUP(Y279,'AMP models AxeFxIII'!$D$2:$H$299,2,FALSE)</f>
        <v>Not Used</v>
      </c>
      <c r="Q279" s="45" t="str">
        <f>VLOOKUP(Z279,'AMP models AxeFxIII'!$D$2:$H$299,2,FALSE)</f>
        <v>Not Used</v>
      </c>
      <c r="R279" s="4">
        <v>275</v>
      </c>
      <c r="S279" s="46" t="s">
        <v>555</v>
      </c>
      <c r="T279" s="46" t="s">
        <v>555</v>
      </c>
      <c r="U279" s="46" t="s">
        <v>555</v>
      </c>
      <c r="V279" s="46" t="s">
        <v>555</v>
      </c>
      <c r="W279" s="46" t="s">
        <v>555</v>
      </c>
      <c r="X279" s="46" t="s">
        <v>555</v>
      </c>
      <c r="Y279" s="46" t="s">
        <v>555</v>
      </c>
      <c r="Z279" s="46" t="s">
        <v>555</v>
      </c>
    </row>
    <row r="280" spans="1:26">
      <c r="A280" s="41">
        <f>preset_Names!A280</f>
        <v>276</v>
      </c>
      <c r="B280" t="str">
        <f t="shared" si="13"/>
        <v xml:space="preserve">strcpy(AMP1_A,("Not Used")); strcpy(AMP1_B,("Not Used")); strcpy(AMP1_C,("Not Used")); strcpy(AMP1_D,("Not Used")); </v>
      </c>
      <c r="C280" t="str">
        <f t="shared" si="14"/>
        <v xml:space="preserve">strcpy(AMP2_A,("Not Used")); strcpy(AMP2_B,("Not Used")); strcpy(AMP2_C,("Not Used")); strcpy(AMP2_D,("Not Used")); </v>
      </c>
      <c r="D280" s="31" t="s">
        <v>893</v>
      </c>
      <c r="E280" s="42" t="str">
        <f t="shared" si="12"/>
        <v>case 276: strcpy(AMP1_A,("Not Used")); strcpy(AMP1_B,("Not Used")); strcpy(AMP1_C,("Not Used")); strcpy(AMP1_D,("Not Used")); strcpy(AMP2_A,("Not Used")); strcpy(AMP2_B,("Not Used")); strcpy(AMP2_C,("Not Used")); strcpy(AMP2_D,("Not Used"));  break;</v>
      </c>
      <c r="F280" t="s">
        <v>893</v>
      </c>
      <c r="I280" t="s">
        <v>893</v>
      </c>
      <c r="J280" s="45" t="str">
        <f>VLOOKUP(S280,'AMP models AxeFxIII'!$D$2:$H$299,2,FALSE)</f>
        <v>Not Used</v>
      </c>
      <c r="K280" s="45" t="str">
        <f>VLOOKUP(T280,'AMP models AxeFxIII'!$D$2:$H$299,2,FALSE)</f>
        <v>Not Used</v>
      </c>
      <c r="L280" s="45" t="str">
        <f>VLOOKUP(U280,'AMP models AxeFxIII'!$D$2:$H$299,2,FALSE)</f>
        <v>Not Used</v>
      </c>
      <c r="M280" s="45" t="str">
        <f>VLOOKUP(V280,'AMP models AxeFxIII'!$D$2:$H$299,2,FALSE)</f>
        <v>Not Used</v>
      </c>
      <c r="N280" s="45" t="str">
        <f>VLOOKUP(W280,'AMP models AxeFxIII'!$D$2:$H$299,2,FALSE)</f>
        <v>Not Used</v>
      </c>
      <c r="O280" s="45" t="str">
        <f>VLOOKUP(X280,'AMP models AxeFxIII'!$D$2:$H$299,2,FALSE)</f>
        <v>Not Used</v>
      </c>
      <c r="P280" s="45" t="str">
        <f>VLOOKUP(Y280,'AMP models AxeFxIII'!$D$2:$H$299,2,FALSE)</f>
        <v>Not Used</v>
      </c>
      <c r="Q280" s="45" t="str">
        <f>VLOOKUP(Z280,'AMP models AxeFxIII'!$D$2:$H$299,2,FALSE)</f>
        <v>Not Used</v>
      </c>
      <c r="R280" s="4">
        <v>276</v>
      </c>
      <c r="S280" s="46" t="s">
        <v>555</v>
      </c>
      <c r="T280" s="46" t="s">
        <v>555</v>
      </c>
      <c r="U280" s="46" t="s">
        <v>555</v>
      </c>
      <c r="V280" s="46" t="s">
        <v>555</v>
      </c>
      <c r="W280" s="46" t="s">
        <v>555</v>
      </c>
      <c r="X280" s="46" t="s">
        <v>555</v>
      </c>
      <c r="Y280" s="46" t="s">
        <v>555</v>
      </c>
      <c r="Z280" s="46" t="s">
        <v>555</v>
      </c>
    </row>
    <row r="281" spans="1:26">
      <c r="A281" s="41">
        <f>preset_Names!A281</f>
        <v>277</v>
      </c>
      <c r="B281" t="str">
        <f t="shared" si="13"/>
        <v xml:space="preserve">strcpy(AMP1_A,("Not Used")); strcpy(AMP1_B,("Not Used")); strcpy(AMP1_C,("Not Used")); strcpy(AMP1_D,("Not Used")); </v>
      </c>
      <c r="C281" t="str">
        <f t="shared" si="14"/>
        <v xml:space="preserve">strcpy(AMP2_A,("Not Used")); strcpy(AMP2_B,("Not Used")); strcpy(AMP2_C,("Not Used")); strcpy(AMP2_D,("Not Used")); </v>
      </c>
      <c r="D281" s="31" t="s">
        <v>893</v>
      </c>
      <c r="E281" s="42" t="str">
        <f t="shared" si="12"/>
        <v>case 277: strcpy(AMP1_A,("Not Used")); strcpy(AMP1_B,("Not Used")); strcpy(AMP1_C,("Not Used")); strcpy(AMP1_D,("Not Used")); strcpy(AMP2_A,("Not Used")); strcpy(AMP2_B,("Not Used")); strcpy(AMP2_C,("Not Used")); strcpy(AMP2_D,("Not Used"));  break;</v>
      </c>
      <c r="F281" t="s">
        <v>893</v>
      </c>
      <c r="I281" t="s">
        <v>893</v>
      </c>
      <c r="J281" s="45" t="str">
        <f>VLOOKUP(S281,'AMP models AxeFxIII'!$D$2:$H$299,2,FALSE)</f>
        <v>Not Used</v>
      </c>
      <c r="K281" s="45" t="str">
        <f>VLOOKUP(T281,'AMP models AxeFxIII'!$D$2:$H$299,2,FALSE)</f>
        <v>Not Used</v>
      </c>
      <c r="L281" s="45" t="str">
        <f>VLOOKUP(U281,'AMP models AxeFxIII'!$D$2:$H$299,2,FALSE)</f>
        <v>Not Used</v>
      </c>
      <c r="M281" s="45" t="str">
        <f>VLOOKUP(V281,'AMP models AxeFxIII'!$D$2:$H$299,2,FALSE)</f>
        <v>Not Used</v>
      </c>
      <c r="N281" s="45" t="str">
        <f>VLOOKUP(W281,'AMP models AxeFxIII'!$D$2:$H$299,2,FALSE)</f>
        <v>Not Used</v>
      </c>
      <c r="O281" s="45" t="str">
        <f>VLOOKUP(X281,'AMP models AxeFxIII'!$D$2:$H$299,2,FALSE)</f>
        <v>Not Used</v>
      </c>
      <c r="P281" s="45" t="str">
        <f>VLOOKUP(Y281,'AMP models AxeFxIII'!$D$2:$H$299,2,FALSE)</f>
        <v>Not Used</v>
      </c>
      <c r="Q281" s="45" t="str">
        <f>VLOOKUP(Z281,'AMP models AxeFxIII'!$D$2:$H$299,2,FALSE)</f>
        <v>Not Used</v>
      </c>
      <c r="R281" s="4">
        <v>277</v>
      </c>
      <c r="S281" s="46" t="s">
        <v>555</v>
      </c>
      <c r="T281" s="46" t="s">
        <v>555</v>
      </c>
      <c r="U281" s="46" t="s">
        <v>555</v>
      </c>
      <c r="V281" s="46" t="s">
        <v>555</v>
      </c>
      <c r="W281" s="46" t="s">
        <v>555</v>
      </c>
      <c r="X281" s="46" t="s">
        <v>555</v>
      </c>
      <c r="Y281" s="46" t="s">
        <v>555</v>
      </c>
      <c r="Z281" s="46" t="s">
        <v>555</v>
      </c>
    </row>
    <row r="282" spans="1:26">
      <c r="A282" s="41">
        <f>preset_Names!A282</f>
        <v>278</v>
      </c>
      <c r="B282" t="str">
        <f t="shared" si="13"/>
        <v xml:space="preserve">strcpy(AMP1_A,("Not Used")); strcpy(AMP1_B,("Not Used")); strcpy(AMP1_C,("Not Used")); strcpy(AMP1_D,("Not Used")); </v>
      </c>
      <c r="C282" t="str">
        <f t="shared" si="14"/>
        <v xml:space="preserve">strcpy(AMP2_A,("Not Used")); strcpy(AMP2_B,("Not Used")); strcpy(AMP2_C,("Not Used")); strcpy(AMP2_D,("Not Used")); </v>
      </c>
      <c r="D282" s="31" t="s">
        <v>893</v>
      </c>
      <c r="E282" s="42" t="str">
        <f t="shared" si="12"/>
        <v>case 278: strcpy(AMP1_A,("Not Used")); strcpy(AMP1_B,("Not Used")); strcpy(AMP1_C,("Not Used")); strcpy(AMP1_D,("Not Used")); strcpy(AMP2_A,("Not Used")); strcpy(AMP2_B,("Not Used")); strcpy(AMP2_C,("Not Used")); strcpy(AMP2_D,("Not Used"));  break;</v>
      </c>
      <c r="F282" t="s">
        <v>893</v>
      </c>
      <c r="I282" t="s">
        <v>893</v>
      </c>
      <c r="J282" s="45" t="str">
        <f>VLOOKUP(S282,'AMP models AxeFxIII'!$D$2:$H$299,2,FALSE)</f>
        <v>Not Used</v>
      </c>
      <c r="K282" s="45" t="str">
        <f>VLOOKUP(T282,'AMP models AxeFxIII'!$D$2:$H$299,2,FALSE)</f>
        <v>Not Used</v>
      </c>
      <c r="L282" s="45" t="str">
        <f>VLOOKUP(U282,'AMP models AxeFxIII'!$D$2:$H$299,2,FALSE)</f>
        <v>Not Used</v>
      </c>
      <c r="M282" s="45" t="str">
        <f>VLOOKUP(V282,'AMP models AxeFxIII'!$D$2:$H$299,2,FALSE)</f>
        <v>Not Used</v>
      </c>
      <c r="N282" s="45" t="str">
        <f>VLOOKUP(W282,'AMP models AxeFxIII'!$D$2:$H$299,2,FALSE)</f>
        <v>Not Used</v>
      </c>
      <c r="O282" s="45" t="str">
        <f>VLOOKUP(X282,'AMP models AxeFxIII'!$D$2:$H$299,2,FALSE)</f>
        <v>Not Used</v>
      </c>
      <c r="P282" s="45" t="str">
        <f>VLOOKUP(Y282,'AMP models AxeFxIII'!$D$2:$H$299,2,FALSE)</f>
        <v>Not Used</v>
      </c>
      <c r="Q282" s="45" t="str">
        <f>VLOOKUP(Z282,'AMP models AxeFxIII'!$D$2:$H$299,2,FALSE)</f>
        <v>Not Used</v>
      </c>
      <c r="R282" s="4">
        <v>278</v>
      </c>
      <c r="S282" s="46" t="s">
        <v>555</v>
      </c>
      <c r="T282" s="46" t="s">
        <v>555</v>
      </c>
      <c r="U282" s="46" t="s">
        <v>555</v>
      </c>
      <c r="V282" s="46" t="s">
        <v>555</v>
      </c>
      <c r="W282" s="46" t="s">
        <v>555</v>
      </c>
      <c r="X282" s="46" t="s">
        <v>555</v>
      </c>
      <c r="Y282" s="46" t="s">
        <v>555</v>
      </c>
      <c r="Z282" s="46" t="s">
        <v>555</v>
      </c>
    </row>
    <row r="283" spans="1:26">
      <c r="A283" s="41">
        <f>preset_Names!A283</f>
        <v>279</v>
      </c>
      <c r="B283" t="str">
        <f t="shared" si="13"/>
        <v xml:space="preserve">strcpy(AMP1_A,("Not Used")); strcpy(AMP1_B,("Not Used")); strcpy(AMP1_C,("Not Used")); strcpy(AMP1_D,("Not Used")); </v>
      </c>
      <c r="C283" t="str">
        <f t="shared" si="14"/>
        <v xml:space="preserve">strcpy(AMP2_A,("Not Used")); strcpy(AMP2_B,("Not Used")); strcpy(AMP2_C,("Not Used")); strcpy(AMP2_D,("Not Used")); </v>
      </c>
      <c r="D283" s="31" t="s">
        <v>893</v>
      </c>
      <c r="E283" s="42" t="str">
        <f t="shared" si="12"/>
        <v>case 279: strcpy(AMP1_A,("Not Used")); strcpy(AMP1_B,("Not Used")); strcpy(AMP1_C,("Not Used")); strcpy(AMP1_D,("Not Used")); strcpy(AMP2_A,("Not Used")); strcpy(AMP2_B,("Not Used")); strcpy(AMP2_C,("Not Used")); strcpy(AMP2_D,("Not Used"));  break;</v>
      </c>
      <c r="F283" t="s">
        <v>893</v>
      </c>
      <c r="I283" t="s">
        <v>893</v>
      </c>
      <c r="J283" s="45" t="str">
        <f>VLOOKUP(S283,'AMP models AxeFxIII'!$D$2:$H$299,2,FALSE)</f>
        <v>Not Used</v>
      </c>
      <c r="K283" s="45" t="str">
        <f>VLOOKUP(T283,'AMP models AxeFxIII'!$D$2:$H$299,2,FALSE)</f>
        <v>Not Used</v>
      </c>
      <c r="L283" s="45" t="str">
        <f>VLOOKUP(U283,'AMP models AxeFxIII'!$D$2:$H$299,2,FALSE)</f>
        <v>Not Used</v>
      </c>
      <c r="M283" s="45" t="str">
        <f>VLOOKUP(V283,'AMP models AxeFxIII'!$D$2:$H$299,2,FALSE)</f>
        <v>Not Used</v>
      </c>
      <c r="N283" s="45" t="str">
        <f>VLOOKUP(W283,'AMP models AxeFxIII'!$D$2:$H$299,2,FALSE)</f>
        <v>Not Used</v>
      </c>
      <c r="O283" s="45" t="str">
        <f>VLOOKUP(X283,'AMP models AxeFxIII'!$D$2:$H$299,2,FALSE)</f>
        <v>Not Used</v>
      </c>
      <c r="P283" s="45" t="str">
        <f>VLOOKUP(Y283,'AMP models AxeFxIII'!$D$2:$H$299,2,FALSE)</f>
        <v>Not Used</v>
      </c>
      <c r="Q283" s="45" t="str">
        <f>VLOOKUP(Z283,'AMP models AxeFxIII'!$D$2:$H$299,2,FALSE)</f>
        <v>Not Used</v>
      </c>
      <c r="R283" s="4">
        <v>279</v>
      </c>
      <c r="S283" s="46" t="s">
        <v>555</v>
      </c>
      <c r="T283" s="46" t="s">
        <v>555</v>
      </c>
      <c r="U283" s="46" t="s">
        <v>555</v>
      </c>
      <c r="V283" s="46" t="s">
        <v>555</v>
      </c>
      <c r="W283" s="46" t="s">
        <v>555</v>
      </c>
      <c r="X283" s="46" t="s">
        <v>555</v>
      </c>
      <c r="Y283" s="46" t="s">
        <v>555</v>
      </c>
      <c r="Z283" s="46" t="s">
        <v>555</v>
      </c>
    </row>
    <row r="284" spans="1:26">
      <c r="A284" s="41">
        <f>preset_Names!A284</f>
        <v>280</v>
      </c>
      <c r="B284" t="str">
        <f t="shared" si="13"/>
        <v xml:space="preserve">strcpy(AMP1_A,("Not Used")); strcpy(AMP1_B,("Not Used")); strcpy(AMP1_C,("Not Used")); strcpy(AMP1_D,("Not Used")); </v>
      </c>
      <c r="C284" t="str">
        <f t="shared" si="14"/>
        <v xml:space="preserve">strcpy(AMP2_A,("Not Used")); strcpy(AMP2_B,("Not Used")); strcpy(AMP2_C,("Not Used")); strcpy(AMP2_D,("Not Used")); </v>
      </c>
      <c r="D284" s="31" t="s">
        <v>893</v>
      </c>
      <c r="E284" s="42" t="str">
        <f t="shared" si="12"/>
        <v>case 280: strcpy(AMP1_A,("Not Used")); strcpy(AMP1_B,("Not Used")); strcpy(AMP1_C,("Not Used")); strcpy(AMP1_D,("Not Used")); strcpy(AMP2_A,("Not Used")); strcpy(AMP2_B,("Not Used")); strcpy(AMP2_C,("Not Used")); strcpy(AMP2_D,("Not Used"));  break;</v>
      </c>
      <c r="F284" t="s">
        <v>893</v>
      </c>
      <c r="I284" t="s">
        <v>893</v>
      </c>
      <c r="J284" s="45" t="str">
        <f>VLOOKUP(S284,'AMP models AxeFxIII'!$D$2:$H$299,2,FALSE)</f>
        <v>Not Used</v>
      </c>
      <c r="K284" s="45" t="str">
        <f>VLOOKUP(T284,'AMP models AxeFxIII'!$D$2:$H$299,2,FALSE)</f>
        <v>Not Used</v>
      </c>
      <c r="L284" s="45" t="str">
        <f>VLOOKUP(U284,'AMP models AxeFxIII'!$D$2:$H$299,2,FALSE)</f>
        <v>Not Used</v>
      </c>
      <c r="M284" s="45" t="str">
        <f>VLOOKUP(V284,'AMP models AxeFxIII'!$D$2:$H$299,2,FALSE)</f>
        <v>Not Used</v>
      </c>
      <c r="N284" s="45" t="str">
        <f>VLOOKUP(W284,'AMP models AxeFxIII'!$D$2:$H$299,2,FALSE)</f>
        <v>Not Used</v>
      </c>
      <c r="O284" s="45" t="str">
        <f>VLOOKUP(X284,'AMP models AxeFxIII'!$D$2:$H$299,2,FALSE)</f>
        <v>Not Used</v>
      </c>
      <c r="P284" s="45" t="str">
        <f>VLOOKUP(Y284,'AMP models AxeFxIII'!$D$2:$H$299,2,FALSE)</f>
        <v>Not Used</v>
      </c>
      <c r="Q284" s="45" t="str">
        <f>VLOOKUP(Z284,'AMP models AxeFxIII'!$D$2:$H$299,2,FALSE)</f>
        <v>Not Used</v>
      </c>
      <c r="R284" s="4">
        <v>280</v>
      </c>
      <c r="S284" s="46" t="s">
        <v>555</v>
      </c>
      <c r="T284" s="46" t="s">
        <v>555</v>
      </c>
      <c r="U284" s="46" t="s">
        <v>555</v>
      </c>
      <c r="V284" s="46" t="s">
        <v>555</v>
      </c>
      <c r="W284" s="46" t="s">
        <v>555</v>
      </c>
      <c r="X284" s="46" t="s">
        <v>555</v>
      </c>
      <c r="Y284" s="46" t="s">
        <v>555</v>
      </c>
      <c r="Z284" s="46" t="s">
        <v>555</v>
      </c>
    </row>
    <row r="285" spans="1:26">
      <c r="A285" s="41">
        <f>preset_Names!A285</f>
        <v>281</v>
      </c>
      <c r="B285" t="str">
        <f t="shared" si="13"/>
        <v xml:space="preserve">strcpy(AMP1_A,("Not Used")); strcpy(AMP1_B,("Not Used")); strcpy(AMP1_C,("Not Used")); strcpy(AMP1_D,("Not Used")); </v>
      </c>
      <c r="C285" t="str">
        <f t="shared" si="14"/>
        <v xml:space="preserve">strcpy(AMP2_A,("Not Used")); strcpy(AMP2_B,("Not Used")); strcpy(AMP2_C,("Not Used")); strcpy(AMP2_D,("Not Used")); </v>
      </c>
      <c r="D285" s="31" t="s">
        <v>893</v>
      </c>
      <c r="E285" s="42" t="str">
        <f t="shared" si="12"/>
        <v>case 281: strcpy(AMP1_A,("Not Used")); strcpy(AMP1_B,("Not Used")); strcpy(AMP1_C,("Not Used")); strcpy(AMP1_D,("Not Used")); strcpy(AMP2_A,("Not Used")); strcpy(AMP2_B,("Not Used")); strcpy(AMP2_C,("Not Used")); strcpy(AMP2_D,("Not Used"));  break;</v>
      </c>
      <c r="F285" t="s">
        <v>893</v>
      </c>
      <c r="I285" t="s">
        <v>893</v>
      </c>
      <c r="J285" s="45" t="str">
        <f>VLOOKUP(S285,'AMP models AxeFxIII'!$D$2:$H$299,2,FALSE)</f>
        <v>Not Used</v>
      </c>
      <c r="K285" s="45" t="str">
        <f>VLOOKUP(T285,'AMP models AxeFxIII'!$D$2:$H$299,2,FALSE)</f>
        <v>Not Used</v>
      </c>
      <c r="L285" s="45" t="str">
        <f>VLOOKUP(U285,'AMP models AxeFxIII'!$D$2:$H$299,2,FALSE)</f>
        <v>Not Used</v>
      </c>
      <c r="M285" s="45" t="str">
        <f>VLOOKUP(V285,'AMP models AxeFxIII'!$D$2:$H$299,2,FALSE)</f>
        <v>Not Used</v>
      </c>
      <c r="N285" s="45" t="str">
        <f>VLOOKUP(W285,'AMP models AxeFxIII'!$D$2:$H$299,2,FALSE)</f>
        <v>Not Used</v>
      </c>
      <c r="O285" s="45" t="str">
        <f>VLOOKUP(X285,'AMP models AxeFxIII'!$D$2:$H$299,2,FALSE)</f>
        <v>Not Used</v>
      </c>
      <c r="P285" s="45" t="str">
        <f>VLOOKUP(Y285,'AMP models AxeFxIII'!$D$2:$H$299,2,FALSE)</f>
        <v>Not Used</v>
      </c>
      <c r="Q285" s="45" t="str">
        <f>VLOOKUP(Z285,'AMP models AxeFxIII'!$D$2:$H$299,2,FALSE)</f>
        <v>Not Used</v>
      </c>
      <c r="R285" s="4">
        <v>281</v>
      </c>
      <c r="S285" s="46" t="s">
        <v>555</v>
      </c>
      <c r="T285" s="46" t="s">
        <v>555</v>
      </c>
      <c r="U285" s="46" t="s">
        <v>555</v>
      </c>
      <c r="V285" s="46" t="s">
        <v>555</v>
      </c>
      <c r="W285" s="46" t="s">
        <v>555</v>
      </c>
      <c r="X285" s="46" t="s">
        <v>555</v>
      </c>
      <c r="Y285" s="46" t="s">
        <v>555</v>
      </c>
      <c r="Z285" s="46" t="s">
        <v>555</v>
      </c>
    </row>
    <row r="286" spans="1:26">
      <c r="A286" s="41">
        <f>preset_Names!A286</f>
        <v>282</v>
      </c>
      <c r="B286" t="str">
        <f t="shared" si="13"/>
        <v xml:space="preserve">strcpy(AMP1_A,("Not Used")); strcpy(AMP1_B,("Not Used")); strcpy(AMP1_C,("Not Used")); strcpy(AMP1_D,("Not Used")); </v>
      </c>
      <c r="C286" t="str">
        <f t="shared" si="14"/>
        <v xml:space="preserve">strcpy(AMP2_A,("Not Used")); strcpy(AMP2_B,("Not Used")); strcpy(AMP2_C,("Not Used")); strcpy(AMP2_D,("Not Used")); </v>
      </c>
      <c r="D286" s="31" t="s">
        <v>893</v>
      </c>
      <c r="E286" s="42" t="str">
        <f t="shared" si="12"/>
        <v>case 282: strcpy(AMP1_A,("Not Used")); strcpy(AMP1_B,("Not Used")); strcpy(AMP1_C,("Not Used")); strcpy(AMP1_D,("Not Used")); strcpy(AMP2_A,("Not Used")); strcpy(AMP2_B,("Not Used")); strcpy(AMP2_C,("Not Used")); strcpy(AMP2_D,("Not Used"));  break;</v>
      </c>
      <c r="F286" t="s">
        <v>893</v>
      </c>
      <c r="I286" t="s">
        <v>893</v>
      </c>
      <c r="J286" s="45" t="str">
        <f>VLOOKUP(S286,'AMP models AxeFxIII'!$D$2:$H$299,2,FALSE)</f>
        <v>Not Used</v>
      </c>
      <c r="K286" s="45" t="str">
        <f>VLOOKUP(T286,'AMP models AxeFxIII'!$D$2:$H$299,2,FALSE)</f>
        <v>Not Used</v>
      </c>
      <c r="L286" s="45" t="str">
        <f>VLOOKUP(U286,'AMP models AxeFxIII'!$D$2:$H$299,2,FALSE)</f>
        <v>Not Used</v>
      </c>
      <c r="M286" s="45" t="str">
        <f>VLOOKUP(V286,'AMP models AxeFxIII'!$D$2:$H$299,2,FALSE)</f>
        <v>Not Used</v>
      </c>
      <c r="N286" s="45" t="str">
        <f>VLOOKUP(W286,'AMP models AxeFxIII'!$D$2:$H$299,2,FALSE)</f>
        <v>Not Used</v>
      </c>
      <c r="O286" s="45" t="str">
        <f>VLOOKUP(X286,'AMP models AxeFxIII'!$D$2:$H$299,2,FALSE)</f>
        <v>Not Used</v>
      </c>
      <c r="P286" s="45" t="str">
        <f>VLOOKUP(Y286,'AMP models AxeFxIII'!$D$2:$H$299,2,FALSE)</f>
        <v>Not Used</v>
      </c>
      <c r="Q286" s="45" t="str">
        <f>VLOOKUP(Z286,'AMP models AxeFxIII'!$D$2:$H$299,2,FALSE)</f>
        <v>Not Used</v>
      </c>
      <c r="R286" s="4">
        <v>282</v>
      </c>
      <c r="S286" s="46" t="s">
        <v>555</v>
      </c>
      <c r="T286" s="46" t="s">
        <v>555</v>
      </c>
      <c r="U286" s="46" t="s">
        <v>555</v>
      </c>
      <c r="V286" s="46" t="s">
        <v>555</v>
      </c>
      <c r="W286" s="46" t="s">
        <v>555</v>
      </c>
      <c r="X286" s="46" t="s">
        <v>555</v>
      </c>
      <c r="Y286" s="46" t="s">
        <v>555</v>
      </c>
      <c r="Z286" s="46" t="s">
        <v>555</v>
      </c>
    </row>
    <row r="287" spans="1:26">
      <c r="A287" s="41">
        <f>preset_Names!A287</f>
        <v>283</v>
      </c>
      <c r="B287" t="str">
        <f t="shared" si="13"/>
        <v xml:space="preserve">strcpy(AMP1_A,("Not Used")); strcpy(AMP1_B,("Not Used")); strcpy(AMP1_C,("Not Used")); strcpy(AMP1_D,("Not Used")); </v>
      </c>
      <c r="C287" t="str">
        <f t="shared" si="14"/>
        <v xml:space="preserve">strcpy(AMP2_A,("Not Used")); strcpy(AMP2_B,("Not Used")); strcpy(AMP2_C,("Not Used")); strcpy(AMP2_D,("Not Used")); </v>
      </c>
      <c r="D287" s="31" t="s">
        <v>893</v>
      </c>
      <c r="E287" s="42" t="str">
        <f t="shared" si="12"/>
        <v>case 283: strcpy(AMP1_A,("Not Used")); strcpy(AMP1_B,("Not Used")); strcpy(AMP1_C,("Not Used")); strcpy(AMP1_D,("Not Used")); strcpy(AMP2_A,("Not Used")); strcpy(AMP2_B,("Not Used")); strcpy(AMP2_C,("Not Used")); strcpy(AMP2_D,("Not Used"));  break;</v>
      </c>
      <c r="F287" t="s">
        <v>893</v>
      </c>
      <c r="I287" t="s">
        <v>893</v>
      </c>
      <c r="J287" s="45" t="str">
        <f>VLOOKUP(S287,'AMP models AxeFxIII'!$D$2:$H$299,2,FALSE)</f>
        <v>Not Used</v>
      </c>
      <c r="K287" s="45" t="str">
        <f>VLOOKUP(T287,'AMP models AxeFxIII'!$D$2:$H$299,2,FALSE)</f>
        <v>Not Used</v>
      </c>
      <c r="L287" s="45" t="str">
        <f>VLOOKUP(U287,'AMP models AxeFxIII'!$D$2:$H$299,2,FALSE)</f>
        <v>Not Used</v>
      </c>
      <c r="M287" s="45" t="str">
        <f>VLOOKUP(V287,'AMP models AxeFxIII'!$D$2:$H$299,2,FALSE)</f>
        <v>Not Used</v>
      </c>
      <c r="N287" s="45" t="str">
        <f>VLOOKUP(W287,'AMP models AxeFxIII'!$D$2:$H$299,2,FALSE)</f>
        <v>Not Used</v>
      </c>
      <c r="O287" s="45" t="str">
        <f>VLOOKUP(X287,'AMP models AxeFxIII'!$D$2:$H$299,2,FALSE)</f>
        <v>Not Used</v>
      </c>
      <c r="P287" s="45" t="str">
        <f>VLOOKUP(Y287,'AMP models AxeFxIII'!$D$2:$H$299,2,FALSE)</f>
        <v>Not Used</v>
      </c>
      <c r="Q287" s="45" t="str">
        <f>VLOOKUP(Z287,'AMP models AxeFxIII'!$D$2:$H$299,2,FALSE)</f>
        <v>Not Used</v>
      </c>
      <c r="R287" s="4">
        <v>283</v>
      </c>
      <c r="S287" s="46" t="s">
        <v>555</v>
      </c>
      <c r="T287" s="46" t="s">
        <v>555</v>
      </c>
      <c r="U287" s="46" t="s">
        <v>555</v>
      </c>
      <c r="V287" s="46" t="s">
        <v>555</v>
      </c>
      <c r="W287" s="46" t="s">
        <v>555</v>
      </c>
      <c r="X287" s="46" t="s">
        <v>555</v>
      </c>
      <c r="Y287" s="46" t="s">
        <v>555</v>
      </c>
      <c r="Z287" s="46" t="s">
        <v>555</v>
      </c>
    </row>
    <row r="288" spans="1:26">
      <c r="A288" s="41">
        <f>preset_Names!A288</f>
        <v>284</v>
      </c>
      <c r="B288" t="str">
        <f t="shared" si="13"/>
        <v xml:space="preserve">strcpy(AMP1_A,("Not Used")); strcpy(AMP1_B,("Not Used")); strcpy(AMP1_C,("Not Used")); strcpy(AMP1_D,("Not Used")); </v>
      </c>
      <c r="C288" t="str">
        <f t="shared" si="14"/>
        <v xml:space="preserve">strcpy(AMP2_A,("Not Used")); strcpy(AMP2_B,("Not Used")); strcpy(AMP2_C,("Not Used")); strcpy(AMP2_D,("Not Used")); </v>
      </c>
      <c r="D288" s="31" t="s">
        <v>893</v>
      </c>
      <c r="E288" s="42" t="str">
        <f t="shared" si="12"/>
        <v>case 284: strcpy(AMP1_A,("Not Used")); strcpy(AMP1_B,("Not Used")); strcpy(AMP1_C,("Not Used")); strcpy(AMP1_D,("Not Used")); strcpy(AMP2_A,("Not Used")); strcpy(AMP2_B,("Not Used")); strcpy(AMP2_C,("Not Used")); strcpy(AMP2_D,("Not Used"));  break;</v>
      </c>
      <c r="F288" t="s">
        <v>893</v>
      </c>
      <c r="I288" t="s">
        <v>893</v>
      </c>
      <c r="J288" s="45" t="str">
        <f>VLOOKUP(S288,'AMP models AxeFxIII'!$D$2:$H$299,2,FALSE)</f>
        <v>Not Used</v>
      </c>
      <c r="K288" s="45" t="str">
        <f>VLOOKUP(T288,'AMP models AxeFxIII'!$D$2:$H$299,2,FALSE)</f>
        <v>Not Used</v>
      </c>
      <c r="L288" s="45" t="str">
        <f>VLOOKUP(U288,'AMP models AxeFxIII'!$D$2:$H$299,2,FALSE)</f>
        <v>Not Used</v>
      </c>
      <c r="M288" s="45" t="str">
        <f>VLOOKUP(V288,'AMP models AxeFxIII'!$D$2:$H$299,2,FALSE)</f>
        <v>Not Used</v>
      </c>
      <c r="N288" s="45" t="str">
        <f>VLOOKUP(W288,'AMP models AxeFxIII'!$D$2:$H$299,2,FALSE)</f>
        <v>Not Used</v>
      </c>
      <c r="O288" s="45" t="str">
        <f>VLOOKUP(X288,'AMP models AxeFxIII'!$D$2:$H$299,2,FALSE)</f>
        <v>Not Used</v>
      </c>
      <c r="P288" s="45" t="str">
        <f>VLOOKUP(Y288,'AMP models AxeFxIII'!$D$2:$H$299,2,FALSE)</f>
        <v>Not Used</v>
      </c>
      <c r="Q288" s="45" t="str">
        <f>VLOOKUP(Z288,'AMP models AxeFxIII'!$D$2:$H$299,2,FALSE)</f>
        <v>Not Used</v>
      </c>
      <c r="R288" s="4">
        <v>284</v>
      </c>
      <c r="S288" s="46" t="s">
        <v>555</v>
      </c>
      <c r="T288" s="46" t="s">
        <v>555</v>
      </c>
      <c r="U288" s="46" t="s">
        <v>555</v>
      </c>
      <c r="V288" s="46" t="s">
        <v>555</v>
      </c>
      <c r="W288" s="46" t="s">
        <v>555</v>
      </c>
      <c r="X288" s="46" t="s">
        <v>555</v>
      </c>
      <c r="Y288" s="46" t="s">
        <v>555</v>
      </c>
      <c r="Z288" s="46" t="s">
        <v>555</v>
      </c>
    </row>
    <row r="289" spans="1:26">
      <c r="A289" s="41">
        <f>preset_Names!A289</f>
        <v>285</v>
      </c>
      <c r="B289" t="str">
        <f t="shared" si="13"/>
        <v xml:space="preserve">strcpy(AMP1_A,("Not Used")); strcpy(AMP1_B,("Not Used")); strcpy(AMP1_C,("Not Used")); strcpy(AMP1_D,("Not Used")); </v>
      </c>
      <c r="C289" t="str">
        <f t="shared" si="14"/>
        <v xml:space="preserve">strcpy(AMP2_A,("Not Used")); strcpy(AMP2_B,("Not Used")); strcpy(AMP2_C,("Not Used")); strcpy(AMP2_D,("Not Used")); </v>
      </c>
      <c r="D289" s="31" t="s">
        <v>893</v>
      </c>
      <c r="E289" s="42" t="str">
        <f t="shared" si="12"/>
        <v>case 285: strcpy(AMP1_A,("Not Used")); strcpy(AMP1_B,("Not Used")); strcpy(AMP1_C,("Not Used")); strcpy(AMP1_D,("Not Used")); strcpy(AMP2_A,("Not Used")); strcpy(AMP2_B,("Not Used")); strcpy(AMP2_C,("Not Used")); strcpy(AMP2_D,("Not Used"));  break;</v>
      </c>
      <c r="F289" t="s">
        <v>893</v>
      </c>
      <c r="I289" t="s">
        <v>893</v>
      </c>
      <c r="J289" s="45" t="str">
        <f>VLOOKUP(S289,'AMP models AxeFxIII'!$D$2:$H$299,2,FALSE)</f>
        <v>Not Used</v>
      </c>
      <c r="K289" s="45" t="str">
        <f>VLOOKUP(T289,'AMP models AxeFxIII'!$D$2:$H$299,2,FALSE)</f>
        <v>Not Used</v>
      </c>
      <c r="L289" s="45" t="str">
        <f>VLOOKUP(U289,'AMP models AxeFxIII'!$D$2:$H$299,2,FALSE)</f>
        <v>Not Used</v>
      </c>
      <c r="M289" s="45" t="str">
        <f>VLOOKUP(V289,'AMP models AxeFxIII'!$D$2:$H$299,2,FALSE)</f>
        <v>Not Used</v>
      </c>
      <c r="N289" s="45" t="str">
        <f>VLOOKUP(W289,'AMP models AxeFxIII'!$D$2:$H$299,2,FALSE)</f>
        <v>Not Used</v>
      </c>
      <c r="O289" s="45" t="str">
        <f>VLOOKUP(X289,'AMP models AxeFxIII'!$D$2:$H$299,2,FALSE)</f>
        <v>Not Used</v>
      </c>
      <c r="P289" s="45" t="str">
        <f>VLOOKUP(Y289,'AMP models AxeFxIII'!$D$2:$H$299,2,FALSE)</f>
        <v>Not Used</v>
      </c>
      <c r="Q289" s="45" t="str">
        <f>VLOOKUP(Z289,'AMP models AxeFxIII'!$D$2:$H$299,2,FALSE)</f>
        <v>Not Used</v>
      </c>
      <c r="R289" s="4">
        <v>285</v>
      </c>
      <c r="S289" s="46" t="s">
        <v>555</v>
      </c>
      <c r="T289" s="46" t="s">
        <v>555</v>
      </c>
      <c r="U289" s="46" t="s">
        <v>555</v>
      </c>
      <c r="V289" s="46" t="s">
        <v>555</v>
      </c>
      <c r="W289" s="46" t="s">
        <v>555</v>
      </c>
      <c r="X289" s="46" t="s">
        <v>555</v>
      </c>
      <c r="Y289" s="46" t="s">
        <v>555</v>
      </c>
      <c r="Z289" s="46" t="s">
        <v>555</v>
      </c>
    </row>
    <row r="290" spans="1:26">
      <c r="A290" s="41">
        <f>preset_Names!A290</f>
        <v>286</v>
      </c>
      <c r="B290" t="str">
        <f t="shared" si="13"/>
        <v xml:space="preserve">strcpy(AMP1_A,("Not Used")); strcpy(AMP1_B,("Not Used")); strcpy(AMP1_C,("Not Used")); strcpy(AMP1_D,("Not Used")); </v>
      </c>
      <c r="C290" t="str">
        <f t="shared" si="14"/>
        <v xml:space="preserve">strcpy(AMP2_A,("Not Used")); strcpy(AMP2_B,("Not Used")); strcpy(AMP2_C,("Not Used")); strcpy(AMP2_D,("Not Used")); </v>
      </c>
      <c r="D290" s="31" t="s">
        <v>893</v>
      </c>
      <c r="E290" s="42" t="str">
        <f t="shared" si="12"/>
        <v>case 286: strcpy(AMP1_A,("Not Used")); strcpy(AMP1_B,("Not Used")); strcpy(AMP1_C,("Not Used")); strcpy(AMP1_D,("Not Used")); strcpy(AMP2_A,("Not Used")); strcpy(AMP2_B,("Not Used")); strcpy(AMP2_C,("Not Used")); strcpy(AMP2_D,("Not Used"));  break;</v>
      </c>
      <c r="F290" t="s">
        <v>893</v>
      </c>
      <c r="I290" t="s">
        <v>893</v>
      </c>
      <c r="J290" s="45" t="str">
        <f>VLOOKUP(S290,'AMP models AxeFxIII'!$D$2:$H$299,2,FALSE)</f>
        <v>Not Used</v>
      </c>
      <c r="K290" s="45" t="str">
        <f>VLOOKUP(T290,'AMP models AxeFxIII'!$D$2:$H$299,2,FALSE)</f>
        <v>Not Used</v>
      </c>
      <c r="L290" s="45" t="str">
        <f>VLOOKUP(U290,'AMP models AxeFxIII'!$D$2:$H$299,2,FALSE)</f>
        <v>Not Used</v>
      </c>
      <c r="M290" s="45" t="str">
        <f>VLOOKUP(V290,'AMP models AxeFxIII'!$D$2:$H$299,2,FALSE)</f>
        <v>Not Used</v>
      </c>
      <c r="N290" s="45" t="str">
        <f>VLOOKUP(W290,'AMP models AxeFxIII'!$D$2:$H$299,2,FALSE)</f>
        <v>Not Used</v>
      </c>
      <c r="O290" s="45" t="str">
        <f>VLOOKUP(X290,'AMP models AxeFxIII'!$D$2:$H$299,2,FALSE)</f>
        <v>Not Used</v>
      </c>
      <c r="P290" s="45" t="str">
        <f>VLOOKUP(Y290,'AMP models AxeFxIII'!$D$2:$H$299,2,FALSE)</f>
        <v>Not Used</v>
      </c>
      <c r="Q290" s="45" t="str">
        <f>VLOOKUP(Z290,'AMP models AxeFxIII'!$D$2:$H$299,2,FALSE)</f>
        <v>Not Used</v>
      </c>
      <c r="R290" s="4">
        <v>286</v>
      </c>
      <c r="S290" s="46" t="s">
        <v>555</v>
      </c>
      <c r="T290" s="46" t="s">
        <v>555</v>
      </c>
      <c r="U290" s="46" t="s">
        <v>555</v>
      </c>
      <c r="V290" s="46" t="s">
        <v>555</v>
      </c>
      <c r="W290" s="46" t="s">
        <v>555</v>
      </c>
      <c r="X290" s="46" t="s">
        <v>555</v>
      </c>
      <c r="Y290" s="46" t="s">
        <v>555</v>
      </c>
      <c r="Z290" s="46" t="s">
        <v>555</v>
      </c>
    </row>
    <row r="291" spans="1:26">
      <c r="A291" s="41">
        <f>preset_Names!A291</f>
        <v>287</v>
      </c>
      <c r="B291" t="str">
        <f t="shared" si="13"/>
        <v xml:space="preserve">strcpy(AMP1_A,("Not Used")); strcpy(AMP1_B,("Not Used")); strcpy(AMP1_C,("Not Used")); strcpy(AMP1_D,("Not Used")); </v>
      </c>
      <c r="C291" t="str">
        <f t="shared" si="14"/>
        <v xml:space="preserve">strcpy(AMP2_A,("Not Used")); strcpy(AMP2_B,("Not Used")); strcpy(AMP2_C,("Not Used")); strcpy(AMP2_D,("Not Used")); </v>
      </c>
      <c r="D291" s="31" t="s">
        <v>893</v>
      </c>
      <c r="E291" s="42" t="str">
        <f t="shared" si="12"/>
        <v>case 287: strcpy(AMP1_A,("Not Used")); strcpy(AMP1_B,("Not Used")); strcpy(AMP1_C,("Not Used")); strcpy(AMP1_D,("Not Used")); strcpy(AMP2_A,("Not Used")); strcpy(AMP2_B,("Not Used")); strcpy(AMP2_C,("Not Used")); strcpy(AMP2_D,("Not Used"));  break;</v>
      </c>
      <c r="F291" t="s">
        <v>893</v>
      </c>
      <c r="I291" t="s">
        <v>893</v>
      </c>
      <c r="J291" s="45" t="str">
        <f>VLOOKUP(S291,'AMP models AxeFxIII'!$D$2:$H$299,2,FALSE)</f>
        <v>Not Used</v>
      </c>
      <c r="K291" s="45" t="str">
        <f>VLOOKUP(T291,'AMP models AxeFxIII'!$D$2:$H$299,2,FALSE)</f>
        <v>Not Used</v>
      </c>
      <c r="L291" s="45" t="str">
        <f>VLOOKUP(U291,'AMP models AxeFxIII'!$D$2:$H$299,2,FALSE)</f>
        <v>Not Used</v>
      </c>
      <c r="M291" s="45" t="str">
        <f>VLOOKUP(V291,'AMP models AxeFxIII'!$D$2:$H$299,2,FALSE)</f>
        <v>Not Used</v>
      </c>
      <c r="N291" s="45" t="str">
        <f>VLOOKUP(W291,'AMP models AxeFxIII'!$D$2:$H$299,2,FALSE)</f>
        <v>Not Used</v>
      </c>
      <c r="O291" s="45" t="str">
        <f>VLOOKUP(X291,'AMP models AxeFxIII'!$D$2:$H$299,2,FALSE)</f>
        <v>Not Used</v>
      </c>
      <c r="P291" s="45" t="str">
        <f>VLOOKUP(Y291,'AMP models AxeFxIII'!$D$2:$H$299,2,FALSE)</f>
        <v>Not Used</v>
      </c>
      <c r="Q291" s="45" t="str">
        <f>VLOOKUP(Z291,'AMP models AxeFxIII'!$D$2:$H$299,2,FALSE)</f>
        <v>Not Used</v>
      </c>
      <c r="R291" s="4">
        <v>287</v>
      </c>
      <c r="S291" s="46" t="s">
        <v>555</v>
      </c>
      <c r="T291" s="46" t="s">
        <v>555</v>
      </c>
      <c r="U291" s="46" t="s">
        <v>555</v>
      </c>
      <c r="V291" s="46" t="s">
        <v>555</v>
      </c>
      <c r="W291" s="46" t="s">
        <v>555</v>
      </c>
      <c r="X291" s="46" t="s">
        <v>555</v>
      </c>
      <c r="Y291" s="46" t="s">
        <v>555</v>
      </c>
      <c r="Z291" s="46" t="s">
        <v>555</v>
      </c>
    </row>
    <row r="292" spans="1:26">
      <c r="A292" s="41">
        <f>preset_Names!A292</f>
        <v>288</v>
      </c>
      <c r="B292" t="str">
        <f t="shared" si="13"/>
        <v xml:space="preserve">strcpy(AMP1_A,("Not Used")); strcpy(AMP1_B,("Not Used")); strcpy(AMP1_C,("Not Used")); strcpy(AMP1_D,("Not Used")); </v>
      </c>
      <c r="C292" t="str">
        <f t="shared" si="14"/>
        <v xml:space="preserve">strcpy(AMP2_A,("Not Used")); strcpy(AMP2_B,("Not Used")); strcpy(AMP2_C,("Not Used")); strcpy(AMP2_D,("Not Used")); </v>
      </c>
      <c r="D292" s="31" t="s">
        <v>893</v>
      </c>
      <c r="E292" s="42" t="str">
        <f t="shared" si="12"/>
        <v>case 288: strcpy(AMP1_A,("Not Used")); strcpy(AMP1_B,("Not Used")); strcpy(AMP1_C,("Not Used")); strcpy(AMP1_D,("Not Used")); strcpy(AMP2_A,("Not Used")); strcpy(AMP2_B,("Not Used")); strcpy(AMP2_C,("Not Used")); strcpy(AMP2_D,("Not Used"));  break;</v>
      </c>
      <c r="F292" t="s">
        <v>893</v>
      </c>
      <c r="I292" t="s">
        <v>893</v>
      </c>
      <c r="J292" s="45" t="str">
        <f>VLOOKUP(S292,'AMP models AxeFxIII'!$D$2:$H$299,2,FALSE)</f>
        <v>Not Used</v>
      </c>
      <c r="K292" s="45" t="str">
        <f>VLOOKUP(T292,'AMP models AxeFxIII'!$D$2:$H$299,2,FALSE)</f>
        <v>Not Used</v>
      </c>
      <c r="L292" s="45" t="str">
        <f>VLOOKUP(U292,'AMP models AxeFxIII'!$D$2:$H$299,2,FALSE)</f>
        <v>Not Used</v>
      </c>
      <c r="M292" s="45" t="str">
        <f>VLOOKUP(V292,'AMP models AxeFxIII'!$D$2:$H$299,2,FALSE)</f>
        <v>Not Used</v>
      </c>
      <c r="N292" s="45" t="str">
        <f>VLOOKUP(W292,'AMP models AxeFxIII'!$D$2:$H$299,2,FALSE)</f>
        <v>Not Used</v>
      </c>
      <c r="O292" s="45" t="str">
        <f>VLOOKUP(X292,'AMP models AxeFxIII'!$D$2:$H$299,2,FALSE)</f>
        <v>Not Used</v>
      </c>
      <c r="P292" s="45" t="str">
        <f>VLOOKUP(Y292,'AMP models AxeFxIII'!$D$2:$H$299,2,FALSE)</f>
        <v>Not Used</v>
      </c>
      <c r="Q292" s="45" t="str">
        <f>VLOOKUP(Z292,'AMP models AxeFxIII'!$D$2:$H$299,2,FALSE)</f>
        <v>Not Used</v>
      </c>
      <c r="R292" s="4">
        <v>288</v>
      </c>
      <c r="S292" s="46" t="s">
        <v>555</v>
      </c>
      <c r="T292" s="46" t="s">
        <v>555</v>
      </c>
      <c r="U292" s="46" t="s">
        <v>555</v>
      </c>
      <c r="V292" s="46" t="s">
        <v>555</v>
      </c>
      <c r="W292" s="46" t="s">
        <v>555</v>
      </c>
      <c r="X292" s="46" t="s">
        <v>555</v>
      </c>
      <c r="Y292" s="46" t="s">
        <v>555</v>
      </c>
      <c r="Z292" s="46" t="s">
        <v>555</v>
      </c>
    </row>
    <row r="293" spans="1:26">
      <c r="A293" s="41">
        <f>preset_Names!A293</f>
        <v>289</v>
      </c>
      <c r="B293" t="str">
        <f t="shared" si="13"/>
        <v xml:space="preserve">strcpy(AMP1_A,("Not Used")); strcpy(AMP1_B,("Not Used")); strcpy(AMP1_C,("Not Used")); strcpy(AMP1_D,("Not Used")); </v>
      </c>
      <c r="C293" t="str">
        <f t="shared" si="14"/>
        <v xml:space="preserve">strcpy(AMP2_A,("Not Used")); strcpy(AMP2_B,("Not Used")); strcpy(AMP2_C,("Not Used")); strcpy(AMP2_D,("Not Used")); </v>
      </c>
      <c r="D293" s="31" t="s">
        <v>893</v>
      </c>
      <c r="E293" s="42" t="str">
        <f t="shared" si="12"/>
        <v>case 289: strcpy(AMP1_A,("Not Used")); strcpy(AMP1_B,("Not Used")); strcpy(AMP1_C,("Not Used")); strcpy(AMP1_D,("Not Used")); strcpy(AMP2_A,("Not Used")); strcpy(AMP2_B,("Not Used")); strcpy(AMP2_C,("Not Used")); strcpy(AMP2_D,("Not Used"));  break;</v>
      </c>
      <c r="F293" t="s">
        <v>893</v>
      </c>
      <c r="I293" t="s">
        <v>893</v>
      </c>
      <c r="J293" s="45" t="str">
        <f>VLOOKUP(S293,'AMP models AxeFxIII'!$D$2:$H$299,2,FALSE)</f>
        <v>Not Used</v>
      </c>
      <c r="K293" s="45" t="str">
        <f>VLOOKUP(T293,'AMP models AxeFxIII'!$D$2:$H$299,2,FALSE)</f>
        <v>Not Used</v>
      </c>
      <c r="L293" s="45" t="str">
        <f>VLOOKUP(U293,'AMP models AxeFxIII'!$D$2:$H$299,2,FALSE)</f>
        <v>Not Used</v>
      </c>
      <c r="M293" s="45" t="str">
        <f>VLOOKUP(V293,'AMP models AxeFxIII'!$D$2:$H$299,2,FALSE)</f>
        <v>Not Used</v>
      </c>
      <c r="N293" s="45" t="str">
        <f>VLOOKUP(W293,'AMP models AxeFxIII'!$D$2:$H$299,2,FALSE)</f>
        <v>Not Used</v>
      </c>
      <c r="O293" s="45" t="str">
        <f>VLOOKUP(X293,'AMP models AxeFxIII'!$D$2:$H$299,2,FALSE)</f>
        <v>Not Used</v>
      </c>
      <c r="P293" s="45" t="str">
        <f>VLOOKUP(Y293,'AMP models AxeFxIII'!$D$2:$H$299,2,FALSE)</f>
        <v>Not Used</v>
      </c>
      <c r="Q293" s="45" t="str">
        <f>VLOOKUP(Z293,'AMP models AxeFxIII'!$D$2:$H$299,2,FALSE)</f>
        <v>Not Used</v>
      </c>
      <c r="R293" s="4">
        <v>289</v>
      </c>
      <c r="S293" s="46" t="s">
        <v>555</v>
      </c>
      <c r="T293" s="46" t="s">
        <v>555</v>
      </c>
      <c r="U293" s="46" t="s">
        <v>555</v>
      </c>
      <c r="V293" s="46" t="s">
        <v>555</v>
      </c>
      <c r="W293" s="46" t="s">
        <v>555</v>
      </c>
      <c r="X293" s="46" t="s">
        <v>555</v>
      </c>
      <c r="Y293" s="46" t="s">
        <v>555</v>
      </c>
      <c r="Z293" s="46" t="s">
        <v>555</v>
      </c>
    </row>
    <row r="294" spans="1:26">
      <c r="A294" s="41">
        <f>preset_Names!A294</f>
        <v>290</v>
      </c>
      <c r="B294" t="str">
        <f t="shared" si="13"/>
        <v xml:space="preserve">strcpy(AMP1_A,("Not Used")); strcpy(AMP1_B,("Not Used")); strcpy(AMP1_C,("Not Used")); strcpy(AMP1_D,("Not Used")); </v>
      </c>
      <c r="C294" t="str">
        <f t="shared" si="14"/>
        <v xml:space="preserve">strcpy(AMP2_A,("Not Used")); strcpy(AMP2_B,("Not Used")); strcpy(AMP2_C,("Not Used")); strcpy(AMP2_D,("Not Used")); </v>
      </c>
      <c r="D294" s="31" t="s">
        <v>893</v>
      </c>
      <c r="E294" s="42" t="str">
        <f t="shared" si="12"/>
        <v>case 290: strcpy(AMP1_A,("Not Used")); strcpy(AMP1_B,("Not Used")); strcpy(AMP1_C,("Not Used")); strcpy(AMP1_D,("Not Used")); strcpy(AMP2_A,("Not Used")); strcpy(AMP2_B,("Not Used")); strcpy(AMP2_C,("Not Used")); strcpy(AMP2_D,("Not Used"));  break;</v>
      </c>
      <c r="F294" t="s">
        <v>893</v>
      </c>
      <c r="I294" t="s">
        <v>893</v>
      </c>
      <c r="J294" s="45" t="str">
        <f>VLOOKUP(S294,'AMP models AxeFxIII'!$D$2:$H$299,2,FALSE)</f>
        <v>Not Used</v>
      </c>
      <c r="K294" s="45" t="str">
        <f>VLOOKUP(T294,'AMP models AxeFxIII'!$D$2:$H$299,2,FALSE)</f>
        <v>Not Used</v>
      </c>
      <c r="L294" s="45" t="str">
        <f>VLOOKUP(U294,'AMP models AxeFxIII'!$D$2:$H$299,2,FALSE)</f>
        <v>Not Used</v>
      </c>
      <c r="M294" s="45" t="str">
        <f>VLOOKUP(V294,'AMP models AxeFxIII'!$D$2:$H$299,2,FALSE)</f>
        <v>Not Used</v>
      </c>
      <c r="N294" s="45" t="str">
        <f>VLOOKUP(W294,'AMP models AxeFxIII'!$D$2:$H$299,2,FALSE)</f>
        <v>Not Used</v>
      </c>
      <c r="O294" s="45" t="str">
        <f>VLOOKUP(X294,'AMP models AxeFxIII'!$D$2:$H$299,2,FALSE)</f>
        <v>Not Used</v>
      </c>
      <c r="P294" s="45" t="str">
        <f>VLOOKUP(Y294,'AMP models AxeFxIII'!$D$2:$H$299,2,FALSE)</f>
        <v>Not Used</v>
      </c>
      <c r="Q294" s="45" t="str">
        <f>VLOOKUP(Z294,'AMP models AxeFxIII'!$D$2:$H$299,2,FALSE)</f>
        <v>Not Used</v>
      </c>
      <c r="R294" s="4">
        <v>290</v>
      </c>
      <c r="S294" s="46" t="s">
        <v>555</v>
      </c>
      <c r="T294" s="46" t="s">
        <v>555</v>
      </c>
      <c r="U294" s="46" t="s">
        <v>555</v>
      </c>
      <c r="V294" s="46" t="s">
        <v>555</v>
      </c>
      <c r="W294" s="46" t="s">
        <v>555</v>
      </c>
      <c r="X294" s="46" t="s">
        <v>555</v>
      </c>
      <c r="Y294" s="46" t="s">
        <v>555</v>
      </c>
      <c r="Z294" s="46" t="s">
        <v>555</v>
      </c>
    </row>
    <row r="295" spans="1:26">
      <c r="A295" s="41">
        <f>preset_Names!A295</f>
        <v>291</v>
      </c>
      <c r="B295" t="str">
        <f t="shared" si="13"/>
        <v xml:space="preserve">strcpy(AMP1_A,("Not Used")); strcpy(AMP1_B,("Not Used")); strcpy(AMP1_C,("Not Used")); strcpy(AMP1_D,("Not Used")); </v>
      </c>
      <c r="C295" t="str">
        <f t="shared" si="14"/>
        <v xml:space="preserve">strcpy(AMP2_A,("Not Used")); strcpy(AMP2_B,("Not Used")); strcpy(AMP2_C,("Not Used")); strcpy(AMP2_D,("Not Used")); </v>
      </c>
      <c r="D295" s="31" t="s">
        <v>893</v>
      </c>
      <c r="E295" s="42" t="str">
        <f t="shared" si="12"/>
        <v>case 291: strcpy(AMP1_A,("Not Used")); strcpy(AMP1_B,("Not Used")); strcpy(AMP1_C,("Not Used")); strcpy(AMP1_D,("Not Used")); strcpy(AMP2_A,("Not Used")); strcpy(AMP2_B,("Not Used")); strcpy(AMP2_C,("Not Used")); strcpy(AMP2_D,("Not Used"));  break;</v>
      </c>
      <c r="F295" t="s">
        <v>893</v>
      </c>
      <c r="I295" t="s">
        <v>893</v>
      </c>
      <c r="J295" s="45" t="str">
        <f>VLOOKUP(S295,'AMP models AxeFxIII'!$D$2:$H$299,2,FALSE)</f>
        <v>Not Used</v>
      </c>
      <c r="K295" s="45" t="str">
        <f>VLOOKUP(T295,'AMP models AxeFxIII'!$D$2:$H$299,2,FALSE)</f>
        <v>Not Used</v>
      </c>
      <c r="L295" s="45" t="str">
        <f>VLOOKUP(U295,'AMP models AxeFxIII'!$D$2:$H$299,2,FALSE)</f>
        <v>Not Used</v>
      </c>
      <c r="M295" s="45" t="str">
        <f>VLOOKUP(V295,'AMP models AxeFxIII'!$D$2:$H$299,2,FALSE)</f>
        <v>Not Used</v>
      </c>
      <c r="N295" s="45" t="str">
        <f>VLOOKUP(W295,'AMP models AxeFxIII'!$D$2:$H$299,2,FALSE)</f>
        <v>Not Used</v>
      </c>
      <c r="O295" s="45" t="str">
        <f>VLOOKUP(X295,'AMP models AxeFxIII'!$D$2:$H$299,2,FALSE)</f>
        <v>Not Used</v>
      </c>
      <c r="P295" s="45" t="str">
        <f>VLOOKUP(Y295,'AMP models AxeFxIII'!$D$2:$H$299,2,FALSE)</f>
        <v>Not Used</v>
      </c>
      <c r="Q295" s="45" t="str">
        <f>VLOOKUP(Z295,'AMP models AxeFxIII'!$D$2:$H$299,2,FALSE)</f>
        <v>Not Used</v>
      </c>
      <c r="R295" s="4">
        <v>291</v>
      </c>
      <c r="S295" s="46" t="s">
        <v>555</v>
      </c>
      <c r="T295" s="46" t="s">
        <v>555</v>
      </c>
      <c r="U295" s="46" t="s">
        <v>555</v>
      </c>
      <c r="V295" s="46" t="s">
        <v>555</v>
      </c>
      <c r="W295" s="46" t="s">
        <v>555</v>
      </c>
      <c r="X295" s="46" t="s">
        <v>555</v>
      </c>
      <c r="Y295" s="46" t="s">
        <v>555</v>
      </c>
      <c r="Z295" s="46" t="s">
        <v>555</v>
      </c>
    </row>
    <row r="296" spans="1:26">
      <c r="A296" s="41">
        <f>preset_Names!A296</f>
        <v>292</v>
      </c>
      <c r="B296" t="str">
        <f t="shared" si="13"/>
        <v xml:space="preserve">strcpy(AMP1_A,("Not Used")); strcpy(AMP1_B,("Not Used")); strcpy(AMP1_C,("Not Used")); strcpy(AMP1_D,("Not Used")); </v>
      </c>
      <c r="C296" t="str">
        <f t="shared" si="14"/>
        <v xml:space="preserve">strcpy(AMP2_A,("Not Used")); strcpy(AMP2_B,("Not Used")); strcpy(AMP2_C,("Not Used")); strcpy(AMP2_D,("Not Used")); </v>
      </c>
      <c r="D296" s="31" t="s">
        <v>893</v>
      </c>
      <c r="E296" s="42" t="str">
        <f t="shared" si="12"/>
        <v>case 292: strcpy(AMP1_A,("Not Used")); strcpy(AMP1_B,("Not Used")); strcpy(AMP1_C,("Not Used")); strcpy(AMP1_D,("Not Used")); strcpy(AMP2_A,("Not Used")); strcpy(AMP2_B,("Not Used")); strcpy(AMP2_C,("Not Used")); strcpy(AMP2_D,("Not Used"));  break;</v>
      </c>
      <c r="F296" t="s">
        <v>893</v>
      </c>
      <c r="I296" t="s">
        <v>893</v>
      </c>
      <c r="J296" s="45" t="str">
        <f>VLOOKUP(S296,'AMP models AxeFxIII'!$D$2:$H$299,2,FALSE)</f>
        <v>Not Used</v>
      </c>
      <c r="K296" s="45" t="str">
        <f>VLOOKUP(T296,'AMP models AxeFxIII'!$D$2:$H$299,2,FALSE)</f>
        <v>Not Used</v>
      </c>
      <c r="L296" s="45" t="str">
        <f>VLOOKUP(U296,'AMP models AxeFxIII'!$D$2:$H$299,2,FALSE)</f>
        <v>Not Used</v>
      </c>
      <c r="M296" s="45" t="str">
        <f>VLOOKUP(V296,'AMP models AxeFxIII'!$D$2:$H$299,2,FALSE)</f>
        <v>Not Used</v>
      </c>
      <c r="N296" s="45" t="str">
        <f>VLOOKUP(W296,'AMP models AxeFxIII'!$D$2:$H$299,2,FALSE)</f>
        <v>Not Used</v>
      </c>
      <c r="O296" s="45" t="str">
        <f>VLOOKUP(X296,'AMP models AxeFxIII'!$D$2:$H$299,2,FALSE)</f>
        <v>Not Used</v>
      </c>
      <c r="P296" s="45" t="str">
        <f>VLOOKUP(Y296,'AMP models AxeFxIII'!$D$2:$H$299,2,FALSE)</f>
        <v>Not Used</v>
      </c>
      <c r="Q296" s="45" t="str">
        <f>VLOOKUP(Z296,'AMP models AxeFxIII'!$D$2:$H$299,2,FALSE)</f>
        <v>Not Used</v>
      </c>
      <c r="R296" s="4">
        <v>292</v>
      </c>
      <c r="S296" s="46" t="s">
        <v>555</v>
      </c>
      <c r="T296" s="46" t="s">
        <v>555</v>
      </c>
      <c r="U296" s="46" t="s">
        <v>555</v>
      </c>
      <c r="V296" s="46" t="s">
        <v>555</v>
      </c>
      <c r="W296" s="46" t="s">
        <v>555</v>
      </c>
      <c r="X296" s="46" t="s">
        <v>555</v>
      </c>
      <c r="Y296" s="46" t="s">
        <v>555</v>
      </c>
      <c r="Z296" s="46" t="s">
        <v>555</v>
      </c>
    </row>
    <row r="297" spans="1:26">
      <c r="A297" s="41">
        <f>preset_Names!A297</f>
        <v>293</v>
      </c>
      <c r="B297" t="str">
        <f t="shared" si="13"/>
        <v xml:space="preserve">strcpy(AMP1_A,("Not Used")); strcpy(AMP1_B,("Not Used")); strcpy(AMP1_C,("Not Used")); strcpy(AMP1_D,("Not Used")); </v>
      </c>
      <c r="C297" t="str">
        <f t="shared" si="14"/>
        <v xml:space="preserve">strcpy(AMP2_A,("Not Used")); strcpy(AMP2_B,("Not Used")); strcpy(AMP2_C,("Not Used")); strcpy(AMP2_D,("Not Used")); </v>
      </c>
      <c r="D297" s="31" t="s">
        <v>893</v>
      </c>
      <c r="E297" s="42" t="str">
        <f t="shared" si="12"/>
        <v>case 293: strcpy(AMP1_A,("Not Used")); strcpy(AMP1_B,("Not Used")); strcpy(AMP1_C,("Not Used")); strcpy(AMP1_D,("Not Used")); strcpy(AMP2_A,("Not Used")); strcpy(AMP2_B,("Not Used")); strcpy(AMP2_C,("Not Used")); strcpy(AMP2_D,("Not Used"));  break;</v>
      </c>
      <c r="F297" t="s">
        <v>893</v>
      </c>
      <c r="I297" t="s">
        <v>893</v>
      </c>
      <c r="J297" s="45" t="str">
        <f>VLOOKUP(S297,'AMP models AxeFxIII'!$D$2:$H$299,2,FALSE)</f>
        <v>Not Used</v>
      </c>
      <c r="K297" s="45" t="str">
        <f>VLOOKUP(T297,'AMP models AxeFxIII'!$D$2:$H$299,2,FALSE)</f>
        <v>Not Used</v>
      </c>
      <c r="L297" s="45" t="str">
        <f>VLOOKUP(U297,'AMP models AxeFxIII'!$D$2:$H$299,2,FALSE)</f>
        <v>Not Used</v>
      </c>
      <c r="M297" s="45" t="str">
        <f>VLOOKUP(V297,'AMP models AxeFxIII'!$D$2:$H$299,2,FALSE)</f>
        <v>Not Used</v>
      </c>
      <c r="N297" s="45" t="str">
        <f>VLOOKUP(W297,'AMP models AxeFxIII'!$D$2:$H$299,2,FALSE)</f>
        <v>Not Used</v>
      </c>
      <c r="O297" s="45" t="str">
        <f>VLOOKUP(X297,'AMP models AxeFxIII'!$D$2:$H$299,2,FALSE)</f>
        <v>Not Used</v>
      </c>
      <c r="P297" s="45" t="str">
        <f>VLOOKUP(Y297,'AMP models AxeFxIII'!$D$2:$H$299,2,FALSE)</f>
        <v>Not Used</v>
      </c>
      <c r="Q297" s="45" t="str">
        <f>VLOOKUP(Z297,'AMP models AxeFxIII'!$D$2:$H$299,2,FALSE)</f>
        <v>Not Used</v>
      </c>
      <c r="R297" s="4">
        <v>293</v>
      </c>
      <c r="S297" s="46" t="s">
        <v>555</v>
      </c>
      <c r="T297" s="46" t="s">
        <v>555</v>
      </c>
      <c r="U297" s="46" t="s">
        <v>555</v>
      </c>
      <c r="V297" s="46" t="s">
        <v>555</v>
      </c>
      <c r="W297" s="46" t="s">
        <v>555</v>
      </c>
      <c r="X297" s="46" t="s">
        <v>555</v>
      </c>
      <c r="Y297" s="46" t="s">
        <v>555</v>
      </c>
      <c r="Z297" s="46" t="s">
        <v>555</v>
      </c>
    </row>
    <row r="298" spans="1:26">
      <c r="A298" s="41">
        <f>preset_Names!A298</f>
        <v>294</v>
      </c>
      <c r="B298" t="str">
        <f t="shared" si="13"/>
        <v xml:space="preserve">strcpy(AMP1_A,("Not Used")); strcpy(AMP1_B,("Not Used")); strcpy(AMP1_C,("Not Used")); strcpy(AMP1_D,("Not Used")); </v>
      </c>
      <c r="C298" t="str">
        <f t="shared" si="14"/>
        <v xml:space="preserve">strcpy(AMP2_A,("Not Used")); strcpy(AMP2_B,("Not Used")); strcpy(AMP2_C,("Not Used")); strcpy(AMP2_D,("Not Used")); </v>
      </c>
      <c r="D298" s="31" t="s">
        <v>893</v>
      </c>
      <c r="E298" s="42" t="str">
        <f t="shared" si="12"/>
        <v>case 294: strcpy(AMP1_A,("Not Used")); strcpy(AMP1_B,("Not Used")); strcpy(AMP1_C,("Not Used")); strcpy(AMP1_D,("Not Used")); strcpy(AMP2_A,("Not Used")); strcpy(AMP2_B,("Not Used")); strcpy(AMP2_C,("Not Used")); strcpy(AMP2_D,("Not Used"));  break;</v>
      </c>
      <c r="F298" t="s">
        <v>893</v>
      </c>
      <c r="I298" t="s">
        <v>893</v>
      </c>
      <c r="J298" s="45" t="str">
        <f>VLOOKUP(S298,'AMP models AxeFxIII'!$D$2:$H$299,2,FALSE)</f>
        <v>Not Used</v>
      </c>
      <c r="K298" s="45" t="str">
        <f>VLOOKUP(T298,'AMP models AxeFxIII'!$D$2:$H$299,2,FALSE)</f>
        <v>Not Used</v>
      </c>
      <c r="L298" s="45" t="str">
        <f>VLOOKUP(U298,'AMP models AxeFxIII'!$D$2:$H$299,2,FALSE)</f>
        <v>Not Used</v>
      </c>
      <c r="M298" s="45" t="str">
        <f>VLOOKUP(V298,'AMP models AxeFxIII'!$D$2:$H$299,2,FALSE)</f>
        <v>Not Used</v>
      </c>
      <c r="N298" s="45" t="str">
        <f>VLOOKUP(W298,'AMP models AxeFxIII'!$D$2:$H$299,2,FALSE)</f>
        <v>Not Used</v>
      </c>
      <c r="O298" s="45" t="str">
        <f>VLOOKUP(X298,'AMP models AxeFxIII'!$D$2:$H$299,2,FALSE)</f>
        <v>Not Used</v>
      </c>
      <c r="P298" s="45" t="str">
        <f>VLOOKUP(Y298,'AMP models AxeFxIII'!$D$2:$H$299,2,FALSE)</f>
        <v>Not Used</v>
      </c>
      <c r="Q298" s="45" t="str">
        <f>VLOOKUP(Z298,'AMP models AxeFxIII'!$D$2:$H$299,2,FALSE)</f>
        <v>Not Used</v>
      </c>
      <c r="R298" s="4">
        <v>294</v>
      </c>
      <c r="S298" s="46" t="s">
        <v>555</v>
      </c>
      <c r="T298" s="46" t="s">
        <v>555</v>
      </c>
      <c r="U298" s="46" t="s">
        <v>555</v>
      </c>
      <c r="V298" s="46" t="s">
        <v>555</v>
      </c>
      <c r="W298" s="46" t="s">
        <v>555</v>
      </c>
      <c r="X298" s="46" t="s">
        <v>555</v>
      </c>
      <c r="Y298" s="46" t="s">
        <v>555</v>
      </c>
      <c r="Z298" s="46" t="s">
        <v>555</v>
      </c>
    </row>
    <row r="299" spans="1:26">
      <c r="A299" s="41">
        <f>preset_Names!A299</f>
        <v>295</v>
      </c>
      <c r="B299" t="str">
        <f t="shared" si="13"/>
        <v xml:space="preserve">strcpy(AMP1_A,("Not Used")); strcpy(AMP1_B,("Not Used")); strcpy(AMP1_C,("Not Used")); strcpy(AMP1_D,("Not Used")); </v>
      </c>
      <c r="C299" t="str">
        <f t="shared" si="14"/>
        <v xml:space="preserve">strcpy(AMP2_A,("Not Used")); strcpy(AMP2_B,("Not Used")); strcpy(AMP2_C,("Not Used")); strcpy(AMP2_D,("Not Used")); </v>
      </c>
      <c r="D299" s="31" t="s">
        <v>893</v>
      </c>
      <c r="E299" s="42" t="str">
        <f t="shared" si="12"/>
        <v>case 295: strcpy(AMP1_A,("Not Used")); strcpy(AMP1_B,("Not Used")); strcpy(AMP1_C,("Not Used")); strcpy(AMP1_D,("Not Used")); strcpy(AMP2_A,("Not Used")); strcpy(AMP2_B,("Not Used")); strcpy(AMP2_C,("Not Used")); strcpy(AMP2_D,("Not Used"));  break;</v>
      </c>
      <c r="F299" t="s">
        <v>893</v>
      </c>
      <c r="I299" t="s">
        <v>893</v>
      </c>
      <c r="J299" s="45" t="str">
        <f>VLOOKUP(S299,'AMP models AxeFxIII'!$D$2:$H$299,2,FALSE)</f>
        <v>Not Used</v>
      </c>
      <c r="K299" s="45" t="str">
        <f>VLOOKUP(T299,'AMP models AxeFxIII'!$D$2:$H$299,2,FALSE)</f>
        <v>Not Used</v>
      </c>
      <c r="L299" s="45" t="str">
        <f>VLOOKUP(U299,'AMP models AxeFxIII'!$D$2:$H$299,2,FALSE)</f>
        <v>Not Used</v>
      </c>
      <c r="M299" s="45" t="str">
        <f>VLOOKUP(V299,'AMP models AxeFxIII'!$D$2:$H$299,2,FALSE)</f>
        <v>Not Used</v>
      </c>
      <c r="N299" s="45" t="str">
        <f>VLOOKUP(W299,'AMP models AxeFxIII'!$D$2:$H$299,2,FALSE)</f>
        <v>Not Used</v>
      </c>
      <c r="O299" s="45" t="str">
        <f>VLOOKUP(X299,'AMP models AxeFxIII'!$D$2:$H$299,2,FALSE)</f>
        <v>Not Used</v>
      </c>
      <c r="P299" s="45" t="str">
        <f>VLOOKUP(Y299,'AMP models AxeFxIII'!$D$2:$H$299,2,FALSE)</f>
        <v>Not Used</v>
      </c>
      <c r="Q299" s="45" t="str">
        <f>VLOOKUP(Z299,'AMP models AxeFxIII'!$D$2:$H$299,2,FALSE)</f>
        <v>Not Used</v>
      </c>
      <c r="R299" s="4">
        <v>295</v>
      </c>
      <c r="S299" s="46" t="s">
        <v>555</v>
      </c>
      <c r="T299" s="46" t="s">
        <v>555</v>
      </c>
      <c r="U299" s="46" t="s">
        <v>555</v>
      </c>
      <c r="V299" s="46" t="s">
        <v>555</v>
      </c>
      <c r="W299" s="46" t="s">
        <v>555</v>
      </c>
      <c r="X299" s="46" t="s">
        <v>555</v>
      </c>
      <c r="Y299" s="46" t="s">
        <v>555</v>
      </c>
      <c r="Z299" s="46" t="s">
        <v>555</v>
      </c>
    </row>
    <row r="300" spans="1:26">
      <c r="A300" s="41">
        <f>preset_Names!A300</f>
        <v>296</v>
      </c>
      <c r="B300" t="str">
        <f t="shared" si="13"/>
        <v xml:space="preserve">strcpy(AMP1_A,("Not Used")); strcpy(AMP1_B,("Not Used")); strcpy(AMP1_C,("Not Used")); strcpy(AMP1_D,("Not Used")); </v>
      </c>
      <c r="C300" t="str">
        <f t="shared" si="14"/>
        <v xml:space="preserve">strcpy(AMP2_A,("Not Used")); strcpy(AMP2_B,("Not Used")); strcpy(AMP2_C,("Not Used")); strcpy(AMP2_D,("Not Used")); </v>
      </c>
      <c r="D300" s="31" t="s">
        <v>893</v>
      </c>
      <c r="E300" s="42" t="str">
        <f t="shared" si="12"/>
        <v>case 296: strcpy(AMP1_A,("Not Used")); strcpy(AMP1_B,("Not Used")); strcpy(AMP1_C,("Not Used")); strcpy(AMP1_D,("Not Used")); strcpy(AMP2_A,("Not Used")); strcpy(AMP2_B,("Not Used")); strcpy(AMP2_C,("Not Used")); strcpy(AMP2_D,("Not Used"));  break;</v>
      </c>
      <c r="F300" t="s">
        <v>893</v>
      </c>
      <c r="I300" t="s">
        <v>893</v>
      </c>
      <c r="J300" s="45" t="str">
        <f>VLOOKUP(S300,'AMP models AxeFxIII'!$D$2:$H$299,2,FALSE)</f>
        <v>Not Used</v>
      </c>
      <c r="K300" s="45" t="str">
        <f>VLOOKUP(T300,'AMP models AxeFxIII'!$D$2:$H$299,2,FALSE)</f>
        <v>Not Used</v>
      </c>
      <c r="L300" s="45" t="str">
        <f>VLOOKUP(U300,'AMP models AxeFxIII'!$D$2:$H$299,2,FALSE)</f>
        <v>Not Used</v>
      </c>
      <c r="M300" s="45" t="str">
        <f>VLOOKUP(V300,'AMP models AxeFxIII'!$D$2:$H$299,2,FALSE)</f>
        <v>Not Used</v>
      </c>
      <c r="N300" s="45" t="str">
        <f>VLOOKUP(W300,'AMP models AxeFxIII'!$D$2:$H$299,2,FALSE)</f>
        <v>Not Used</v>
      </c>
      <c r="O300" s="45" t="str">
        <f>VLOOKUP(X300,'AMP models AxeFxIII'!$D$2:$H$299,2,FALSE)</f>
        <v>Not Used</v>
      </c>
      <c r="P300" s="45" t="str">
        <f>VLOOKUP(Y300,'AMP models AxeFxIII'!$D$2:$H$299,2,FALSE)</f>
        <v>Not Used</v>
      </c>
      <c r="Q300" s="45" t="str">
        <f>VLOOKUP(Z300,'AMP models AxeFxIII'!$D$2:$H$299,2,FALSE)</f>
        <v>Not Used</v>
      </c>
      <c r="R300" s="4">
        <v>296</v>
      </c>
      <c r="S300" s="46" t="s">
        <v>555</v>
      </c>
      <c r="T300" s="46" t="s">
        <v>555</v>
      </c>
      <c r="U300" s="46" t="s">
        <v>555</v>
      </c>
      <c r="V300" s="46" t="s">
        <v>555</v>
      </c>
      <c r="W300" s="46" t="s">
        <v>555</v>
      </c>
      <c r="X300" s="46" t="s">
        <v>555</v>
      </c>
      <c r="Y300" s="46" t="s">
        <v>555</v>
      </c>
      <c r="Z300" s="46" t="s">
        <v>555</v>
      </c>
    </row>
    <row r="301" spans="1:26">
      <c r="A301" s="41">
        <f>preset_Names!A301</f>
        <v>297</v>
      </c>
      <c r="B301" t="str">
        <f t="shared" si="13"/>
        <v xml:space="preserve">strcpy(AMP1_A,("Not Used")); strcpy(AMP1_B,("Not Used")); strcpy(AMP1_C,("Not Used")); strcpy(AMP1_D,("Not Used")); </v>
      </c>
      <c r="C301" t="str">
        <f t="shared" si="14"/>
        <v xml:space="preserve">strcpy(AMP2_A,("Not Used")); strcpy(AMP2_B,("Not Used")); strcpy(AMP2_C,("Not Used")); strcpy(AMP2_D,("Not Used")); </v>
      </c>
      <c r="D301" s="31" t="s">
        <v>893</v>
      </c>
      <c r="E301" s="42" t="str">
        <f t="shared" si="12"/>
        <v>case 297: strcpy(AMP1_A,("Not Used")); strcpy(AMP1_B,("Not Used")); strcpy(AMP1_C,("Not Used")); strcpy(AMP1_D,("Not Used")); strcpy(AMP2_A,("Not Used")); strcpy(AMP2_B,("Not Used")); strcpy(AMP2_C,("Not Used")); strcpy(AMP2_D,("Not Used"));  break;</v>
      </c>
      <c r="F301" t="s">
        <v>893</v>
      </c>
      <c r="I301" t="s">
        <v>893</v>
      </c>
      <c r="J301" s="45" t="str">
        <f>VLOOKUP(S301,'AMP models AxeFxIII'!$D$2:$H$299,2,FALSE)</f>
        <v>Not Used</v>
      </c>
      <c r="K301" s="45" t="str">
        <f>VLOOKUP(T301,'AMP models AxeFxIII'!$D$2:$H$299,2,FALSE)</f>
        <v>Not Used</v>
      </c>
      <c r="L301" s="45" t="str">
        <f>VLOOKUP(U301,'AMP models AxeFxIII'!$D$2:$H$299,2,FALSE)</f>
        <v>Not Used</v>
      </c>
      <c r="M301" s="45" t="str">
        <f>VLOOKUP(V301,'AMP models AxeFxIII'!$D$2:$H$299,2,FALSE)</f>
        <v>Not Used</v>
      </c>
      <c r="N301" s="45" t="str">
        <f>VLOOKUP(W301,'AMP models AxeFxIII'!$D$2:$H$299,2,FALSE)</f>
        <v>Not Used</v>
      </c>
      <c r="O301" s="45" t="str">
        <f>VLOOKUP(X301,'AMP models AxeFxIII'!$D$2:$H$299,2,FALSE)</f>
        <v>Not Used</v>
      </c>
      <c r="P301" s="45" t="str">
        <f>VLOOKUP(Y301,'AMP models AxeFxIII'!$D$2:$H$299,2,FALSE)</f>
        <v>Not Used</v>
      </c>
      <c r="Q301" s="45" t="str">
        <f>VLOOKUP(Z301,'AMP models AxeFxIII'!$D$2:$H$299,2,FALSE)</f>
        <v>Not Used</v>
      </c>
      <c r="R301" s="4">
        <v>297</v>
      </c>
      <c r="S301" s="46" t="s">
        <v>555</v>
      </c>
      <c r="T301" s="46" t="s">
        <v>555</v>
      </c>
      <c r="U301" s="46" t="s">
        <v>555</v>
      </c>
      <c r="V301" s="46" t="s">
        <v>555</v>
      </c>
      <c r="W301" s="46" t="s">
        <v>555</v>
      </c>
      <c r="X301" s="46" t="s">
        <v>555</v>
      </c>
      <c r="Y301" s="46" t="s">
        <v>555</v>
      </c>
      <c r="Z301" s="46" t="s">
        <v>555</v>
      </c>
    </row>
    <row r="302" spans="1:26">
      <c r="A302" s="41">
        <f>preset_Names!A302</f>
        <v>298</v>
      </c>
      <c r="B302" t="str">
        <f t="shared" si="13"/>
        <v xml:space="preserve">strcpy(AMP1_A,("Not Used")); strcpy(AMP1_B,("Not Used")); strcpy(AMP1_C,("Not Used")); strcpy(AMP1_D,("Not Used")); </v>
      </c>
      <c r="C302" t="str">
        <f t="shared" si="14"/>
        <v xml:space="preserve">strcpy(AMP2_A,("Not Used")); strcpy(AMP2_B,("Not Used")); strcpy(AMP2_C,("Not Used")); strcpy(AMP2_D,("Not Used")); </v>
      </c>
      <c r="D302" s="31" t="s">
        <v>893</v>
      </c>
      <c r="E302" s="42" t="str">
        <f t="shared" si="12"/>
        <v>case 298: strcpy(AMP1_A,("Not Used")); strcpy(AMP1_B,("Not Used")); strcpy(AMP1_C,("Not Used")); strcpy(AMP1_D,("Not Used")); strcpy(AMP2_A,("Not Used")); strcpy(AMP2_B,("Not Used")); strcpy(AMP2_C,("Not Used")); strcpy(AMP2_D,("Not Used"));  break;</v>
      </c>
      <c r="F302" t="s">
        <v>893</v>
      </c>
      <c r="I302" t="s">
        <v>893</v>
      </c>
      <c r="J302" s="45" t="str">
        <f>VLOOKUP(S302,'AMP models AxeFxIII'!$D$2:$H$299,2,FALSE)</f>
        <v>Not Used</v>
      </c>
      <c r="K302" s="45" t="str">
        <f>VLOOKUP(T302,'AMP models AxeFxIII'!$D$2:$H$299,2,FALSE)</f>
        <v>Not Used</v>
      </c>
      <c r="L302" s="45" t="str">
        <f>VLOOKUP(U302,'AMP models AxeFxIII'!$D$2:$H$299,2,FALSE)</f>
        <v>Not Used</v>
      </c>
      <c r="M302" s="45" t="str">
        <f>VLOOKUP(V302,'AMP models AxeFxIII'!$D$2:$H$299,2,FALSE)</f>
        <v>Not Used</v>
      </c>
      <c r="N302" s="45" t="str">
        <f>VLOOKUP(W302,'AMP models AxeFxIII'!$D$2:$H$299,2,FALSE)</f>
        <v>Not Used</v>
      </c>
      <c r="O302" s="45" t="str">
        <f>VLOOKUP(X302,'AMP models AxeFxIII'!$D$2:$H$299,2,FALSE)</f>
        <v>Not Used</v>
      </c>
      <c r="P302" s="45" t="str">
        <f>VLOOKUP(Y302,'AMP models AxeFxIII'!$D$2:$H$299,2,FALSE)</f>
        <v>Not Used</v>
      </c>
      <c r="Q302" s="45" t="str">
        <f>VLOOKUP(Z302,'AMP models AxeFxIII'!$D$2:$H$299,2,FALSE)</f>
        <v>Not Used</v>
      </c>
      <c r="R302" s="4">
        <v>298</v>
      </c>
      <c r="S302" s="46" t="s">
        <v>555</v>
      </c>
      <c r="T302" s="46" t="s">
        <v>555</v>
      </c>
      <c r="U302" s="46" t="s">
        <v>555</v>
      </c>
      <c r="V302" s="46" t="s">
        <v>555</v>
      </c>
      <c r="W302" s="46" t="s">
        <v>555</v>
      </c>
      <c r="X302" s="46" t="s">
        <v>555</v>
      </c>
      <c r="Y302" s="46" t="s">
        <v>555</v>
      </c>
      <c r="Z302" s="46" t="s">
        <v>555</v>
      </c>
    </row>
    <row r="303" spans="1:26">
      <c r="A303" s="41">
        <f>preset_Names!A303</f>
        <v>299</v>
      </c>
      <c r="B303" t="str">
        <f t="shared" si="13"/>
        <v xml:space="preserve">strcpy(AMP1_A,("Not Used")); strcpy(AMP1_B,("Not Used")); strcpy(AMP1_C,("Not Used")); strcpy(AMP1_D,("Not Used")); </v>
      </c>
      <c r="C303" t="str">
        <f t="shared" si="14"/>
        <v xml:space="preserve">strcpy(AMP2_A,("Not Used")); strcpy(AMP2_B,("Not Used")); strcpy(AMP2_C,("Not Used")); strcpy(AMP2_D,("Not Used")); </v>
      </c>
      <c r="D303" s="31" t="s">
        <v>893</v>
      </c>
      <c r="E303" s="42" t="str">
        <f t="shared" si="12"/>
        <v>case 299: strcpy(AMP1_A,("Not Used")); strcpy(AMP1_B,("Not Used")); strcpy(AMP1_C,("Not Used")); strcpy(AMP1_D,("Not Used")); strcpy(AMP2_A,("Not Used")); strcpy(AMP2_B,("Not Used")); strcpy(AMP2_C,("Not Used")); strcpy(AMP2_D,("Not Used"));  break;</v>
      </c>
      <c r="F303" t="s">
        <v>893</v>
      </c>
      <c r="I303" t="s">
        <v>893</v>
      </c>
      <c r="J303" s="45" t="str">
        <f>VLOOKUP(S303,'AMP models AxeFxIII'!$D$2:$H$299,2,FALSE)</f>
        <v>Not Used</v>
      </c>
      <c r="K303" s="45" t="str">
        <f>VLOOKUP(T303,'AMP models AxeFxIII'!$D$2:$H$299,2,FALSE)</f>
        <v>Not Used</v>
      </c>
      <c r="L303" s="45" t="str">
        <f>VLOOKUP(U303,'AMP models AxeFxIII'!$D$2:$H$299,2,FALSE)</f>
        <v>Not Used</v>
      </c>
      <c r="M303" s="45" t="str">
        <f>VLOOKUP(V303,'AMP models AxeFxIII'!$D$2:$H$299,2,FALSE)</f>
        <v>Not Used</v>
      </c>
      <c r="N303" s="45" t="str">
        <f>VLOOKUP(W303,'AMP models AxeFxIII'!$D$2:$H$299,2,FALSE)</f>
        <v>Not Used</v>
      </c>
      <c r="O303" s="45" t="str">
        <f>VLOOKUP(X303,'AMP models AxeFxIII'!$D$2:$H$299,2,FALSE)</f>
        <v>Not Used</v>
      </c>
      <c r="P303" s="45" t="str">
        <f>VLOOKUP(Y303,'AMP models AxeFxIII'!$D$2:$H$299,2,FALSE)</f>
        <v>Not Used</v>
      </c>
      <c r="Q303" s="45" t="str">
        <f>VLOOKUP(Z303,'AMP models AxeFxIII'!$D$2:$H$299,2,FALSE)</f>
        <v>Not Used</v>
      </c>
      <c r="R303" s="4">
        <v>299</v>
      </c>
      <c r="S303" s="46" t="s">
        <v>555</v>
      </c>
      <c r="T303" s="46" t="s">
        <v>555</v>
      </c>
      <c r="U303" s="46" t="s">
        <v>555</v>
      </c>
      <c r="V303" s="46" t="s">
        <v>555</v>
      </c>
      <c r="W303" s="46" t="s">
        <v>555</v>
      </c>
      <c r="X303" s="46" t="s">
        <v>555</v>
      </c>
      <c r="Y303" s="46" t="s">
        <v>555</v>
      </c>
      <c r="Z303" s="46" t="s">
        <v>555</v>
      </c>
    </row>
    <row r="304" spans="1:26">
      <c r="A304" s="41">
        <f>preset_Names!A304</f>
        <v>300</v>
      </c>
      <c r="B304" t="str">
        <f t="shared" si="13"/>
        <v xml:space="preserve">strcpy(AMP1_A,("Not Used")); strcpy(AMP1_B,("Not Used")); strcpy(AMP1_C,("Not Used")); strcpy(AMP1_D,("Not Used")); </v>
      </c>
      <c r="C304" t="str">
        <f t="shared" si="14"/>
        <v xml:space="preserve">strcpy(AMP2_A,("Not Used")); strcpy(AMP2_B,("Not Used")); strcpy(AMP2_C,("Not Used")); strcpy(AMP2_D,("Not Used")); </v>
      </c>
      <c r="D304" s="31" t="s">
        <v>893</v>
      </c>
      <c r="E304" s="42" t="str">
        <f t="shared" si="12"/>
        <v>case 300: strcpy(AMP1_A,("Not Used")); strcpy(AMP1_B,("Not Used")); strcpy(AMP1_C,("Not Used")); strcpy(AMP1_D,("Not Used")); strcpy(AMP2_A,("Not Used")); strcpy(AMP2_B,("Not Used")); strcpy(AMP2_C,("Not Used")); strcpy(AMP2_D,("Not Used"));  break;</v>
      </c>
      <c r="F304" t="s">
        <v>893</v>
      </c>
      <c r="I304" t="s">
        <v>893</v>
      </c>
      <c r="J304" s="45" t="str">
        <f>VLOOKUP(S304,'AMP models AxeFxIII'!$D$2:$H$299,2,FALSE)</f>
        <v>Not Used</v>
      </c>
      <c r="K304" s="45" t="str">
        <f>VLOOKUP(T304,'AMP models AxeFxIII'!$D$2:$H$299,2,FALSE)</f>
        <v>Not Used</v>
      </c>
      <c r="L304" s="45" t="str">
        <f>VLOOKUP(U304,'AMP models AxeFxIII'!$D$2:$H$299,2,FALSE)</f>
        <v>Not Used</v>
      </c>
      <c r="M304" s="45" t="str">
        <f>VLOOKUP(V304,'AMP models AxeFxIII'!$D$2:$H$299,2,FALSE)</f>
        <v>Not Used</v>
      </c>
      <c r="N304" s="45" t="str">
        <f>VLOOKUP(W304,'AMP models AxeFxIII'!$D$2:$H$299,2,FALSE)</f>
        <v>Not Used</v>
      </c>
      <c r="O304" s="45" t="str">
        <f>VLOOKUP(X304,'AMP models AxeFxIII'!$D$2:$H$299,2,FALSE)</f>
        <v>Not Used</v>
      </c>
      <c r="P304" s="45" t="str">
        <f>VLOOKUP(Y304,'AMP models AxeFxIII'!$D$2:$H$299,2,FALSE)</f>
        <v>Not Used</v>
      </c>
      <c r="Q304" s="45" t="str">
        <f>VLOOKUP(Z304,'AMP models AxeFxIII'!$D$2:$H$299,2,FALSE)</f>
        <v>Not Used</v>
      </c>
      <c r="R304" s="4">
        <v>300</v>
      </c>
      <c r="S304" s="46" t="s">
        <v>555</v>
      </c>
      <c r="T304" s="46" t="s">
        <v>555</v>
      </c>
      <c r="U304" s="46" t="s">
        <v>555</v>
      </c>
      <c r="V304" s="46" t="s">
        <v>555</v>
      </c>
      <c r="W304" s="46" t="s">
        <v>555</v>
      </c>
      <c r="X304" s="46" t="s">
        <v>555</v>
      </c>
      <c r="Y304" s="46" t="s">
        <v>555</v>
      </c>
      <c r="Z304" s="46" t="s">
        <v>555</v>
      </c>
    </row>
    <row r="305" spans="1:26">
      <c r="A305" s="41">
        <f>preset_Names!A305</f>
        <v>301</v>
      </c>
      <c r="B305" t="str">
        <f t="shared" si="13"/>
        <v xml:space="preserve">strcpy(AMP1_A,("Not Used")); strcpy(AMP1_B,("Not Used")); strcpy(AMP1_C,("Not Used")); strcpy(AMP1_D,("Not Used")); </v>
      </c>
      <c r="C305" t="str">
        <f t="shared" si="14"/>
        <v xml:space="preserve">strcpy(AMP2_A,("Not Used")); strcpy(AMP2_B,("Not Used")); strcpy(AMP2_C,("Not Used")); strcpy(AMP2_D,("Not Used")); </v>
      </c>
      <c r="D305" s="31" t="s">
        <v>893</v>
      </c>
      <c r="E305" s="42" t="str">
        <f t="shared" si="12"/>
        <v>case 301: strcpy(AMP1_A,("Not Used")); strcpy(AMP1_B,("Not Used")); strcpy(AMP1_C,("Not Used")); strcpy(AMP1_D,("Not Used")); strcpy(AMP2_A,("Not Used")); strcpy(AMP2_B,("Not Used")); strcpy(AMP2_C,("Not Used")); strcpy(AMP2_D,("Not Used"));  break;</v>
      </c>
      <c r="F305" t="s">
        <v>893</v>
      </c>
      <c r="I305" t="s">
        <v>893</v>
      </c>
      <c r="J305" s="45" t="str">
        <f>VLOOKUP(S305,'AMP models AxeFxIII'!$D$2:$H$299,2,FALSE)</f>
        <v>Not Used</v>
      </c>
      <c r="K305" s="45" t="str">
        <f>VLOOKUP(T305,'AMP models AxeFxIII'!$D$2:$H$299,2,FALSE)</f>
        <v>Not Used</v>
      </c>
      <c r="L305" s="45" t="str">
        <f>VLOOKUP(U305,'AMP models AxeFxIII'!$D$2:$H$299,2,FALSE)</f>
        <v>Not Used</v>
      </c>
      <c r="M305" s="45" t="str">
        <f>VLOOKUP(V305,'AMP models AxeFxIII'!$D$2:$H$299,2,FALSE)</f>
        <v>Not Used</v>
      </c>
      <c r="N305" s="45" t="str">
        <f>VLOOKUP(W305,'AMP models AxeFxIII'!$D$2:$H$299,2,FALSE)</f>
        <v>Not Used</v>
      </c>
      <c r="O305" s="45" t="str">
        <f>VLOOKUP(X305,'AMP models AxeFxIII'!$D$2:$H$299,2,FALSE)</f>
        <v>Not Used</v>
      </c>
      <c r="P305" s="45" t="str">
        <f>VLOOKUP(Y305,'AMP models AxeFxIII'!$D$2:$H$299,2,FALSE)</f>
        <v>Not Used</v>
      </c>
      <c r="Q305" s="45" t="str">
        <f>VLOOKUP(Z305,'AMP models AxeFxIII'!$D$2:$H$299,2,FALSE)</f>
        <v>Not Used</v>
      </c>
      <c r="R305" s="4">
        <v>301</v>
      </c>
      <c r="S305" s="46" t="s">
        <v>555</v>
      </c>
      <c r="T305" s="46" t="s">
        <v>555</v>
      </c>
      <c r="U305" s="46" t="s">
        <v>555</v>
      </c>
      <c r="V305" s="46" t="s">
        <v>555</v>
      </c>
      <c r="W305" s="46" t="s">
        <v>555</v>
      </c>
      <c r="X305" s="46" t="s">
        <v>555</v>
      </c>
      <c r="Y305" s="46" t="s">
        <v>555</v>
      </c>
      <c r="Z305" s="46" t="s">
        <v>555</v>
      </c>
    </row>
    <row r="306" spans="1:26">
      <c r="A306" s="41">
        <f>preset_Names!A306</f>
        <v>302</v>
      </c>
      <c r="B306" t="str">
        <f t="shared" si="13"/>
        <v xml:space="preserve">strcpy(AMP1_A,("Not Used")); strcpy(AMP1_B,("Not Used")); strcpy(AMP1_C,("Not Used")); strcpy(AMP1_D,("Not Used")); </v>
      </c>
      <c r="C306" t="str">
        <f t="shared" si="14"/>
        <v xml:space="preserve">strcpy(AMP2_A,("Not Used")); strcpy(AMP2_B,("Not Used")); strcpy(AMP2_C,("Not Used")); strcpy(AMP2_D,("Not Used")); </v>
      </c>
      <c r="D306" s="31" t="s">
        <v>893</v>
      </c>
      <c r="E306" s="42" t="str">
        <f t="shared" si="12"/>
        <v>case 302: strcpy(AMP1_A,("Not Used")); strcpy(AMP1_B,("Not Used")); strcpy(AMP1_C,("Not Used")); strcpy(AMP1_D,("Not Used")); strcpy(AMP2_A,("Not Used")); strcpy(AMP2_B,("Not Used")); strcpy(AMP2_C,("Not Used")); strcpy(AMP2_D,("Not Used"));  break;</v>
      </c>
      <c r="F306" t="s">
        <v>893</v>
      </c>
      <c r="I306" t="s">
        <v>893</v>
      </c>
      <c r="J306" s="45" t="str">
        <f>VLOOKUP(S306,'AMP models AxeFxIII'!$D$2:$H$299,2,FALSE)</f>
        <v>Not Used</v>
      </c>
      <c r="K306" s="45" t="str">
        <f>VLOOKUP(T306,'AMP models AxeFxIII'!$D$2:$H$299,2,FALSE)</f>
        <v>Not Used</v>
      </c>
      <c r="L306" s="45" t="str">
        <f>VLOOKUP(U306,'AMP models AxeFxIII'!$D$2:$H$299,2,FALSE)</f>
        <v>Not Used</v>
      </c>
      <c r="M306" s="45" t="str">
        <f>VLOOKUP(V306,'AMP models AxeFxIII'!$D$2:$H$299,2,FALSE)</f>
        <v>Not Used</v>
      </c>
      <c r="N306" s="45" t="str">
        <f>VLOOKUP(W306,'AMP models AxeFxIII'!$D$2:$H$299,2,FALSE)</f>
        <v>Not Used</v>
      </c>
      <c r="O306" s="45" t="str">
        <f>VLOOKUP(X306,'AMP models AxeFxIII'!$D$2:$H$299,2,FALSE)</f>
        <v>Not Used</v>
      </c>
      <c r="P306" s="45" t="str">
        <f>VLOOKUP(Y306,'AMP models AxeFxIII'!$D$2:$H$299,2,FALSE)</f>
        <v>Not Used</v>
      </c>
      <c r="Q306" s="45" t="str">
        <f>VLOOKUP(Z306,'AMP models AxeFxIII'!$D$2:$H$299,2,FALSE)</f>
        <v>Not Used</v>
      </c>
      <c r="R306" s="4">
        <v>302</v>
      </c>
      <c r="S306" s="46" t="s">
        <v>555</v>
      </c>
      <c r="T306" s="46" t="s">
        <v>555</v>
      </c>
      <c r="U306" s="46" t="s">
        <v>555</v>
      </c>
      <c r="V306" s="46" t="s">
        <v>555</v>
      </c>
      <c r="W306" s="46" t="s">
        <v>555</v>
      </c>
      <c r="X306" s="46" t="s">
        <v>555</v>
      </c>
      <c r="Y306" s="46" t="s">
        <v>555</v>
      </c>
      <c r="Z306" s="46" t="s">
        <v>555</v>
      </c>
    </row>
    <row r="307" spans="1:26">
      <c r="A307" s="41">
        <f>preset_Names!A307</f>
        <v>303</v>
      </c>
      <c r="B307" t="str">
        <f t="shared" si="13"/>
        <v xml:space="preserve">strcpy(AMP1_A,("Not Used")); strcpy(AMP1_B,("Not Used")); strcpy(AMP1_C,("Not Used")); strcpy(AMP1_D,("Not Used")); </v>
      </c>
      <c r="C307" t="str">
        <f t="shared" si="14"/>
        <v xml:space="preserve">strcpy(AMP2_A,("Not Used")); strcpy(AMP2_B,("Not Used")); strcpy(AMP2_C,("Not Used")); strcpy(AMP2_D,("Not Used")); </v>
      </c>
      <c r="D307" s="31" t="s">
        <v>893</v>
      </c>
      <c r="E307" s="42" t="str">
        <f t="shared" si="12"/>
        <v>case 303: strcpy(AMP1_A,("Not Used")); strcpy(AMP1_B,("Not Used")); strcpy(AMP1_C,("Not Used")); strcpy(AMP1_D,("Not Used")); strcpy(AMP2_A,("Not Used")); strcpy(AMP2_B,("Not Used")); strcpy(AMP2_C,("Not Used")); strcpy(AMP2_D,("Not Used"));  break;</v>
      </c>
      <c r="F307" t="s">
        <v>893</v>
      </c>
      <c r="I307" t="s">
        <v>893</v>
      </c>
      <c r="J307" s="45" t="str">
        <f>VLOOKUP(S307,'AMP models AxeFxIII'!$D$2:$H$299,2,FALSE)</f>
        <v>Not Used</v>
      </c>
      <c r="K307" s="45" t="str">
        <f>VLOOKUP(T307,'AMP models AxeFxIII'!$D$2:$H$299,2,FALSE)</f>
        <v>Not Used</v>
      </c>
      <c r="L307" s="45" t="str">
        <f>VLOOKUP(U307,'AMP models AxeFxIII'!$D$2:$H$299,2,FALSE)</f>
        <v>Not Used</v>
      </c>
      <c r="M307" s="45" t="str">
        <f>VLOOKUP(V307,'AMP models AxeFxIII'!$D$2:$H$299,2,FALSE)</f>
        <v>Not Used</v>
      </c>
      <c r="N307" s="45" t="str">
        <f>VLOOKUP(W307,'AMP models AxeFxIII'!$D$2:$H$299,2,FALSE)</f>
        <v>Not Used</v>
      </c>
      <c r="O307" s="45" t="str">
        <f>VLOOKUP(X307,'AMP models AxeFxIII'!$D$2:$H$299,2,FALSE)</f>
        <v>Not Used</v>
      </c>
      <c r="P307" s="45" t="str">
        <f>VLOOKUP(Y307,'AMP models AxeFxIII'!$D$2:$H$299,2,FALSE)</f>
        <v>Not Used</v>
      </c>
      <c r="Q307" s="45" t="str">
        <f>VLOOKUP(Z307,'AMP models AxeFxIII'!$D$2:$H$299,2,FALSE)</f>
        <v>Not Used</v>
      </c>
      <c r="R307" s="4">
        <v>303</v>
      </c>
      <c r="S307" s="46" t="s">
        <v>555</v>
      </c>
      <c r="T307" s="46" t="s">
        <v>555</v>
      </c>
      <c r="U307" s="46" t="s">
        <v>555</v>
      </c>
      <c r="V307" s="46" t="s">
        <v>555</v>
      </c>
      <c r="W307" s="46" t="s">
        <v>555</v>
      </c>
      <c r="X307" s="46" t="s">
        <v>555</v>
      </c>
      <c r="Y307" s="46" t="s">
        <v>555</v>
      </c>
      <c r="Z307" s="46" t="s">
        <v>555</v>
      </c>
    </row>
    <row r="308" spans="1:26">
      <c r="A308" s="41">
        <f>preset_Names!A308</f>
        <v>304</v>
      </c>
      <c r="B308" t="str">
        <f t="shared" si="13"/>
        <v xml:space="preserve">strcpy(AMP1_A,("Not Used")); strcpy(AMP1_B,("Not Used")); strcpy(AMP1_C,("Not Used")); strcpy(AMP1_D,("Not Used")); </v>
      </c>
      <c r="C308" t="str">
        <f t="shared" si="14"/>
        <v xml:space="preserve">strcpy(AMP2_A,("Not Used")); strcpy(AMP2_B,("Not Used")); strcpy(AMP2_C,("Not Used")); strcpy(AMP2_D,("Not Used")); </v>
      </c>
      <c r="D308" s="31" t="s">
        <v>893</v>
      </c>
      <c r="E308" s="42" t="str">
        <f t="shared" si="12"/>
        <v>case 304: strcpy(AMP1_A,("Not Used")); strcpy(AMP1_B,("Not Used")); strcpy(AMP1_C,("Not Used")); strcpy(AMP1_D,("Not Used")); strcpy(AMP2_A,("Not Used")); strcpy(AMP2_B,("Not Used")); strcpy(AMP2_C,("Not Used")); strcpy(AMP2_D,("Not Used"));  break;</v>
      </c>
      <c r="F308" t="s">
        <v>893</v>
      </c>
      <c r="I308" t="s">
        <v>893</v>
      </c>
      <c r="J308" s="45" t="str">
        <f>VLOOKUP(S308,'AMP models AxeFxIII'!$D$2:$H$299,2,FALSE)</f>
        <v>Not Used</v>
      </c>
      <c r="K308" s="45" t="str">
        <f>VLOOKUP(T308,'AMP models AxeFxIII'!$D$2:$H$299,2,FALSE)</f>
        <v>Not Used</v>
      </c>
      <c r="L308" s="45" t="str">
        <f>VLOOKUP(U308,'AMP models AxeFxIII'!$D$2:$H$299,2,FALSE)</f>
        <v>Not Used</v>
      </c>
      <c r="M308" s="45" t="str">
        <f>VLOOKUP(V308,'AMP models AxeFxIII'!$D$2:$H$299,2,FALSE)</f>
        <v>Not Used</v>
      </c>
      <c r="N308" s="45" t="str">
        <f>VLOOKUP(W308,'AMP models AxeFxIII'!$D$2:$H$299,2,FALSE)</f>
        <v>Not Used</v>
      </c>
      <c r="O308" s="45" t="str">
        <f>VLOOKUP(X308,'AMP models AxeFxIII'!$D$2:$H$299,2,FALSE)</f>
        <v>Not Used</v>
      </c>
      <c r="P308" s="45" t="str">
        <f>VLOOKUP(Y308,'AMP models AxeFxIII'!$D$2:$H$299,2,FALSE)</f>
        <v>Not Used</v>
      </c>
      <c r="Q308" s="45" t="str">
        <f>VLOOKUP(Z308,'AMP models AxeFxIII'!$D$2:$H$299,2,FALSE)</f>
        <v>Not Used</v>
      </c>
      <c r="R308" s="4">
        <v>304</v>
      </c>
      <c r="S308" s="46" t="s">
        <v>555</v>
      </c>
      <c r="T308" s="46" t="s">
        <v>555</v>
      </c>
      <c r="U308" s="46" t="s">
        <v>555</v>
      </c>
      <c r="V308" s="46" t="s">
        <v>555</v>
      </c>
      <c r="W308" s="46" t="s">
        <v>555</v>
      </c>
      <c r="X308" s="46" t="s">
        <v>555</v>
      </c>
      <c r="Y308" s="46" t="s">
        <v>555</v>
      </c>
      <c r="Z308" s="46" t="s">
        <v>555</v>
      </c>
    </row>
    <row r="309" spans="1:26">
      <c r="A309" s="41">
        <f>preset_Names!A309</f>
        <v>305</v>
      </c>
      <c r="B309" t="str">
        <f t="shared" si="13"/>
        <v xml:space="preserve">strcpy(AMP1_A,("Not Used")); strcpy(AMP1_B,("Not Used")); strcpy(AMP1_C,("Not Used")); strcpy(AMP1_D,("Not Used")); </v>
      </c>
      <c r="C309" t="str">
        <f t="shared" si="14"/>
        <v xml:space="preserve">strcpy(AMP2_A,("Not Used")); strcpy(AMP2_B,("Not Used")); strcpy(AMP2_C,("Not Used")); strcpy(AMP2_D,("Not Used")); </v>
      </c>
      <c r="D309" s="31" t="s">
        <v>893</v>
      </c>
      <c r="E309" s="42" t="str">
        <f t="shared" si="12"/>
        <v>case 305: strcpy(AMP1_A,("Not Used")); strcpy(AMP1_B,("Not Used")); strcpy(AMP1_C,("Not Used")); strcpy(AMP1_D,("Not Used")); strcpy(AMP2_A,("Not Used")); strcpy(AMP2_B,("Not Used")); strcpy(AMP2_C,("Not Used")); strcpy(AMP2_D,("Not Used"));  break;</v>
      </c>
      <c r="F309" t="s">
        <v>893</v>
      </c>
      <c r="I309" t="s">
        <v>893</v>
      </c>
      <c r="J309" s="45" t="str">
        <f>VLOOKUP(S309,'AMP models AxeFxIII'!$D$2:$H$299,2,FALSE)</f>
        <v>Not Used</v>
      </c>
      <c r="K309" s="45" t="str">
        <f>VLOOKUP(T309,'AMP models AxeFxIII'!$D$2:$H$299,2,FALSE)</f>
        <v>Not Used</v>
      </c>
      <c r="L309" s="45" t="str">
        <f>VLOOKUP(U309,'AMP models AxeFxIII'!$D$2:$H$299,2,FALSE)</f>
        <v>Not Used</v>
      </c>
      <c r="M309" s="45" t="str">
        <f>VLOOKUP(V309,'AMP models AxeFxIII'!$D$2:$H$299,2,FALSE)</f>
        <v>Not Used</v>
      </c>
      <c r="N309" s="45" t="str">
        <f>VLOOKUP(W309,'AMP models AxeFxIII'!$D$2:$H$299,2,FALSE)</f>
        <v>Not Used</v>
      </c>
      <c r="O309" s="45" t="str">
        <f>VLOOKUP(X309,'AMP models AxeFxIII'!$D$2:$H$299,2,FALSE)</f>
        <v>Not Used</v>
      </c>
      <c r="P309" s="45" t="str">
        <f>VLOOKUP(Y309,'AMP models AxeFxIII'!$D$2:$H$299,2,FALSE)</f>
        <v>Not Used</v>
      </c>
      <c r="Q309" s="45" t="str">
        <f>VLOOKUP(Z309,'AMP models AxeFxIII'!$D$2:$H$299,2,FALSE)</f>
        <v>Not Used</v>
      </c>
      <c r="R309" s="4">
        <v>305</v>
      </c>
      <c r="S309" s="46" t="s">
        <v>555</v>
      </c>
      <c r="T309" s="46" t="s">
        <v>555</v>
      </c>
      <c r="U309" s="46" t="s">
        <v>555</v>
      </c>
      <c r="V309" s="46" t="s">
        <v>555</v>
      </c>
      <c r="W309" s="46" t="s">
        <v>555</v>
      </c>
      <c r="X309" s="46" t="s">
        <v>555</v>
      </c>
      <c r="Y309" s="46" t="s">
        <v>555</v>
      </c>
      <c r="Z309" s="46" t="s">
        <v>555</v>
      </c>
    </row>
    <row r="310" spans="1:26">
      <c r="A310" s="41">
        <f>preset_Names!A310</f>
        <v>306</v>
      </c>
      <c r="B310" t="str">
        <f t="shared" si="13"/>
        <v xml:space="preserve">strcpy(AMP1_A,("Not Used")); strcpy(AMP1_B,("Not Used")); strcpy(AMP1_C,("Not Used")); strcpy(AMP1_D,("Not Used")); </v>
      </c>
      <c r="C310" t="str">
        <f t="shared" si="14"/>
        <v xml:space="preserve">strcpy(AMP2_A,("Not Used")); strcpy(AMP2_B,("Not Used")); strcpy(AMP2_C,("Not Used")); strcpy(AMP2_D,("Not Used")); </v>
      </c>
      <c r="D310" s="31" t="s">
        <v>893</v>
      </c>
      <c r="E310" s="42" t="str">
        <f t="shared" si="12"/>
        <v>case 306: strcpy(AMP1_A,("Not Used")); strcpy(AMP1_B,("Not Used")); strcpy(AMP1_C,("Not Used")); strcpy(AMP1_D,("Not Used")); strcpy(AMP2_A,("Not Used")); strcpy(AMP2_B,("Not Used")); strcpy(AMP2_C,("Not Used")); strcpy(AMP2_D,("Not Used"));  break;</v>
      </c>
      <c r="F310" t="s">
        <v>893</v>
      </c>
      <c r="I310" t="s">
        <v>893</v>
      </c>
      <c r="J310" s="45" t="str">
        <f>VLOOKUP(S310,'AMP models AxeFxIII'!$D$2:$H$299,2,FALSE)</f>
        <v>Not Used</v>
      </c>
      <c r="K310" s="45" t="str">
        <f>VLOOKUP(T310,'AMP models AxeFxIII'!$D$2:$H$299,2,FALSE)</f>
        <v>Not Used</v>
      </c>
      <c r="L310" s="45" t="str">
        <f>VLOOKUP(U310,'AMP models AxeFxIII'!$D$2:$H$299,2,FALSE)</f>
        <v>Not Used</v>
      </c>
      <c r="M310" s="45" t="str">
        <f>VLOOKUP(V310,'AMP models AxeFxIII'!$D$2:$H$299,2,FALSE)</f>
        <v>Not Used</v>
      </c>
      <c r="N310" s="45" t="str">
        <f>VLOOKUP(W310,'AMP models AxeFxIII'!$D$2:$H$299,2,FALSE)</f>
        <v>Not Used</v>
      </c>
      <c r="O310" s="45" t="str">
        <f>VLOOKUP(X310,'AMP models AxeFxIII'!$D$2:$H$299,2,FALSE)</f>
        <v>Not Used</v>
      </c>
      <c r="P310" s="45" t="str">
        <f>VLOOKUP(Y310,'AMP models AxeFxIII'!$D$2:$H$299,2,FALSE)</f>
        <v>Not Used</v>
      </c>
      <c r="Q310" s="45" t="str">
        <f>VLOOKUP(Z310,'AMP models AxeFxIII'!$D$2:$H$299,2,FALSE)</f>
        <v>Not Used</v>
      </c>
      <c r="R310" s="4">
        <v>306</v>
      </c>
      <c r="S310" s="46" t="s">
        <v>555</v>
      </c>
      <c r="T310" s="46" t="s">
        <v>555</v>
      </c>
      <c r="U310" s="46" t="s">
        <v>555</v>
      </c>
      <c r="V310" s="46" t="s">
        <v>555</v>
      </c>
      <c r="W310" s="46" t="s">
        <v>555</v>
      </c>
      <c r="X310" s="46" t="s">
        <v>555</v>
      </c>
      <c r="Y310" s="46" t="s">
        <v>555</v>
      </c>
      <c r="Z310" s="46" t="s">
        <v>555</v>
      </c>
    </row>
    <row r="311" spans="1:26">
      <c r="A311" s="41">
        <f>preset_Names!A311</f>
        <v>307</v>
      </c>
      <c r="B311" t="str">
        <f t="shared" si="13"/>
        <v xml:space="preserve">strcpy(AMP1_A,("Not Used")); strcpy(AMP1_B,("Not Used")); strcpy(AMP1_C,("Not Used")); strcpy(AMP1_D,("Not Used")); </v>
      </c>
      <c r="C311" t="str">
        <f t="shared" si="14"/>
        <v xml:space="preserve">strcpy(AMP2_A,("Not Used")); strcpy(AMP2_B,("Not Used")); strcpy(AMP2_C,("Not Used")); strcpy(AMP2_D,("Not Used")); </v>
      </c>
      <c r="D311" s="31" t="s">
        <v>893</v>
      </c>
      <c r="E311" s="42" t="str">
        <f t="shared" si="12"/>
        <v>case 307: strcpy(AMP1_A,("Not Used")); strcpy(AMP1_B,("Not Used")); strcpy(AMP1_C,("Not Used")); strcpy(AMP1_D,("Not Used")); strcpy(AMP2_A,("Not Used")); strcpy(AMP2_B,("Not Used")); strcpy(AMP2_C,("Not Used")); strcpy(AMP2_D,("Not Used"));  break;</v>
      </c>
      <c r="F311" t="s">
        <v>893</v>
      </c>
      <c r="I311" t="s">
        <v>893</v>
      </c>
      <c r="J311" s="45" t="str">
        <f>VLOOKUP(S311,'AMP models AxeFxIII'!$D$2:$H$299,2,FALSE)</f>
        <v>Not Used</v>
      </c>
      <c r="K311" s="45" t="str">
        <f>VLOOKUP(T311,'AMP models AxeFxIII'!$D$2:$H$299,2,FALSE)</f>
        <v>Not Used</v>
      </c>
      <c r="L311" s="45" t="str">
        <f>VLOOKUP(U311,'AMP models AxeFxIII'!$D$2:$H$299,2,FALSE)</f>
        <v>Not Used</v>
      </c>
      <c r="M311" s="45" t="str">
        <f>VLOOKUP(V311,'AMP models AxeFxIII'!$D$2:$H$299,2,FALSE)</f>
        <v>Not Used</v>
      </c>
      <c r="N311" s="45" t="str">
        <f>VLOOKUP(W311,'AMP models AxeFxIII'!$D$2:$H$299,2,FALSE)</f>
        <v>Not Used</v>
      </c>
      <c r="O311" s="45" t="str">
        <f>VLOOKUP(X311,'AMP models AxeFxIII'!$D$2:$H$299,2,FALSE)</f>
        <v>Not Used</v>
      </c>
      <c r="P311" s="45" t="str">
        <f>VLOOKUP(Y311,'AMP models AxeFxIII'!$D$2:$H$299,2,FALSE)</f>
        <v>Not Used</v>
      </c>
      <c r="Q311" s="45" t="str">
        <f>VLOOKUP(Z311,'AMP models AxeFxIII'!$D$2:$H$299,2,FALSE)</f>
        <v>Not Used</v>
      </c>
      <c r="R311" s="4">
        <v>307</v>
      </c>
      <c r="S311" s="46" t="s">
        <v>555</v>
      </c>
      <c r="T311" s="46" t="s">
        <v>555</v>
      </c>
      <c r="U311" s="46" t="s">
        <v>555</v>
      </c>
      <c r="V311" s="46" t="s">
        <v>555</v>
      </c>
      <c r="W311" s="46" t="s">
        <v>555</v>
      </c>
      <c r="X311" s="46" t="s">
        <v>555</v>
      </c>
      <c r="Y311" s="46" t="s">
        <v>555</v>
      </c>
      <c r="Z311" s="46" t="s">
        <v>555</v>
      </c>
    </row>
    <row r="312" spans="1:26">
      <c r="A312" s="41">
        <f>preset_Names!A312</f>
        <v>308</v>
      </c>
      <c r="B312" t="str">
        <f t="shared" si="13"/>
        <v xml:space="preserve">strcpy(AMP1_A,("Not Used")); strcpy(AMP1_B,("Not Used")); strcpy(AMP1_C,("Not Used")); strcpy(AMP1_D,("Not Used")); </v>
      </c>
      <c r="C312" t="str">
        <f t="shared" si="14"/>
        <v xml:space="preserve">strcpy(AMP2_A,("Not Used")); strcpy(AMP2_B,("Not Used")); strcpy(AMP2_C,("Not Used")); strcpy(AMP2_D,("Not Used")); </v>
      </c>
      <c r="D312" s="31" t="s">
        <v>893</v>
      </c>
      <c r="E312" s="42" t="str">
        <f t="shared" si="12"/>
        <v>case 308: strcpy(AMP1_A,("Not Used")); strcpy(AMP1_B,("Not Used")); strcpy(AMP1_C,("Not Used")); strcpy(AMP1_D,("Not Used")); strcpy(AMP2_A,("Not Used")); strcpy(AMP2_B,("Not Used")); strcpy(AMP2_C,("Not Used")); strcpy(AMP2_D,("Not Used"));  break;</v>
      </c>
      <c r="F312" t="s">
        <v>893</v>
      </c>
      <c r="I312" t="s">
        <v>893</v>
      </c>
      <c r="J312" s="45" t="str">
        <f>VLOOKUP(S312,'AMP models AxeFxIII'!$D$2:$H$299,2,FALSE)</f>
        <v>Not Used</v>
      </c>
      <c r="K312" s="45" t="str">
        <f>VLOOKUP(T312,'AMP models AxeFxIII'!$D$2:$H$299,2,FALSE)</f>
        <v>Not Used</v>
      </c>
      <c r="L312" s="45" t="str">
        <f>VLOOKUP(U312,'AMP models AxeFxIII'!$D$2:$H$299,2,FALSE)</f>
        <v>Not Used</v>
      </c>
      <c r="M312" s="45" t="str">
        <f>VLOOKUP(V312,'AMP models AxeFxIII'!$D$2:$H$299,2,FALSE)</f>
        <v>Not Used</v>
      </c>
      <c r="N312" s="45" t="str">
        <f>VLOOKUP(W312,'AMP models AxeFxIII'!$D$2:$H$299,2,FALSE)</f>
        <v>Not Used</v>
      </c>
      <c r="O312" s="45" t="str">
        <f>VLOOKUP(X312,'AMP models AxeFxIII'!$D$2:$H$299,2,FALSE)</f>
        <v>Not Used</v>
      </c>
      <c r="P312" s="45" t="str">
        <f>VLOOKUP(Y312,'AMP models AxeFxIII'!$D$2:$H$299,2,FALSE)</f>
        <v>Not Used</v>
      </c>
      <c r="Q312" s="45" t="str">
        <f>VLOOKUP(Z312,'AMP models AxeFxIII'!$D$2:$H$299,2,FALSE)</f>
        <v>Not Used</v>
      </c>
      <c r="R312" s="4">
        <v>308</v>
      </c>
      <c r="S312" s="46" t="s">
        <v>555</v>
      </c>
      <c r="T312" s="46" t="s">
        <v>555</v>
      </c>
      <c r="U312" s="46" t="s">
        <v>555</v>
      </c>
      <c r="V312" s="46" t="s">
        <v>555</v>
      </c>
      <c r="W312" s="46" t="s">
        <v>555</v>
      </c>
      <c r="X312" s="46" t="s">
        <v>555</v>
      </c>
      <c r="Y312" s="46" t="s">
        <v>555</v>
      </c>
      <c r="Z312" s="46" t="s">
        <v>555</v>
      </c>
    </row>
    <row r="313" spans="1:26">
      <c r="A313" s="41">
        <f>preset_Names!A313</f>
        <v>309</v>
      </c>
      <c r="B313" t="str">
        <f t="shared" si="13"/>
        <v xml:space="preserve">strcpy(AMP1_A,("Not Used")); strcpy(AMP1_B,("Not Used")); strcpy(AMP1_C,("Not Used")); strcpy(AMP1_D,("Not Used")); </v>
      </c>
      <c r="C313" t="str">
        <f t="shared" si="14"/>
        <v xml:space="preserve">strcpy(AMP2_A,("Not Used")); strcpy(AMP2_B,("Not Used")); strcpy(AMP2_C,("Not Used")); strcpy(AMP2_D,("Not Used")); </v>
      </c>
      <c r="D313" s="31" t="s">
        <v>893</v>
      </c>
      <c r="E313" s="42" t="str">
        <f t="shared" si="12"/>
        <v>case 309: strcpy(AMP1_A,("Not Used")); strcpy(AMP1_B,("Not Used")); strcpy(AMP1_C,("Not Used")); strcpy(AMP1_D,("Not Used")); strcpy(AMP2_A,("Not Used")); strcpy(AMP2_B,("Not Used")); strcpy(AMP2_C,("Not Used")); strcpy(AMP2_D,("Not Used"));  break;</v>
      </c>
      <c r="F313" t="s">
        <v>893</v>
      </c>
      <c r="I313" t="s">
        <v>893</v>
      </c>
      <c r="J313" s="45" t="str">
        <f>VLOOKUP(S313,'AMP models AxeFxIII'!$D$2:$H$299,2,FALSE)</f>
        <v>Not Used</v>
      </c>
      <c r="K313" s="45" t="str">
        <f>VLOOKUP(T313,'AMP models AxeFxIII'!$D$2:$H$299,2,FALSE)</f>
        <v>Not Used</v>
      </c>
      <c r="L313" s="45" t="str">
        <f>VLOOKUP(U313,'AMP models AxeFxIII'!$D$2:$H$299,2,FALSE)</f>
        <v>Not Used</v>
      </c>
      <c r="M313" s="45" t="str">
        <f>VLOOKUP(V313,'AMP models AxeFxIII'!$D$2:$H$299,2,FALSE)</f>
        <v>Not Used</v>
      </c>
      <c r="N313" s="45" t="str">
        <f>VLOOKUP(W313,'AMP models AxeFxIII'!$D$2:$H$299,2,FALSE)</f>
        <v>Not Used</v>
      </c>
      <c r="O313" s="45" t="str">
        <f>VLOOKUP(X313,'AMP models AxeFxIII'!$D$2:$H$299,2,FALSE)</f>
        <v>Not Used</v>
      </c>
      <c r="P313" s="45" t="str">
        <f>VLOOKUP(Y313,'AMP models AxeFxIII'!$D$2:$H$299,2,FALSE)</f>
        <v>Not Used</v>
      </c>
      <c r="Q313" s="45" t="str">
        <f>VLOOKUP(Z313,'AMP models AxeFxIII'!$D$2:$H$299,2,FALSE)</f>
        <v>Not Used</v>
      </c>
      <c r="R313" s="4">
        <v>309</v>
      </c>
      <c r="S313" s="46" t="s">
        <v>555</v>
      </c>
      <c r="T313" s="46" t="s">
        <v>555</v>
      </c>
      <c r="U313" s="46" t="s">
        <v>555</v>
      </c>
      <c r="V313" s="46" t="s">
        <v>555</v>
      </c>
      <c r="W313" s="46" t="s">
        <v>555</v>
      </c>
      <c r="X313" s="46" t="s">
        <v>555</v>
      </c>
      <c r="Y313" s="46" t="s">
        <v>555</v>
      </c>
      <c r="Z313" s="46" t="s">
        <v>555</v>
      </c>
    </row>
    <row r="314" spans="1:26">
      <c r="A314" s="41">
        <f>preset_Names!A314</f>
        <v>310</v>
      </c>
      <c r="B314" t="str">
        <f t="shared" si="13"/>
        <v xml:space="preserve">strcpy(AMP1_A,("Not Used")); strcpy(AMP1_B,("Not Used")); strcpy(AMP1_C,("Not Used")); strcpy(AMP1_D,("Not Used")); </v>
      </c>
      <c r="C314" t="str">
        <f t="shared" si="14"/>
        <v xml:space="preserve">strcpy(AMP2_A,("Not Used")); strcpy(AMP2_B,("Not Used")); strcpy(AMP2_C,("Not Used")); strcpy(AMP2_D,("Not Used")); </v>
      </c>
      <c r="D314" s="31" t="s">
        <v>893</v>
      </c>
      <c r="E314" s="42" t="str">
        <f t="shared" si="12"/>
        <v>case 310: strcpy(AMP1_A,("Not Used")); strcpy(AMP1_B,("Not Used")); strcpy(AMP1_C,("Not Used")); strcpy(AMP1_D,("Not Used")); strcpy(AMP2_A,("Not Used")); strcpy(AMP2_B,("Not Used")); strcpy(AMP2_C,("Not Used")); strcpy(AMP2_D,("Not Used"));  break;</v>
      </c>
      <c r="F314" t="s">
        <v>893</v>
      </c>
      <c r="I314" t="s">
        <v>893</v>
      </c>
      <c r="J314" s="45" t="str">
        <f>VLOOKUP(S314,'AMP models AxeFxIII'!$D$2:$H$299,2,FALSE)</f>
        <v>Not Used</v>
      </c>
      <c r="K314" s="45" t="str">
        <f>VLOOKUP(T314,'AMP models AxeFxIII'!$D$2:$H$299,2,FALSE)</f>
        <v>Not Used</v>
      </c>
      <c r="L314" s="45" t="str">
        <f>VLOOKUP(U314,'AMP models AxeFxIII'!$D$2:$H$299,2,FALSE)</f>
        <v>Not Used</v>
      </c>
      <c r="M314" s="45" t="str">
        <f>VLOOKUP(V314,'AMP models AxeFxIII'!$D$2:$H$299,2,FALSE)</f>
        <v>Not Used</v>
      </c>
      <c r="N314" s="45" t="str">
        <f>VLOOKUP(W314,'AMP models AxeFxIII'!$D$2:$H$299,2,FALSE)</f>
        <v>Not Used</v>
      </c>
      <c r="O314" s="45" t="str">
        <f>VLOOKUP(X314,'AMP models AxeFxIII'!$D$2:$H$299,2,FALSE)</f>
        <v>Not Used</v>
      </c>
      <c r="P314" s="45" t="str">
        <f>VLOOKUP(Y314,'AMP models AxeFxIII'!$D$2:$H$299,2,FALSE)</f>
        <v>Not Used</v>
      </c>
      <c r="Q314" s="45" t="str">
        <f>VLOOKUP(Z314,'AMP models AxeFxIII'!$D$2:$H$299,2,FALSE)</f>
        <v>Not Used</v>
      </c>
      <c r="R314" s="4">
        <v>310</v>
      </c>
      <c r="S314" s="46" t="s">
        <v>555</v>
      </c>
      <c r="T314" s="46" t="s">
        <v>555</v>
      </c>
      <c r="U314" s="46" t="s">
        <v>555</v>
      </c>
      <c r="V314" s="46" t="s">
        <v>555</v>
      </c>
      <c r="W314" s="46" t="s">
        <v>555</v>
      </c>
      <c r="X314" s="46" t="s">
        <v>555</v>
      </c>
      <c r="Y314" s="46" t="s">
        <v>555</v>
      </c>
      <c r="Z314" s="46" t="s">
        <v>555</v>
      </c>
    </row>
    <row r="315" spans="1:26">
      <c r="A315" s="41">
        <f>preset_Names!A315</f>
        <v>311</v>
      </c>
      <c r="B315" t="str">
        <f t="shared" si="13"/>
        <v xml:space="preserve">strcpy(AMP1_A,("Not Used")); strcpy(AMP1_B,("Not Used")); strcpy(AMP1_C,("Not Used")); strcpy(AMP1_D,("Not Used")); </v>
      </c>
      <c r="C315" t="str">
        <f t="shared" si="14"/>
        <v xml:space="preserve">strcpy(AMP2_A,("Not Used")); strcpy(AMP2_B,("Not Used")); strcpy(AMP2_C,("Not Used")); strcpy(AMP2_D,("Not Used")); </v>
      </c>
      <c r="D315" s="31" t="s">
        <v>893</v>
      </c>
      <c r="E315" s="42" t="str">
        <f t="shared" si="12"/>
        <v>case 311: strcpy(AMP1_A,("Not Used")); strcpy(AMP1_B,("Not Used")); strcpy(AMP1_C,("Not Used")); strcpy(AMP1_D,("Not Used")); strcpy(AMP2_A,("Not Used")); strcpy(AMP2_B,("Not Used")); strcpy(AMP2_C,("Not Used")); strcpy(AMP2_D,("Not Used"));  break;</v>
      </c>
      <c r="F315" t="s">
        <v>893</v>
      </c>
      <c r="I315" t="s">
        <v>893</v>
      </c>
      <c r="J315" s="45" t="str">
        <f>VLOOKUP(S315,'AMP models AxeFxIII'!$D$2:$H$299,2,FALSE)</f>
        <v>Not Used</v>
      </c>
      <c r="K315" s="45" t="str">
        <f>VLOOKUP(T315,'AMP models AxeFxIII'!$D$2:$H$299,2,FALSE)</f>
        <v>Not Used</v>
      </c>
      <c r="L315" s="45" t="str">
        <f>VLOOKUP(U315,'AMP models AxeFxIII'!$D$2:$H$299,2,FALSE)</f>
        <v>Not Used</v>
      </c>
      <c r="M315" s="45" t="str">
        <f>VLOOKUP(V315,'AMP models AxeFxIII'!$D$2:$H$299,2,FALSE)</f>
        <v>Not Used</v>
      </c>
      <c r="N315" s="45" t="str">
        <f>VLOOKUP(W315,'AMP models AxeFxIII'!$D$2:$H$299,2,FALSE)</f>
        <v>Not Used</v>
      </c>
      <c r="O315" s="45" t="str">
        <f>VLOOKUP(X315,'AMP models AxeFxIII'!$D$2:$H$299,2,FALSE)</f>
        <v>Not Used</v>
      </c>
      <c r="P315" s="45" t="str">
        <f>VLOOKUP(Y315,'AMP models AxeFxIII'!$D$2:$H$299,2,FALSE)</f>
        <v>Not Used</v>
      </c>
      <c r="Q315" s="45" t="str">
        <f>VLOOKUP(Z315,'AMP models AxeFxIII'!$D$2:$H$299,2,FALSE)</f>
        <v>Not Used</v>
      </c>
      <c r="R315" s="4">
        <v>311</v>
      </c>
      <c r="S315" s="46" t="s">
        <v>555</v>
      </c>
      <c r="T315" s="46" t="s">
        <v>555</v>
      </c>
      <c r="U315" s="46" t="s">
        <v>555</v>
      </c>
      <c r="V315" s="46" t="s">
        <v>555</v>
      </c>
      <c r="W315" s="46" t="s">
        <v>555</v>
      </c>
      <c r="X315" s="46" t="s">
        <v>555</v>
      </c>
      <c r="Y315" s="46" t="s">
        <v>555</v>
      </c>
      <c r="Z315" s="46" t="s">
        <v>555</v>
      </c>
    </row>
    <row r="316" spans="1:26">
      <c r="A316" s="41">
        <f>preset_Names!A316</f>
        <v>312</v>
      </c>
      <c r="B316" t="str">
        <f t="shared" si="13"/>
        <v xml:space="preserve">strcpy(AMP1_A,("Not Used")); strcpy(AMP1_B,("Not Used")); strcpy(AMP1_C,("Not Used")); strcpy(AMP1_D,("Not Used")); </v>
      </c>
      <c r="C316" t="str">
        <f t="shared" si="14"/>
        <v xml:space="preserve">strcpy(AMP2_A,("Not Used")); strcpy(AMP2_B,("Not Used")); strcpy(AMP2_C,("Not Used")); strcpy(AMP2_D,("Not Used")); </v>
      </c>
      <c r="D316" s="31" t="s">
        <v>893</v>
      </c>
      <c r="E316" s="42" t="str">
        <f t="shared" si="12"/>
        <v>case 312: strcpy(AMP1_A,("Not Used")); strcpy(AMP1_B,("Not Used")); strcpy(AMP1_C,("Not Used")); strcpy(AMP1_D,("Not Used")); strcpy(AMP2_A,("Not Used")); strcpy(AMP2_B,("Not Used")); strcpy(AMP2_C,("Not Used")); strcpy(AMP2_D,("Not Used"));  break;</v>
      </c>
      <c r="F316" t="s">
        <v>893</v>
      </c>
      <c r="I316" t="s">
        <v>893</v>
      </c>
      <c r="J316" s="45" t="str">
        <f>VLOOKUP(S316,'AMP models AxeFxIII'!$D$2:$H$299,2,FALSE)</f>
        <v>Not Used</v>
      </c>
      <c r="K316" s="45" t="str">
        <f>VLOOKUP(T316,'AMP models AxeFxIII'!$D$2:$H$299,2,FALSE)</f>
        <v>Not Used</v>
      </c>
      <c r="L316" s="45" t="str">
        <f>VLOOKUP(U316,'AMP models AxeFxIII'!$D$2:$H$299,2,FALSE)</f>
        <v>Not Used</v>
      </c>
      <c r="M316" s="45" t="str">
        <f>VLOOKUP(V316,'AMP models AxeFxIII'!$D$2:$H$299,2,FALSE)</f>
        <v>Not Used</v>
      </c>
      <c r="N316" s="45" t="str">
        <f>VLOOKUP(W316,'AMP models AxeFxIII'!$D$2:$H$299,2,FALSE)</f>
        <v>Not Used</v>
      </c>
      <c r="O316" s="45" t="str">
        <f>VLOOKUP(X316,'AMP models AxeFxIII'!$D$2:$H$299,2,FALSE)</f>
        <v>Not Used</v>
      </c>
      <c r="P316" s="45" t="str">
        <f>VLOOKUP(Y316,'AMP models AxeFxIII'!$D$2:$H$299,2,FALSE)</f>
        <v>Not Used</v>
      </c>
      <c r="Q316" s="45" t="str">
        <f>VLOOKUP(Z316,'AMP models AxeFxIII'!$D$2:$H$299,2,FALSE)</f>
        <v>Not Used</v>
      </c>
      <c r="R316" s="4">
        <v>312</v>
      </c>
      <c r="S316" s="46" t="s">
        <v>555</v>
      </c>
      <c r="T316" s="46" t="s">
        <v>555</v>
      </c>
      <c r="U316" s="46" t="s">
        <v>555</v>
      </c>
      <c r="V316" s="46" t="s">
        <v>555</v>
      </c>
      <c r="W316" s="46" t="s">
        <v>555</v>
      </c>
      <c r="X316" s="46" t="s">
        <v>555</v>
      </c>
      <c r="Y316" s="46" t="s">
        <v>555</v>
      </c>
      <c r="Z316" s="46" t="s">
        <v>555</v>
      </c>
    </row>
    <row r="317" spans="1:26">
      <c r="A317" s="41">
        <f>preset_Names!A317</f>
        <v>313</v>
      </c>
      <c r="B317" t="str">
        <f t="shared" si="13"/>
        <v xml:space="preserve">strcpy(AMP1_A,("Not Used")); strcpy(AMP1_B,("Not Used")); strcpy(AMP1_C,("Not Used")); strcpy(AMP1_D,("Not Used")); </v>
      </c>
      <c r="C317" t="str">
        <f t="shared" si="14"/>
        <v xml:space="preserve">strcpy(AMP2_A,("Not Used")); strcpy(AMP2_B,("Not Used")); strcpy(AMP2_C,("Not Used")); strcpy(AMP2_D,("Not Used")); </v>
      </c>
      <c r="D317" s="31" t="s">
        <v>893</v>
      </c>
      <c r="E317" s="42" t="str">
        <f t="shared" si="12"/>
        <v>case 313: strcpy(AMP1_A,("Not Used")); strcpy(AMP1_B,("Not Used")); strcpy(AMP1_C,("Not Used")); strcpy(AMP1_D,("Not Used")); strcpy(AMP2_A,("Not Used")); strcpy(AMP2_B,("Not Used")); strcpy(AMP2_C,("Not Used")); strcpy(AMP2_D,("Not Used"));  break;</v>
      </c>
      <c r="F317" t="s">
        <v>893</v>
      </c>
      <c r="I317" t="s">
        <v>893</v>
      </c>
      <c r="J317" s="45" t="str">
        <f>VLOOKUP(S317,'AMP models AxeFxIII'!$D$2:$H$299,2,FALSE)</f>
        <v>Not Used</v>
      </c>
      <c r="K317" s="45" t="str">
        <f>VLOOKUP(T317,'AMP models AxeFxIII'!$D$2:$H$299,2,FALSE)</f>
        <v>Not Used</v>
      </c>
      <c r="L317" s="45" t="str">
        <f>VLOOKUP(U317,'AMP models AxeFxIII'!$D$2:$H$299,2,FALSE)</f>
        <v>Not Used</v>
      </c>
      <c r="M317" s="45" t="str">
        <f>VLOOKUP(V317,'AMP models AxeFxIII'!$D$2:$H$299,2,FALSE)</f>
        <v>Not Used</v>
      </c>
      <c r="N317" s="45" t="str">
        <f>VLOOKUP(W317,'AMP models AxeFxIII'!$D$2:$H$299,2,FALSE)</f>
        <v>Not Used</v>
      </c>
      <c r="O317" s="45" t="str">
        <f>VLOOKUP(X317,'AMP models AxeFxIII'!$D$2:$H$299,2,FALSE)</f>
        <v>Not Used</v>
      </c>
      <c r="P317" s="45" t="str">
        <f>VLOOKUP(Y317,'AMP models AxeFxIII'!$D$2:$H$299,2,FALSE)</f>
        <v>Not Used</v>
      </c>
      <c r="Q317" s="45" t="str">
        <f>VLOOKUP(Z317,'AMP models AxeFxIII'!$D$2:$H$299,2,FALSE)</f>
        <v>Not Used</v>
      </c>
      <c r="R317" s="4">
        <v>313</v>
      </c>
      <c r="S317" s="46" t="s">
        <v>555</v>
      </c>
      <c r="T317" s="46" t="s">
        <v>555</v>
      </c>
      <c r="U317" s="46" t="s">
        <v>555</v>
      </c>
      <c r="V317" s="46" t="s">
        <v>555</v>
      </c>
      <c r="W317" s="46" t="s">
        <v>555</v>
      </c>
      <c r="X317" s="46" t="s">
        <v>555</v>
      </c>
      <c r="Y317" s="46" t="s">
        <v>555</v>
      </c>
      <c r="Z317" s="46" t="s">
        <v>555</v>
      </c>
    </row>
    <row r="318" spans="1:26">
      <c r="A318" s="41">
        <f>preset_Names!A318</f>
        <v>314</v>
      </c>
      <c r="B318" t="str">
        <f t="shared" si="13"/>
        <v xml:space="preserve">strcpy(AMP1_A,("Not Used")); strcpy(AMP1_B,("Not Used")); strcpy(AMP1_C,("Not Used")); strcpy(AMP1_D,("Not Used")); </v>
      </c>
      <c r="C318" t="str">
        <f t="shared" si="14"/>
        <v xml:space="preserve">strcpy(AMP2_A,("Not Used")); strcpy(AMP2_B,("Not Used")); strcpy(AMP2_C,("Not Used")); strcpy(AMP2_D,("Not Used")); </v>
      </c>
      <c r="D318" s="31" t="s">
        <v>893</v>
      </c>
      <c r="E318" s="42" t="str">
        <f t="shared" si="12"/>
        <v>case 314: strcpy(AMP1_A,("Not Used")); strcpy(AMP1_B,("Not Used")); strcpy(AMP1_C,("Not Used")); strcpy(AMP1_D,("Not Used")); strcpy(AMP2_A,("Not Used")); strcpy(AMP2_B,("Not Used")); strcpy(AMP2_C,("Not Used")); strcpy(AMP2_D,("Not Used"));  break;</v>
      </c>
      <c r="F318" t="s">
        <v>893</v>
      </c>
      <c r="I318" t="s">
        <v>893</v>
      </c>
      <c r="J318" s="45" t="str">
        <f>VLOOKUP(S318,'AMP models AxeFxIII'!$D$2:$H$299,2,FALSE)</f>
        <v>Not Used</v>
      </c>
      <c r="K318" s="45" t="str">
        <f>VLOOKUP(T318,'AMP models AxeFxIII'!$D$2:$H$299,2,FALSE)</f>
        <v>Not Used</v>
      </c>
      <c r="L318" s="45" t="str">
        <f>VLOOKUP(U318,'AMP models AxeFxIII'!$D$2:$H$299,2,FALSE)</f>
        <v>Not Used</v>
      </c>
      <c r="M318" s="45" t="str">
        <f>VLOOKUP(V318,'AMP models AxeFxIII'!$D$2:$H$299,2,FALSE)</f>
        <v>Not Used</v>
      </c>
      <c r="N318" s="45" t="str">
        <f>VLOOKUP(W318,'AMP models AxeFxIII'!$D$2:$H$299,2,FALSE)</f>
        <v>Not Used</v>
      </c>
      <c r="O318" s="45" t="str">
        <f>VLOOKUP(X318,'AMP models AxeFxIII'!$D$2:$H$299,2,FALSE)</f>
        <v>Not Used</v>
      </c>
      <c r="P318" s="45" t="str">
        <f>VLOOKUP(Y318,'AMP models AxeFxIII'!$D$2:$H$299,2,FALSE)</f>
        <v>Not Used</v>
      </c>
      <c r="Q318" s="45" t="str">
        <f>VLOOKUP(Z318,'AMP models AxeFxIII'!$D$2:$H$299,2,FALSE)</f>
        <v>Not Used</v>
      </c>
      <c r="R318" s="4">
        <v>314</v>
      </c>
      <c r="S318" s="46" t="s">
        <v>555</v>
      </c>
      <c r="T318" s="46" t="s">
        <v>555</v>
      </c>
      <c r="U318" s="46" t="s">
        <v>555</v>
      </c>
      <c r="V318" s="46" t="s">
        <v>555</v>
      </c>
      <c r="W318" s="46" t="s">
        <v>555</v>
      </c>
      <c r="X318" s="46" t="s">
        <v>555</v>
      </c>
      <c r="Y318" s="46" t="s">
        <v>555</v>
      </c>
      <c r="Z318" s="46" t="s">
        <v>555</v>
      </c>
    </row>
    <row r="319" spans="1:26">
      <c r="A319" s="41">
        <f>preset_Names!A319</f>
        <v>315</v>
      </c>
      <c r="B319" t="str">
        <f t="shared" si="13"/>
        <v xml:space="preserve">strcpy(AMP1_A,("Not Used")); strcpy(AMP1_B,("Not Used")); strcpy(AMP1_C,("Not Used")); strcpy(AMP1_D,("Not Used")); </v>
      </c>
      <c r="C319" t="str">
        <f t="shared" si="14"/>
        <v xml:space="preserve">strcpy(AMP2_A,("Not Used")); strcpy(AMP2_B,("Not Used")); strcpy(AMP2_C,("Not Used")); strcpy(AMP2_D,("Not Used")); </v>
      </c>
      <c r="D319" s="31" t="s">
        <v>893</v>
      </c>
      <c r="E319" s="42" t="str">
        <f t="shared" si="12"/>
        <v>case 315: strcpy(AMP1_A,("Not Used")); strcpy(AMP1_B,("Not Used")); strcpy(AMP1_C,("Not Used")); strcpy(AMP1_D,("Not Used")); strcpy(AMP2_A,("Not Used")); strcpy(AMP2_B,("Not Used")); strcpy(AMP2_C,("Not Used")); strcpy(AMP2_D,("Not Used"));  break;</v>
      </c>
      <c r="F319" t="s">
        <v>893</v>
      </c>
      <c r="I319" t="s">
        <v>893</v>
      </c>
      <c r="J319" s="45" t="str">
        <f>VLOOKUP(S319,'AMP models AxeFxIII'!$D$2:$H$299,2,FALSE)</f>
        <v>Not Used</v>
      </c>
      <c r="K319" s="45" t="str">
        <f>VLOOKUP(T319,'AMP models AxeFxIII'!$D$2:$H$299,2,FALSE)</f>
        <v>Not Used</v>
      </c>
      <c r="L319" s="45" t="str">
        <f>VLOOKUP(U319,'AMP models AxeFxIII'!$D$2:$H$299,2,FALSE)</f>
        <v>Not Used</v>
      </c>
      <c r="M319" s="45" t="str">
        <f>VLOOKUP(V319,'AMP models AxeFxIII'!$D$2:$H$299,2,FALSE)</f>
        <v>Not Used</v>
      </c>
      <c r="N319" s="45" t="str">
        <f>VLOOKUP(W319,'AMP models AxeFxIII'!$D$2:$H$299,2,FALSE)</f>
        <v>Not Used</v>
      </c>
      <c r="O319" s="45" t="str">
        <f>VLOOKUP(X319,'AMP models AxeFxIII'!$D$2:$H$299,2,FALSE)</f>
        <v>Not Used</v>
      </c>
      <c r="P319" s="45" t="str">
        <f>VLOOKUP(Y319,'AMP models AxeFxIII'!$D$2:$H$299,2,FALSE)</f>
        <v>Not Used</v>
      </c>
      <c r="Q319" s="45" t="str">
        <f>VLOOKUP(Z319,'AMP models AxeFxIII'!$D$2:$H$299,2,FALSE)</f>
        <v>Not Used</v>
      </c>
      <c r="R319" s="4">
        <v>315</v>
      </c>
      <c r="S319" s="46" t="s">
        <v>555</v>
      </c>
      <c r="T319" s="46" t="s">
        <v>555</v>
      </c>
      <c r="U319" s="46" t="s">
        <v>555</v>
      </c>
      <c r="V319" s="46" t="s">
        <v>555</v>
      </c>
      <c r="W319" s="46" t="s">
        <v>555</v>
      </c>
      <c r="X319" s="46" t="s">
        <v>555</v>
      </c>
      <c r="Y319" s="46" t="s">
        <v>555</v>
      </c>
      <c r="Z319" s="46" t="s">
        <v>555</v>
      </c>
    </row>
    <row r="320" spans="1:26">
      <c r="A320" s="41">
        <f>preset_Names!A320</f>
        <v>316</v>
      </c>
      <c r="B320" t="str">
        <f t="shared" si="13"/>
        <v xml:space="preserve">strcpy(AMP1_A,("Not Used")); strcpy(AMP1_B,("Not Used")); strcpy(AMP1_C,("Not Used")); strcpy(AMP1_D,("Not Used")); </v>
      </c>
      <c r="C320" t="str">
        <f t="shared" si="14"/>
        <v xml:space="preserve">strcpy(AMP2_A,("Not Used")); strcpy(AMP2_B,("Not Used")); strcpy(AMP2_C,("Not Used")); strcpy(AMP2_D,("Not Used")); </v>
      </c>
      <c r="D320" s="31" t="s">
        <v>893</v>
      </c>
      <c r="E320" s="42" t="str">
        <f t="shared" si="12"/>
        <v>case 316: strcpy(AMP1_A,("Not Used")); strcpy(AMP1_B,("Not Used")); strcpy(AMP1_C,("Not Used")); strcpy(AMP1_D,("Not Used")); strcpy(AMP2_A,("Not Used")); strcpy(AMP2_B,("Not Used")); strcpy(AMP2_C,("Not Used")); strcpy(AMP2_D,("Not Used"));  break;</v>
      </c>
      <c r="F320" t="s">
        <v>893</v>
      </c>
      <c r="I320" t="s">
        <v>893</v>
      </c>
      <c r="J320" s="45" t="str">
        <f>VLOOKUP(S320,'AMP models AxeFxIII'!$D$2:$H$299,2,FALSE)</f>
        <v>Not Used</v>
      </c>
      <c r="K320" s="45" t="str">
        <f>VLOOKUP(T320,'AMP models AxeFxIII'!$D$2:$H$299,2,FALSE)</f>
        <v>Not Used</v>
      </c>
      <c r="L320" s="45" t="str">
        <f>VLOOKUP(U320,'AMP models AxeFxIII'!$D$2:$H$299,2,FALSE)</f>
        <v>Not Used</v>
      </c>
      <c r="M320" s="45" t="str">
        <f>VLOOKUP(V320,'AMP models AxeFxIII'!$D$2:$H$299,2,FALSE)</f>
        <v>Not Used</v>
      </c>
      <c r="N320" s="45" t="str">
        <f>VLOOKUP(W320,'AMP models AxeFxIII'!$D$2:$H$299,2,FALSE)</f>
        <v>Not Used</v>
      </c>
      <c r="O320" s="45" t="str">
        <f>VLOOKUP(X320,'AMP models AxeFxIII'!$D$2:$H$299,2,FALSE)</f>
        <v>Not Used</v>
      </c>
      <c r="P320" s="45" t="str">
        <f>VLOOKUP(Y320,'AMP models AxeFxIII'!$D$2:$H$299,2,FALSE)</f>
        <v>Not Used</v>
      </c>
      <c r="Q320" s="45" t="str">
        <f>VLOOKUP(Z320,'AMP models AxeFxIII'!$D$2:$H$299,2,FALSE)</f>
        <v>Not Used</v>
      </c>
      <c r="R320" s="4">
        <v>316</v>
      </c>
      <c r="S320" s="46" t="s">
        <v>555</v>
      </c>
      <c r="T320" s="46" t="s">
        <v>555</v>
      </c>
      <c r="U320" s="46" t="s">
        <v>555</v>
      </c>
      <c r="V320" s="46" t="s">
        <v>555</v>
      </c>
      <c r="W320" s="46" t="s">
        <v>555</v>
      </c>
      <c r="X320" s="46" t="s">
        <v>555</v>
      </c>
      <c r="Y320" s="46" t="s">
        <v>555</v>
      </c>
      <c r="Z320" s="46" t="s">
        <v>555</v>
      </c>
    </row>
    <row r="321" spans="1:26">
      <c r="A321" s="41">
        <f>preset_Names!A321</f>
        <v>317</v>
      </c>
      <c r="B321" t="str">
        <f t="shared" si="13"/>
        <v xml:space="preserve">strcpy(AMP1_A,("Not Used")); strcpy(AMP1_B,("Not Used")); strcpy(AMP1_C,("Not Used")); strcpy(AMP1_D,("Not Used")); </v>
      </c>
      <c r="C321" t="str">
        <f t="shared" si="14"/>
        <v xml:space="preserve">strcpy(AMP2_A,("Not Used")); strcpy(AMP2_B,("Not Used")); strcpy(AMP2_C,("Not Used")); strcpy(AMP2_D,("Not Used")); </v>
      </c>
      <c r="D321" s="31" t="s">
        <v>893</v>
      </c>
      <c r="E321" s="42" t="str">
        <f t="shared" si="12"/>
        <v>case 317: strcpy(AMP1_A,("Not Used")); strcpy(AMP1_B,("Not Used")); strcpy(AMP1_C,("Not Used")); strcpy(AMP1_D,("Not Used")); strcpy(AMP2_A,("Not Used")); strcpy(AMP2_B,("Not Used")); strcpy(AMP2_C,("Not Used")); strcpy(AMP2_D,("Not Used"));  break;</v>
      </c>
      <c r="F321" t="s">
        <v>893</v>
      </c>
      <c r="I321" t="s">
        <v>893</v>
      </c>
      <c r="J321" s="45" t="str">
        <f>VLOOKUP(S321,'AMP models AxeFxIII'!$D$2:$H$299,2,FALSE)</f>
        <v>Not Used</v>
      </c>
      <c r="K321" s="45" t="str">
        <f>VLOOKUP(T321,'AMP models AxeFxIII'!$D$2:$H$299,2,FALSE)</f>
        <v>Not Used</v>
      </c>
      <c r="L321" s="45" t="str">
        <f>VLOOKUP(U321,'AMP models AxeFxIII'!$D$2:$H$299,2,FALSE)</f>
        <v>Not Used</v>
      </c>
      <c r="M321" s="45" t="str">
        <f>VLOOKUP(V321,'AMP models AxeFxIII'!$D$2:$H$299,2,FALSE)</f>
        <v>Not Used</v>
      </c>
      <c r="N321" s="45" t="str">
        <f>VLOOKUP(W321,'AMP models AxeFxIII'!$D$2:$H$299,2,FALSE)</f>
        <v>Not Used</v>
      </c>
      <c r="O321" s="45" t="str">
        <f>VLOOKUP(X321,'AMP models AxeFxIII'!$D$2:$H$299,2,FALSE)</f>
        <v>Not Used</v>
      </c>
      <c r="P321" s="45" t="str">
        <f>VLOOKUP(Y321,'AMP models AxeFxIII'!$D$2:$H$299,2,FALSE)</f>
        <v>Not Used</v>
      </c>
      <c r="Q321" s="45" t="str">
        <f>VLOOKUP(Z321,'AMP models AxeFxIII'!$D$2:$H$299,2,FALSE)</f>
        <v>Not Used</v>
      </c>
      <c r="R321" s="4">
        <v>317</v>
      </c>
      <c r="S321" s="46" t="s">
        <v>555</v>
      </c>
      <c r="T321" s="46" t="s">
        <v>555</v>
      </c>
      <c r="U321" s="46" t="s">
        <v>555</v>
      </c>
      <c r="V321" s="46" t="s">
        <v>555</v>
      </c>
      <c r="W321" s="46" t="s">
        <v>555</v>
      </c>
      <c r="X321" s="46" t="s">
        <v>555</v>
      </c>
      <c r="Y321" s="46" t="s">
        <v>555</v>
      </c>
      <c r="Z321" s="46" t="s">
        <v>555</v>
      </c>
    </row>
    <row r="322" spans="1:26">
      <c r="A322" s="41">
        <f>preset_Names!A322</f>
        <v>318</v>
      </c>
      <c r="B322" t="str">
        <f t="shared" si="13"/>
        <v xml:space="preserve">strcpy(AMP1_A,("Not Used")); strcpy(AMP1_B,("Not Used")); strcpy(AMP1_C,("Not Used")); strcpy(AMP1_D,("Not Used")); </v>
      </c>
      <c r="C322" t="str">
        <f t="shared" si="14"/>
        <v xml:space="preserve">strcpy(AMP2_A,("Not Used")); strcpy(AMP2_B,("Not Used")); strcpy(AMP2_C,("Not Used")); strcpy(AMP2_D,("Not Used")); </v>
      </c>
      <c r="D322" s="31" t="s">
        <v>893</v>
      </c>
      <c r="E322" s="42" t="str">
        <f t="shared" si="12"/>
        <v>case 318: strcpy(AMP1_A,("Not Used")); strcpy(AMP1_B,("Not Used")); strcpy(AMP1_C,("Not Used")); strcpy(AMP1_D,("Not Used")); strcpy(AMP2_A,("Not Used")); strcpy(AMP2_B,("Not Used")); strcpy(AMP2_C,("Not Used")); strcpy(AMP2_D,("Not Used"));  break;</v>
      </c>
      <c r="F322" t="s">
        <v>893</v>
      </c>
      <c r="I322" t="s">
        <v>893</v>
      </c>
      <c r="J322" s="45" t="str">
        <f>VLOOKUP(S322,'AMP models AxeFxIII'!$D$2:$H$299,2,FALSE)</f>
        <v>Not Used</v>
      </c>
      <c r="K322" s="45" t="str">
        <f>VLOOKUP(T322,'AMP models AxeFxIII'!$D$2:$H$299,2,FALSE)</f>
        <v>Not Used</v>
      </c>
      <c r="L322" s="45" t="str">
        <f>VLOOKUP(U322,'AMP models AxeFxIII'!$D$2:$H$299,2,FALSE)</f>
        <v>Not Used</v>
      </c>
      <c r="M322" s="45" t="str">
        <f>VLOOKUP(V322,'AMP models AxeFxIII'!$D$2:$H$299,2,FALSE)</f>
        <v>Not Used</v>
      </c>
      <c r="N322" s="45" t="str">
        <f>VLOOKUP(W322,'AMP models AxeFxIII'!$D$2:$H$299,2,FALSE)</f>
        <v>Not Used</v>
      </c>
      <c r="O322" s="45" t="str">
        <f>VLOOKUP(X322,'AMP models AxeFxIII'!$D$2:$H$299,2,FALSE)</f>
        <v>Not Used</v>
      </c>
      <c r="P322" s="45" t="str">
        <f>VLOOKUP(Y322,'AMP models AxeFxIII'!$D$2:$H$299,2,FALSE)</f>
        <v>Not Used</v>
      </c>
      <c r="Q322" s="45" t="str">
        <f>VLOOKUP(Z322,'AMP models AxeFxIII'!$D$2:$H$299,2,FALSE)</f>
        <v>Not Used</v>
      </c>
      <c r="R322" s="4">
        <v>318</v>
      </c>
      <c r="S322" s="46" t="s">
        <v>555</v>
      </c>
      <c r="T322" s="46" t="s">
        <v>555</v>
      </c>
      <c r="U322" s="46" t="s">
        <v>555</v>
      </c>
      <c r="V322" s="46" t="s">
        <v>555</v>
      </c>
      <c r="W322" s="46" t="s">
        <v>555</v>
      </c>
      <c r="X322" s="46" t="s">
        <v>555</v>
      </c>
      <c r="Y322" s="46" t="s">
        <v>555</v>
      </c>
      <c r="Z322" s="46" t="s">
        <v>555</v>
      </c>
    </row>
    <row r="323" spans="1:26">
      <c r="A323" s="41">
        <f>preset_Names!A323</f>
        <v>319</v>
      </c>
      <c r="B323" t="str">
        <f t="shared" si="13"/>
        <v xml:space="preserve">strcpy(AMP1_A,("Not Used")); strcpy(AMP1_B,("Not Used")); strcpy(AMP1_C,("Not Used")); strcpy(AMP1_D,("Not Used")); </v>
      </c>
      <c r="C323" t="str">
        <f t="shared" si="14"/>
        <v xml:space="preserve">strcpy(AMP2_A,("Not Used")); strcpy(AMP2_B,("Not Used")); strcpy(AMP2_C,("Not Used")); strcpy(AMP2_D,("Not Used")); </v>
      </c>
      <c r="D323" s="31" t="s">
        <v>893</v>
      </c>
      <c r="E323" s="42" t="str">
        <f t="shared" si="12"/>
        <v>case 319: strcpy(AMP1_A,("Not Used")); strcpy(AMP1_B,("Not Used")); strcpy(AMP1_C,("Not Used")); strcpy(AMP1_D,("Not Used")); strcpy(AMP2_A,("Not Used")); strcpy(AMP2_B,("Not Used")); strcpy(AMP2_C,("Not Used")); strcpy(AMP2_D,("Not Used"));  break;</v>
      </c>
      <c r="F323" t="s">
        <v>893</v>
      </c>
      <c r="I323" t="s">
        <v>893</v>
      </c>
      <c r="J323" s="45" t="str">
        <f>VLOOKUP(S323,'AMP models AxeFxIII'!$D$2:$H$299,2,FALSE)</f>
        <v>Not Used</v>
      </c>
      <c r="K323" s="45" t="str">
        <f>VLOOKUP(T323,'AMP models AxeFxIII'!$D$2:$H$299,2,FALSE)</f>
        <v>Not Used</v>
      </c>
      <c r="L323" s="45" t="str">
        <f>VLOOKUP(U323,'AMP models AxeFxIII'!$D$2:$H$299,2,FALSE)</f>
        <v>Not Used</v>
      </c>
      <c r="M323" s="45" t="str">
        <f>VLOOKUP(V323,'AMP models AxeFxIII'!$D$2:$H$299,2,FALSE)</f>
        <v>Not Used</v>
      </c>
      <c r="N323" s="45" t="str">
        <f>VLOOKUP(W323,'AMP models AxeFxIII'!$D$2:$H$299,2,FALSE)</f>
        <v>Not Used</v>
      </c>
      <c r="O323" s="45" t="str">
        <f>VLOOKUP(X323,'AMP models AxeFxIII'!$D$2:$H$299,2,FALSE)</f>
        <v>Not Used</v>
      </c>
      <c r="P323" s="45" t="str">
        <f>VLOOKUP(Y323,'AMP models AxeFxIII'!$D$2:$H$299,2,FALSE)</f>
        <v>Not Used</v>
      </c>
      <c r="Q323" s="45" t="str">
        <f>VLOOKUP(Z323,'AMP models AxeFxIII'!$D$2:$H$299,2,FALSE)</f>
        <v>Not Used</v>
      </c>
      <c r="R323" s="4">
        <v>319</v>
      </c>
      <c r="S323" s="46" t="s">
        <v>555</v>
      </c>
      <c r="T323" s="46" t="s">
        <v>555</v>
      </c>
      <c r="U323" s="46" t="s">
        <v>555</v>
      </c>
      <c r="V323" s="46" t="s">
        <v>555</v>
      </c>
      <c r="W323" s="46" t="s">
        <v>555</v>
      </c>
      <c r="X323" s="46" t="s">
        <v>555</v>
      </c>
      <c r="Y323" s="46" t="s">
        <v>555</v>
      </c>
      <c r="Z323" s="46" t="s">
        <v>555</v>
      </c>
    </row>
    <row r="324" spans="1:26">
      <c r="A324" s="41">
        <f>preset_Names!A324</f>
        <v>320</v>
      </c>
      <c r="B324" t="str">
        <f t="shared" si="13"/>
        <v xml:space="preserve">strcpy(AMP1_A,("Not Used")); strcpy(AMP1_B,("Not Used")); strcpy(AMP1_C,("Not Used")); strcpy(AMP1_D,("Not Used")); </v>
      </c>
      <c r="C324" t="str">
        <f t="shared" si="14"/>
        <v xml:space="preserve">strcpy(AMP2_A,("Not Used")); strcpy(AMP2_B,("Not Used")); strcpy(AMP2_C,("Not Used")); strcpy(AMP2_D,("Not Used")); </v>
      </c>
      <c r="D324" s="31" t="s">
        <v>893</v>
      </c>
      <c r="E324" s="42" t="str">
        <f t="shared" si="12"/>
        <v>case 320: strcpy(AMP1_A,("Not Used")); strcpy(AMP1_B,("Not Used")); strcpy(AMP1_C,("Not Used")); strcpy(AMP1_D,("Not Used")); strcpy(AMP2_A,("Not Used")); strcpy(AMP2_B,("Not Used")); strcpy(AMP2_C,("Not Used")); strcpy(AMP2_D,("Not Used"));  break;</v>
      </c>
      <c r="F324" t="s">
        <v>893</v>
      </c>
      <c r="I324" t="s">
        <v>893</v>
      </c>
      <c r="J324" s="45" t="str">
        <f>VLOOKUP(S324,'AMP models AxeFxIII'!$D$2:$H$299,2,FALSE)</f>
        <v>Not Used</v>
      </c>
      <c r="K324" s="45" t="str">
        <f>VLOOKUP(T324,'AMP models AxeFxIII'!$D$2:$H$299,2,FALSE)</f>
        <v>Not Used</v>
      </c>
      <c r="L324" s="45" t="str">
        <f>VLOOKUP(U324,'AMP models AxeFxIII'!$D$2:$H$299,2,FALSE)</f>
        <v>Not Used</v>
      </c>
      <c r="M324" s="45" t="str">
        <f>VLOOKUP(V324,'AMP models AxeFxIII'!$D$2:$H$299,2,FALSE)</f>
        <v>Not Used</v>
      </c>
      <c r="N324" s="45" t="str">
        <f>VLOOKUP(W324,'AMP models AxeFxIII'!$D$2:$H$299,2,FALSE)</f>
        <v>Not Used</v>
      </c>
      <c r="O324" s="45" t="str">
        <f>VLOOKUP(X324,'AMP models AxeFxIII'!$D$2:$H$299,2,FALSE)</f>
        <v>Not Used</v>
      </c>
      <c r="P324" s="45" t="str">
        <f>VLOOKUP(Y324,'AMP models AxeFxIII'!$D$2:$H$299,2,FALSE)</f>
        <v>Not Used</v>
      </c>
      <c r="Q324" s="45" t="str">
        <f>VLOOKUP(Z324,'AMP models AxeFxIII'!$D$2:$H$299,2,FALSE)</f>
        <v>Not Used</v>
      </c>
      <c r="R324" s="4">
        <v>320</v>
      </c>
      <c r="S324" s="46" t="s">
        <v>555</v>
      </c>
      <c r="T324" s="46" t="s">
        <v>555</v>
      </c>
      <c r="U324" s="46" t="s">
        <v>555</v>
      </c>
      <c r="V324" s="46" t="s">
        <v>555</v>
      </c>
      <c r="W324" s="46" t="s">
        <v>555</v>
      </c>
      <c r="X324" s="46" t="s">
        <v>555</v>
      </c>
      <c r="Y324" s="46" t="s">
        <v>555</v>
      </c>
      <c r="Z324" s="46" t="s">
        <v>555</v>
      </c>
    </row>
    <row r="325" spans="1:26">
      <c r="A325" s="41">
        <f>preset_Names!A325</f>
        <v>321</v>
      </c>
      <c r="B325" t="str">
        <f t="shared" si="13"/>
        <v xml:space="preserve">strcpy(AMP1_A,("Not Used")); strcpy(AMP1_B,("Not Used")); strcpy(AMP1_C,("Not Used")); strcpy(AMP1_D,("Not Used")); </v>
      </c>
      <c r="C325" t="str">
        <f t="shared" si="14"/>
        <v xml:space="preserve">strcpy(AMP2_A,("Not Used")); strcpy(AMP2_B,("Not Used")); strcpy(AMP2_C,("Not Used")); strcpy(AMP2_D,("Not Used")); </v>
      </c>
      <c r="D325" s="31" t="s">
        <v>893</v>
      </c>
      <c r="E325" s="42" t="str">
        <f t="shared" ref="E325:E388" si="15" xml:space="preserve"> "case " &amp; A325 &amp; ": " &amp; B325 &amp; C325 &amp; " break;"</f>
        <v>case 321: strcpy(AMP1_A,("Not Used")); strcpy(AMP1_B,("Not Used")); strcpy(AMP1_C,("Not Used")); strcpy(AMP1_D,("Not Used")); strcpy(AMP2_A,("Not Used")); strcpy(AMP2_B,("Not Used")); strcpy(AMP2_C,("Not Used")); strcpy(AMP2_D,("Not Used"));  break;</v>
      </c>
      <c r="F325" t="s">
        <v>893</v>
      </c>
      <c r="I325" t="s">
        <v>893</v>
      </c>
      <c r="J325" s="45" t="str">
        <f>VLOOKUP(S325,'AMP models AxeFxIII'!$D$2:$H$299,2,FALSE)</f>
        <v>Not Used</v>
      </c>
      <c r="K325" s="45" t="str">
        <f>VLOOKUP(T325,'AMP models AxeFxIII'!$D$2:$H$299,2,FALSE)</f>
        <v>Not Used</v>
      </c>
      <c r="L325" s="45" t="str">
        <f>VLOOKUP(U325,'AMP models AxeFxIII'!$D$2:$H$299,2,FALSE)</f>
        <v>Not Used</v>
      </c>
      <c r="M325" s="45" t="str">
        <f>VLOOKUP(V325,'AMP models AxeFxIII'!$D$2:$H$299,2,FALSE)</f>
        <v>Not Used</v>
      </c>
      <c r="N325" s="45" t="str">
        <f>VLOOKUP(W325,'AMP models AxeFxIII'!$D$2:$H$299,2,FALSE)</f>
        <v>Not Used</v>
      </c>
      <c r="O325" s="45" t="str">
        <f>VLOOKUP(X325,'AMP models AxeFxIII'!$D$2:$H$299,2,FALSE)</f>
        <v>Not Used</v>
      </c>
      <c r="P325" s="45" t="str">
        <f>VLOOKUP(Y325,'AMP models AxeFxIII'!$D$2:$H$299,2,FALSE)</f>
        <v>Not Used</v>
      </c>
      <c r="Q325" s="45" t="str">
        <f>VLOOKUP(Z325,'AMP models AxeFxIII'!$D$2:$H$299,2,FALSE)</f>
        <v>Not Used</v>
      </c>
      <c r="R325" s="4">
        <v>321</v>
      </c>
      <c r="S325" s="46" t="s">
        <v>555</v>
      </c>
      <c r="T325" s="46" t="s">
        <v>555</v>
      </c>
      <c r="U325" s="46" t="s">
        <v>555</v>
      </c>
      <c r="V325" s="46" t="s">
        <v>555</v>
      </c>
      <c r="W325" s="46" t="s">
        <v>555</v>
      </c>
      <c r="X325" s="46" t="s">
        <v>555</v>
      </c>
      <c r="Y325" s="46" t="s">
        <v>555</v>
      </c>
      <c r="Z325" s="46" t="s">
        <v>555</v>
      </c>
    </row>
    <row r="326" spans="1:26">
      <c r="A326" s="41">
        <f>preset_Names!A326</f>
        <v>322</v>
      </c>
      <c r="B326" t="str">
        <f t="shared" ref="B326:B389" si="16">$F$4&amp;$J$3&amp;$G$4&amp;J326&amp;$H$4&amp;$F$4&amp;$K$3&amp;$G$4&amp;K326&amp;$H$4&amp;$F$4&amp;$L$3&amp;$G$4&amp;L326&amp;$H$4&amp;$F$4&amp;$M$3&amp;$G$4&amp;M326&amp;$H$4</f>
        <v xml:space="preserve">strcpy(AMP1_A,("Not Used")); strcpy(AMP1_B,("Not Used")); strcpy(AMP1_C,("Not Used")); strcpy(AMP1_D,("Not Used")); </v>
      </c>
      <c r="C326" t="str">
        <f t="shared" ref="C326:C389" si="17">$F$4&amp;$N$3&amp;$G$4&amp;N326&amp;$H$4&amp;$F$4&amp;$O$3&amp;$G$4&amp;O326&amp;$H$4&amp;$F$4&amp;$P$3&amp;$G$4&amp;P326&amp;$H$4&amp;$F$4&amp;$Q$3&amp;$G$4&amp;Q326&amp;$H$4</f>
        <v xml:space="preserve">strcpy(AMP2_A,("Not Used")); strcpy(AMP2_B,("Not Used")); strcpy(AMP2_C,("Not Used")); strcpy(AMP2_D,("Not Used")); </v>
      </c>
      <c r="D326" s="31" t="s">
        <v>893</v>
      </c>
      <c r="E326" s="42" t="str">
        <f t="shared" si="15"/>
        <v>case 322: strcpy(AMP1_A,("Not Used")); strcpy(AMP1_B,("Not Used")); strcpy(AMP1_C,("Not Used")); strcpy(AMP1_D,("Not Used")); strcpy(AMP2_A,("Not Used")); strcpy(AMP2_B,("Not Used")); strcpy(AMP2_C,("Not Used")); strcpy(AMP2_D,("Not Used"));  break;</v>
      </c>
      <c r="F326" t="s">
        <v>893</v>
      </c>
      <c r="I326" t="s">
        <v>893</v>
      </c>
      <c r="J326" s="45" t="str">
        <f>VLOOKUP(S326,'AMP models AxeFxIII'!$D$2:$H$299,2,FALSE)</f>
        <v>Not Used</v>
      </c>
      <c r="K326" s="45" t="str">
        <f>VLOOKUP(T326,'AMP models AxeFxIII'!$D$2:$H$299,2,FALSE)</f>
        <v>Not Used</v>
      </c>
      <c r="L326" s="45" t="str">
        <f>VLOOKUP(U326,'AMP models AxeFxIII'!$D$2:$H$299,2,FALSE)</f>
        <v>Not Used</v>
      </c>
      <c r="M326" s="45" t="str">
        <f>VLOOKUP(V326,'AMP models AxeFxIII'!$D$2:$H$299,2,FALSE)</f>
        <v>Not Used</v>
      </c>
      <c r="N326" s="45" t="str">
        <f>VLOOKUP(W326,'AMP models AxeFxIII'!$D$2:$H$299,2,FALSE)</f>
        <v>Not Used</v>
      </c>
      <c r="O326" s="45" t="str">
        <f>VLOOKUP(X326,'AMP models AxeFxIII'!$D$2:$H$299,2,FALSE)</f>
        <v>Not Used</v>
      </c>
      <c r="P326" s="45" t="str">
        <f>VLOOKUP(Y326,'AMP models AxeFxIII'!$D$2:$H$299,2,FALSE)</f>
        <v>Not Used</v>
      </c>
      <c r="Q326" s="45" t="str">
        <f>VLOOKUP(Z326,'AMP models AxeFxIII'!$D$2:$H$299,2,FALSE)</f>
        <v>Not Used</v>
      </c>
      <c r="R326" s="4">
        <v>322</v>
      </c>
      <c r="S326" s="46" t="s">
        <v>555</v>
      </c>
      <c r="T326" s="46" t="s">
        <v>555</v>
      </c>
      <c r="U326" s="46" t="s">
        <v>555</v>
      </c>
      <c r="V326" s="46" t="s">
        <v>555</v>
      </c>
      <c r="W326" s="46" t="s">
        <v>555</v>
      </c>
      <c r="X326" s="46" t="s">
        <v>555</v>
      </c>
      <c r="Y326" s="46" t="s">
        <v>555</v>
      </c>
      <c r="Z326" s="46" t="s">
        <v>555</v>
      </c>
    </row>
    <row r="327" spans="1:26">
      <c r="A327" s="41">
        <f>preset_Names!A327</f>
        <v>323</v>
      </c>
      <c r="B327" t="str">
        <f t="shared" si="16"/>
        <v xml:space="preserve">strcpy(AMP1_A,("Not Used")); strcpy(AMP1_B,("Not Used")); strcpy(AMP1_C,("Not Used")); strcpy(AMP1_D,("Not Used")); </v>
      </c>
      <c r="C327" t="str">
        <f t="shared" si="17"/>
        <v xml:space="preserve">strcpy(AMP2_A,("Not Used")); strcpy(AMP2_B,("Not Used")); strcpy(AMP2_C,("Not Used")); strcpy(AMP2_D,("Not Used")); </v>
      </c>
      <c r="D327" s="31" t="s">
        <v>893</v>
      </c>
      <c r="E327" s="42" t="str">
        <f t="shared" si="15"/>
        <v>case 323: strcpy(AMP1_A,("Not Used")); strcpy(AMP1_B,("Not Used")); strcpy(AMP1_C,("Not Used")); strcpy(AMP1_D,("Not Used")); strcpy(AMP2_A,("Not Used")); strcpy(AMP2_B,("Not Used")); strcpy(AMP2_C,("Not Used")); strcpy(AMP2_D,("Not Used"));  break;</v>
      </c>
      <c r="F327" t="s">
        <v>893</v>
      </c>
      <c r="I327" t="s">
        <v>893</v>
      </c>
      <c r="J327" s="45" t="str">
        <f>VLOOKUP(S327,'AMP models AxeFxIII'!$D$2:$H$299,2,FALSE)</f>
        <v>Not Used</v>
      </c>
      <c r="K327" s="45" t="str">
        <f>VLOOKUP(T327,'AMP models AxeFxIII'!$D$2:$H$299,2,FALSE)</f>
        <v>Not Used</v>
      </c>
      <c r="L327" s="45" t="str">
        <f>VLOOKUP(U327,'AMP models AxeFxIII'!$D$2:$H$299,2,FALSE)</f>
        <v>Not Used</v>
      </c>
      <c r="M327" s="45" t="str">
        <f>VLOOKUP(V327,'AMP models AxeFxIII'!$D$2:$H$299,2,FALSE)</f>
        <v>Not Used</v>
      </c>
      <c r="N327" s="45" t="str">
        <f>VLOOKUP(W327,'AMP models AxeFxIII'!$D$2:$H$299,2,FALSE)</f>
        <v>Not Used</v>
      </c>
      <c r="O327" s="45" t="str">
        <f>VLOOKUP(X327,'AMP models AxeFxIII'!$D$2:$H$299,2,FALSE)</f>
        <v>Not Used</v>
      </c>
      <c r="P327" s="45" t="str">
        <f>VLOOKUP(Y327,'AMP models AxeFxIII'!$D$2:$H$299,2,FALSE)</f>
        <v>Not Used</v>
      </c>
      <c r="Q327" s="45" t="str">
        <f>VLOOKUP(Z327,'AMP models AxeFxIII'!$D$2:$H$299,2,FALSE)</f>
        <v>Not Used</v>
      </c>
      <c r="R327" s="4">
        <v>323</v>
      </c>
      <c r="S327" s="46" t="s">
        <v>555</v>
      </c>
      <c r="T327" s="46" t="s">
        <v>555</v>
      </c>
      <c r="U327" s="46" t="s">
        <v>555</v>
      </c>
      <c r="V327" s="46" t="s">
        <v>555</v>
      </c>
      <c r="W327" s="46" t="s">
        <v>555</v>
      </c>
      <c r="X327" s="46" t="s">
        <v>555</v>
      </c>
      <c r="Y327" s="46" t="s">
        <v>555</v>
      </c>
      <c r="Z327" s="46" t="s">
        <v>555</v>
      </c>
    </row>
    <row r="328" spans="1:26">
      <c r="A328" s="41">
        <f>preset_Names!A328</f>
        <v>324</v>
      </c>
      <c r="B328" t="str">
        <f t="shared" si="16"/>
        <v xml:space="preserve">strcpy(AMP1_A,("Not Used")); strcpy(AMP1_B,("Not Used")); strcpy(AMP1_C,("Not Used")); strcpy(AMP1_D,("Not Used")); </v>
      </c>
      <c r="C328" t="str">
        <f t="shared" si="17"/>
        <v xml:space="preserve">strcpy(AMP2_A,("Not Used")); strcpy(AMP2_B,("Not Used")); strcpy(AMP2_C,("Not Used")); strcpy(AMP2_D,("Not Used")); </v>
      </c>
      <c r="D328" s="31" t="s">
        <v>893</v>
      </c>
      <c r="E328" s="42" t="str">
        <f t="shared" si="15"/>
        <v>case 324: strcpy(AMP1_A,("Not Used")); strcpy(AMP1_B,("Not Used")); strcpy(AMP1_C,("Not Used")); strcpy(AMP1_D,("Not Used")); strcpy(AMP2_A,("Not Used")); strcpy(AMP2_B,("Not Used")); strcpy(AMP2_C,("Not Used")); strcpy(AMP2_D,("Not Used"));  break;</v>
      </c>
      <c r="F328" t="s">
        <v>893</v>
      </c>
      <c r="I328" t="s">
        <v>893</v>
      </c>
      <c r="J328" s="45" t="str">
        <f>VLOOKUP(S328,'AMP models AxeFxIII'!$D$2:$H$299,2,FALSE)</f>
        <v>Not Used</v>
      </c>
      <c r="K328" s="45" t="str">
        <f>VLOOKUP(T328,'AMP models AxeFxIII'!$D$2:$H$299,2,FALSE)</f>
        <v>Not Used</v>
      </c>
      <c r="L328" s="45" t="str">
        <f>VLOOKUP(U328,'AMP models AxeFxIII'!$D$2:$H$299,2,FALSE)</f>
        <v>Not Used</v>
      </c>
      <c r="M328" s="45" t="str">
        <f>VLOOKUP(V328,'AMP models AxeFxIII'!$D$2:$H$299,2,FALSE)</f>
        <v>Not Used</v>
      </c>
      <c r="N328" s="45" t="str">
        <f>VLOOKUP(W328,'AMP models AxeFxIII'!$D$2:$H$299,2,FALSE)</f>
        <v>Not Used</v>
      </c>
      <c r="O328" s="45" t="str">
        <f>VLOOKUP(X328,'AMP models AxeFxIII'!$D$2:$H$299,2,FALSE)</f>
        <v>Not Used</v>
      </c>
      <c r="P328" s="45" t="str">
        <f>VLOOKUP(Y328,'AMP models AxeFxIII'!$D$2:$H$299,2,FALSE)</f>
        <v>Not Used</v>
      </c>
      <c r="Q328" s="45" t="str">
        <f>VLOOKUP(Z328,'AMP models AxeFxIII'!$D$2:$H$299,2,FALSE)</f>
        <v>Not Used</v>
      </c>
      <c r="R328" s="4">
        <v>324</v>
      </c>
      <c r="S328" s="46" t="s">
        <v>555</v>
      </c>
      <c r="T328" s="46" t="s">
        <v>555</v>
      </c>
      <c r="U328" s="46" t="s">
        <v>555</v>
      </c>
      <c r="V328" s="46" t="s">
        <v>555</v>
      </c>
      <c r="W328" s="46" t="s">
        <v>555</v>
      </c>
      <c r="X328" s="46" t="s">
        <v>555</v>
      </c>
      <c r="Y328" s="46" t="s">
        <v>555</v>
      </c>
      <c r="Z328" s="46" t="s">
        <v>555</v>
      </c>
    </row>
    <row r="329" spans="1:26">
      <c r="A329" s="41">
        <f>preset_Names!A329</f>
        <v>325</v>
      </c>
      <c r="B329" t="str">
        <f t="shared" si="16"/>
        <v xml:space="preserve">strcpy(AMP1_A,("Not Used")); strcpy(AMP1_B,("Not Used")); strcpy(AMP1_C,("Not Used")); strcpy(AMP1_D,("Not Used")); </v>
      </c>
      <c r="C329" t="str">
        <f t="shared" si="17"/>
        <v xml:space="preserve">strcpy(AMP2_A,("Not Used")); strcpy(AMP2_B,("Not Used")); strcpy(AMP2_C,("Not Used")); strcpy(AMP2_D,("Not Used")); </v>
      </c>
      <c r="D329" s="31" t="s">
        <v>893</v>
      </c>
      <c r="E329" s="42" t="str">
        <f t="shared" si="15"/>
        <v>case 325: strcpy(AMP1_A,("Not Used")); strcpy(AMP1_B,("Not Used")); strcpy(AMP1_C,("Not Used")); strcpy(AMP1_D,("Not Used")); strcpy(AMP2_A,("Not Used")); strcpy(AMP2_B,("Not Used")); strcpy(AMP2_C,("Not Used")); strcpy(AMP2_D,("Not Used"));  break;</v>
      </c>
      <c r="F329" t="s">
        <v>893</v>
      </c>
      <c r="I329" t="s">
        <v>893</v>
      </c>
      <c r="J329" s="45" t="str">
        <f>VLOOKUP(S329,'AMP models AxeFxIII'!$D$2:$H$299,2,FALSE)</f>
        <v>Not Used</v>
      </c>
      <c r="K329" s="45" t="str">
        <f>VLOOKUP(T329,'AMP models AxeFxIII'!$D$2:$H$299,2,FALSE)</f>
        <v>Not Used</v>
      </c>
      <c r="L329" s="45" t="str">
        <f>VLOOKUP(U329,'AMP models AxeFxIII'!$D$2:$H$299,2,FALSE)</f>
        <v>Not Used</v>
      </c>
      <c r="M329" s="45" t="str">
        <f>VLOOKUP(V329,'AMP models AxeFxIII'!$D$2:$H$299,2,FALSE)</f>
        <v>Not Used</v>
      </c>
      <c r="N329" s="45" t="str">
        <f>VLOOKUP(W329,'AMP models AxeFxIII'!$D$2:$H$299,2,FALSE)</f>
        <v>Not Used</v>
      </c>
      <c r="O329" s="45" t="str">
        <f>VLOOKUP(X329,'AMP models AxeFxIII'!$D$2:$H$299,2,FALSE)</f>
        <v>Not Used</v>
      </c>
      <c r="P329" s="45" t="str">
        <f>VLOOKUP(Y329,'AMP models AxeFxIII'!$D$2:$H$299,2,FALSE)</f>
        <v>Not Used</v>
      </c>
      <c r="Q329" s="45" t="str">
        <f>VLOOKUP(Z329,'AMP models AxeFxIII'!$D$2:$H$299,2,FALSE)</f>
        <v>Not Used</v>
      </c>
      <c r="R329" s="4">
        <v>325</v>
      </c>
      <c r="S329" s="46" t="s">
        <v>555</v>
      </c>
      <c r="T329" s="46" t="s">
        <v>555</v>
      </c>
      <c r="U329" s="46" t="s">
        <v>555</v>
      </c>
      <c r="V329" s="46" t="s">
        <v>555</v>
      </c>
      <c r="W329" s="46" t="s">
        <v>555</v>
      </c>
      <c r="X329" s="46" t="s">
        <v>555</v>
      </c>
      <c r="Y329" s="46" t="s">
        <v>555</v>
      </c>
      <c r="Z329" s="46" t="s">
        <v>555</v>
      </c>
    </row>
    <row r="330" spans="1:26">
      <c r="A330" s="41">
        <f>preset_Names!A330</f>
        <v>326</v>
      </c>
      <c r="B330" t="str">
        <f t="shared" si="16"/>
        <v xml:space="preserve">strcpy(AMP1_A,("Not Used")); strcpy(AMP1_B,("Not Used")); strcpy(AMP1_C,("Not Used")); strcpy(AMP1_D,("Not Used")); </v>
      </c>
      <c r="C330" t="str">
        <f t="shared" si="17"/>
        <v xml:space="preserve">strcpy(AMP2_A,("Not Used")); strcpy(AMP2_B,("Not Used")); strcpy(AMP2_C,("Not Used")); strcpy(AMP2_D,("Not Used")); </v>
      </c>
      <c r="D330" s="31" t="s">
        <v>893</v>
      </c>
      <c r="E330" s="42" t="str">
        <f t="shared" si="15"/>
        <v>case 326: strcpy(AMP1_A,("Not Used")); strcpy(AMP1_B,("Not Used")); strcpy(AMP1_C,("Not Used")); strcpy(AMP1_D,("Not Used")); strcpy(AMP2_A,("Not Used")); strcpy(AMP2_B,("Not Used")); strcpy(AMP2_C,("Not Used")); strcpy(AMP2_D,("Not Used"));  break;</v>
      </c>
      <c r="F330" t="s">
        <v>893</v>
      </c>
      <c r="I330" t="s">
        <v>893</v>
      </c>
      <c r="J330" s="45" t="str">
        <f>VLOOKUP(S330,'AMP models AxeFxIII'!$D$2:$H$299,2,FALSE)</f>
        <v>Not Used</v>
      </c>
      <c r="K330" s="45" t="str">
        <f>VLOOKUP(T330,'AMP models AxeFxIII'!$D$2:$H$299,2,FALSE)</f>
        <v>Not Used</v>
      </c>
      <c r="L330" s="45" t="str">
        <f>VLOOKUP(U330,'AMP models AxeFxIII'!$D$2:$H$299,2,FALSE)</f>
        <v>Not Used</v>
      </c>
      <c r="M330" s="45" t="str">
        <f>VLOOKUP(V330,'AMP models AxeFxIII'!$D$2:$H$299,2,FALSE)</f>
        <v>Not Used</v>
      </c>
      <c r="N330" s="45" t="str">
        <f>VLOOKUP(W330,'AMP models AxeFxIII'!$D$2:$H$299,2,FALSE)</f>
        <v>Not Used</v>
      </c>
      <c r="O330" s="45" t="str">
        <f>VLOOKUP(X330,'AMP models AxeFxIII'!$D$2:$H$299,2,FALSE)</f>
        <v>Not Used</v>
      </c>
      <c r="P330" s="45" t="str">
        <f>VLOOKUP(Y330,'AMP models AxeFxIII'!$D$2:$H$299,2,FALSE)</f>
        <v>Not Used</v>
      </c>
      <c r="Q330" s="45" t="str">
        <f>VLOOKUP(Z330,'AMP models AxeFxIII'!$D$2:$H$299,2,FALSE)</f>
        <v>Not Used</v>
      </c>
      <c r="R330" s="4">
        <v>326</v>
      </c>
      <c r="S330" s="46" t="s">
        <v>555</v>
      </c>
      <c r="T330" s="46" t="s">
        <v>555</v>
      </c>
      <c r="U330" s="46" t="s">
        <v>555</v>
      </c>
      <c r="V330" s="46" t="s">
        <v>555</v>
      </c>
      <c r="W330" s="46" t="s">
        <v>555</v>
      </c>
      <c r="X330" s="46" t="s">
        <v>555</v>
      </c>
      <c r="Y330" s="46" t="s">
        <v>555</v>
      </c>
      <c r="Z330" s="46" t="s">
        <v>555</v>
      </c>
    </row>
    <row r="331" spans="1:26">
      <c r="A331" s="41">
        <f>preset_Names!A331</f>
        <v>327</v>
      </c>
      <c r="B331" t="str">
        <f t="shared" si="16"/>
        <v xml:space="preserve">strcpy(AMP1_A,("Not Used")); strcpy(AMP1_B,("Not Used")); strcpy(AMP1_C,("Not Used")); strcpy(AMP1_D,("Not Used")); </v>
      </c>
      <c r="C331" t="str">
        <f t="shared" si="17"/>
        <v xml:space="preserve">strcpy(AMP2_A,("Not Used")); strcpy(AMP2_B,("Not Used")); strcpy(AMP2_C,("Not Used")); strcpy(AMP2_D,("Not Used")); </v>
      </c>
      <c r="D331" s="31" t="s">
        <v>893</v>
      </c>
      <c r="E331" s="42" t="str">
        <f t="shared" si="15"/>
        <v>case 327: strcpy(AMP1_A,("Not Used")); strcpy(AMP1_B,("Not Used")); strcpy(AMP1_C,("Not Used")); strcpy(AMP1_D,("Not Used")); strcpy(AMP2_A,("Not Used")); strcpy(AMP2_B,("Not Used")); strcpy(AMP2_C,("Not Used")); strcpy(AMP2_D,("Not Used"));  break;</v>
      </c>
      <c r="F331" t="s">
        <v>893</v>
      </c>
      <c r="I331" t="s">
        <v>893</v>
      </c>
      <c r="J331" s="45" t="str">
        <f>VLOOKUP(S331,'AMP models AxeFxIII'!$D$2:$H$299,2,FALSE)</f>
        <v>Not Used</v>
      </c>
      <c r="K331" s="45" t="str">
        <f>VLOOKUP(T331,'AMP models AxeFxIII'!$D$2:$H$299,2,FALSE)</f>
        <v>Not Used</v>
      </c>
      <c r="L331" s="45" t="str">
        <f>VLOOKUP(U331,'AMP models AxeFxIII'!$D$2:$H$299,2,FALSE)</f>
        <v>Not Used</v>
      </c>
      <c r="M331" s="45" t="str">
        <f>VLOOKUP(V331,'AMP models AxeFxIII'!$D$2:$H$299,2,FALSE)</f>
        <v>Not Used</v>
      </c>
      <c r="N331" s="45" t="str">
        <f>VLOOKUP(W331,'AMP models AxeFxIII'!$D$2:$H$299,2,FALSE)</f>
        <v>Not Used</v>
      </c>
      <c r="O331" s="45" t="str">
        <f>VLOOKUP(X331,'AMP models AxeFxIII'!$D$2:$H$299,2,FALSE)</f>
        <v>Not Used</v>
      </c>
      <c r="P331" s="45" t="str">
        <f>VLOOKUP(Y331,'AMP models AxeFxIII'!$D$2:$H$299,2,FALSE)</f>
        <v>Not Used</v>
      </c>
      <c r="Q331" s="45" t="str">
        <f>VLOOKUP(Z331,'AMP models AxeFxIII'!$D$2:$H$299,2,FALSE)</f>
        <v>Not Used</v>
      </c>
      <c r="R331" s="4">
        <v>327</v>
      </c>
      <c r="S331" s="46" t="s">
        <v>555</v>
      </c>
      <c r="T331" s="46" t="s">
        <v>555</v>
      </c>
      <c r="U331" s="46" t="s">
        <v>555</v>
      </c>
      <c r="V331" s="46" t="s">
        <v>555</v>
      </c>
      <c r="W331" s="46" t="s">
        <v>555</v>
      </c>
      <c r="X331" s="46" t="s">
        <v>555</v>
      </c>
      <c r="Y331" s="46" t="s">
        <v>555</v>
      </c>
      <c r="Z331" s="46" t="s">
        <v>555</v>
      </c>
    </row>
    <row r="332" spans="1:26">
      <c r="A332" s="41">
        <f>preset_Names!A332</f>
        <v>328</v>
      </c>
      <c r="B332" t="str">
        <f t="shared" si="16"/>
        <v xml:space="preserve">strcpy(AMP1_A,("Not Used")); strcpy(AMP1_B,("Not Used")); strcpy(AMP1_C,("Not Used")); strcpy(AMP1_D,("Not Used")); </v>
      </c>
      <c r="C332" t="str">
        <f t="shared" si="17"/>
        <v xml:space="preserve">strcpy(AMP2_A,("Not Used")); strcpy(AMP2_B,("Not Used")); strcpy(AMP2_C,("Not Used")); strcpy(AMP2_D,("Not Used")); </v>
      </c>
      <c r="D332" s="31" t="s">
        <v>893</v>
      </c>
      <c r="E332" s="42" t="str">
        <f t="shared" si="15"/>
        <v>case 328: strcpy(AMP1_A,("Not Used")); strcpy(AMP1_B,("Not Used")); strcpy(AMP1_C,("Not Used")); strcpy(AMP1_D,("Not Used")); strcpy(AMP2_A,("Not Used")); strcpy(AMP2_B,("Not Used")); strcpy(AMP2_C,("Not Used")); strcpy(AMP2_D,("Not Used"));  break;</v>
      </c>
      <c r="F332" t="s">
        <v>893</v>
      </c>
      <c r="I332" t="s">
        <v>893</v>
      </c>
      <c r="J332" s="45" t="str">
        <f>VLOOKUP(S332,'AMP models AxeFxIII'!$D$2:$H$299,2,FALSE)</f>
        <v>Not Used</v>
      </c>
      <c r="K332" s="45" t="str">
        <f>VLOOKUP(T332,'AMP models AxeFxIII'!$D$2:$H$299,2,FALSE)</f>
        <v>Not Used</v>
      </c>
      <c r="L332" s="45" t="str">
        <f>VLOOKUP(U332,'AMP models AxeFxIII'!$D$2:$H$299,2,FALSE)</f>
        <v>Not Used</v>
      </c>
      <c r="M332" s="45" t="str">
        <f>VLOOKUP(V332,'AMP models AxeFxIII'!$D$2:$H$299,2,FALSE)</f>
        <v>Not Used</v>
      </c>
      <c r="N332" s="45" t="str">
        <f>VLOOKUP(W332,'AMP models AxeFxIII'!$D$2:$H$299,2,FALSE)</f>
        <v>Not Used</v>
      </c>
      <c r="O332" s="45" t="str">
        <f>VLOOKUP(X332,'AMP models AxeFxIII'!$D$2:$H$299,2,FALSE)</f>
        <v>Not Used</v>
      </c>
      <c r="P332" s="45" t="str">
        <f>VLOOKUP(Y332,'AMP models AxeFxIII'!$D$2:$H$299,2,FALSE)</f>
        <v>Not Used</v>
      </c>
      <c r="Q332" s="45" t="str">
        <f>VLOOKUP(Z332,'AMP models AxeFxIII'!$D$2:$H$299,2,FALSE)</f>
        <v>Not Used</v>
      </c>
      <c r="R332" s="4">
        <v>328</v>
      </c>
      <c r="S332" s="46" t="s">
        <v>555</v>
      </c>
      <c r="T332" s="46" t="s">
        <v>555</v>
      </c>
      <c r="U332" s="46" t="s">
        <v>555</v>
      </c>
      <c r="V332" s="46" t="s">
        <v>555</v>
      </c>
      <c r="W332" s="46" t="s">
        <v>555</v>
      </c>
      <c r="X332" s="46" t="s">
        <v>555</v>
      </c>
      <c r="Y332" s="46" t="s">
        <v>555</v>
      </c>
      <c r="Z332" s="46" t="s">
        <v>555</v>
      </c>
    </row>
    <row r="333" spans="1:26">
      <c r="A333" s="41">
        <f>preset_Names!A333</f>
        <v>329</v>
      </c>
      <c r="B333" t="str">
        <f t="shared" si="16"/>
        <v xml:space="preserve">strcpy(AMP1_A,("Not Used")); strcpy(AMP1_B,("Not Used")); strcpy(AMP1_C,("Not Used")); strcpy(AMP1_D,("Not Used")); </v>
      </c>
      <c r="C333" t="str">
        <f t="shared" si="17"/>
        <v xml:space="preserve">strcpy(AMP2_A,("Not Used")); strcpy(AMP2_B,("Not Used")); strcpy(AMP2_C,("Not Used")); strcpy(AMP2_D,("Not Used")); </v>
      </c>
      <c r="D333" s="31" t="s">
        <v>893</v>
      </c>
      <c r="E333" s="42" t="str">
        <f t="shared" si="15"/>
        <v>case 329: strcpy(AMP1_A,("Not Used")); strcpy(AMP1_B,("Not Used")); strcpy(AMP1_C,("Not Used")); strcpy(AMP1_D,("Not Used")); strcpy(AMP2_A,("Not Used")); strcpy(AMP2_B,("Not Used")); strcpy(AMP2_C,("Not Used")); strcpy(AMP2_D,("Not Used"));  break;</v>
      </c>
      <c r="F333" t="s">
        <v>893</v>
      </c>
      <c r="I333" t="s">
        <v>893</v>
      </c>
      <c r="J333" s="45" t="str">
        <f>VLOOKUP(S333,'AMP models AxeFxIII'!$D$2:$H$299,2,FALSE)</f>
        <v>Not Used</v>
      </c>
      <c r="K333" s="45" t="str">
        <f>VLOOKUP(T333,'AMP models AxeFxIII'!$D$2:$H$299,2,FALSE)</f>
        <v>Not Used</v>
      </c>
      <c r="L333" s="45" t="str">
        <f>VLOOKUP(U333,'AMP models AxeFxIII'!$D$2:$H$299,2,FALSE)</f>
        <v>Not Used</v>
      </c>
      <c r="M333" s="45" t="str">
        <f>VLOOKUP(V333,'AMP models AxeFxIII'!$D$2:$H$299,2,FALSE)</f>
        <v>Not Used</v>
      </c>
      <c r="N333" s="45" t="str">
        <f>VLOOKUP(W333,'AMP models AxeFxIII'!$D$2:$H$299,2,FALSE)</f>
        <v>Not Used</v>
      </c>
      <c r="O333" s="45" t="str">
        <f>VLOOKUP(X333,'AMP models AxeFxIII'!$D$2:$H$299,2,FALSE)</f>
        <v>Not Used</v>
      </c>
      <c r="P333" s="45" t="str">
        <f>VLOOKUP(Y333,'AMP models AxeFxIII'!$D$2:$H$299,2,FALSE)</f>
        <v>Not Used</v>
      </c>
      <c r="Q333" s="45" t="str">
        <f>VLOOKUP(Z333,'AMP models AxeFxIII'!$D$2:$H$299,2,FALSE)</f>
        <v>Not Used</v>
      </c>
      <c r="R333" s="4">
        <v>329</v>
      </c>
      <c r="S333" s="46" t="s">
        <v>555</v>
      </c>
      <c r="T333" s="46" t="s">
        <v>555</v>
      </c>
      <c r="U333" s="46" t="s">
        <v>555</v>
      </c>
      <c r="V333" s="46" t="s">
        <v>555</v>
      </c>
      <c r="W333" s="46" t="s">
        <v>555</v>
      </c>
      <c r="X333" s="46" t="s">
        <v>555</v>
      </c>
      <c r="Y333" s="46" t="s">
        <v>555</v>
      </c>
      <c r="Z333" s="46" t="s">
        <v>555</v>
      </c>
    </row>
    <row r="334" spans="1:26">
      <c r="A334" s="41">
        <f>preset_Names!A334</f>
        <v>330</v>
      </c>
      <c r="B334" t="str">
        <f t="shared" si="16"/>
        <v xml:space="preserve">strcpy(AMP1_A,("Not Used")); strcpy(AMP1_B,("Not Used")); strcpy(AMP1_C,("Not Used")); strcpy(AMP1_D,("Not Used")); </v>
      </c>
      <c r="C334" t="str">
        <f t="shared" si="17"/>
        <v xml:space="preserve">strcpy(AMP2_A,("Not Used")); strcpy(AMP2_B,("Not Used")); strcpy(AMP2_C,("Not Used")); strcpy(AMP2_D,("Not Used")); </v>
      </c>
      <c r="D334" s="31" t="s">
        <v>893</v>
      </c>
      <c r="E334" s="42" t="str">
        <f t="shared" si="15"/>
        <v>case 330: strcpy(AMP1_A,("Not Used")); strcpy(AMP1_B,("Not Used")); strcpy(AMP1_C,("Not Used")); strcpy(AMP1_D,("Not Used")); strcpy(AMP2_A,("Not Used")); strcpy(AMP2_B,("Not Used")); strcpy(AMP2_C,("Not Used")); strcpy(AMP2_D,("Not Used"));  break;</v>
      </c>
      <c r="F334" t="s">
        <v>893</v>
      </c>
      <c r="I334" t="s">
        <v>893</v>
      </c>
      <c r="J334" s="45" t="str">
        <f>VLOOKUP(S334,'AMP models AxeFxIII'!$D$2:$H$299,2,FALSE)</f>
        <v>Not Used</v>
      </c>
      <c r="K334" s="45" t="str">
        <f>VLOOKUP(T334,'AMP models AxeFxIII'!$D$2:$H$299,2,FALSE)</f>
        <v>Not Used</v>
      </c>
      <c r="L334" s="45" t="str">
        <f>VLOOKUP(U334,'AMP models AxeFxIII'!$D$2:$H$299,2,FALSE)</f>
        <v>Not Used</v>
      </c>
      <c r="M334" s="45" t="str">
        <f>VLOOKUP(V334,'AMP models AxeFxIII'!$D$2:$H$299,2,FALSE)</f>
        <v>Not Used</v>
      </c>
      <c r="N334" s="45" t="str">
        <f>VLOOKUP(W334,'AMP models AxeFxIII'!$D$2:$H$299,2,FALSE)</f>
        <v>Not Used</v>
      </c>
      <c r="O334" s="45" t="str">
        <f>VLOOKUP(X334,'AMP models AxeFxIII'!$D$2:$H$299,2,FALSE)</f>
        <v>Not Used</v>
      </c>
      <c r="P334" s="45" t="str">
        <f>VLOOKUP(Y334,'AMP models AxeFxIII'!$D$2:$H$299,2,FALSE)</f>
        <v>Not Used</v>
      </c>
      <c r="Q334" s="45" t="str">
        <f>VLOOKUP(Z334,'AMP models AxeFxIII'!$D$2:$H$299,2,FALSE)</f>
        <v>Not Used</v>
      </c>
      <c r="R334" s="4">
        <v>330</v>
      </c>
      <c r="S334" s="46" t="s">
        <v>555</v>
      </c>
      <c r="T334" s="46" t="s">
        <v>555</v>
      </c>
      <c r="U334" s="46" t="s">
        <v>555</v>
      </c>
      <c r="V334" s="46" t="s">
        <v>555</v>
      </c>
      <c r="W334" s="46" t="s">
        <v>555</v>
      </c>
      <c r="X334" s="46" t="s">
        <v>555</v>
      </c>
      <c r="Y334" s="46" t="s">
        <v>555</v>
      </c>
      <c r="Z334" s="46" t="s">
        <v>555</v>
      </c>
    </row>
    <row r="335" spans="1:26">
      <c r="A335" s="41">
        <f>preset_Names!A335</f>
        <v>331</v>
      </c>
      <c r="B335" t="str">
        <f t="shared" si="16"/>
        <v xml:space="preserve">strcpy(AMP1_A,("Not Used")); strcpy(AMP1_B,("Not Used")); strcpy(AMP1_C,("Not Used")); strcpy(AMP1_D,("Not Used")); </v>
      </c>
      <c r="C335" t="str">
        <f t="shared" si="17"/>
        <v xml:space="preserve">strcpy(AMP2_A,("Not Used")); strcpy(AMP2_B,("Not Used")); strcpy(AMP2_C,("Not Used")); strcpy(AMP2_D,("Not Used")); </v>
      </c>
      <c r="D335" s="31" t="s">
        <v>893</v>
      </c>
      <c r="E335" s="42" t="str">
        <f t="shared" si="15"/>
        <v>case 331: strcpy(AMP1_A,("Not Used")); strcpy(AMP1_B,("Not Used")); strcpy(AMP1_C,("Not Used")); strcpy(AMP1_D,("Not Used")); strcpy(AMP2_A,("Not Used")); strcpy(AMP2_B,("Not Used")); strcpy(AMP2_C,("Not Used")); strcpy(AMP2_D,("Not Used"));  break;</v>
      </c>
      <c r="F335" t="s">
        <v>893</v>
      </c>
      <c r="I335" t="s">
        <v>893</v>
      </c>
      <c r="J335" s="45" t="str">
        <f>VLOOKUP(S335,'AMP models AxeFxIII'!$D$2:$H$299,2,FALSE)</f>
        <v>Not Used</v>
      </c>
      <c r="K335" s="45" t="str">
        <f>VLOOKUP(T335,'AMP models AxeFxIII'!$D$2:$H$299,2,FALSE)</f>
        <v>Not Used</v>
      </c>
      <c r="L335" s="45" t="str">
        <f>VLOOKUP(U335,'AMP models AxeFxIII'!$D$2:$H$299,2,FALSE)</f>
        <v>Not Used</v>
      </c>
      <c r="M335" s="45" t="str">
        <f>VLOOKUP(V335,'AMP models AxeFxIII'!$D$2:$H$299,2,FALSE)</f>
        <v>Not Used</v>
      </c>
      <c r="N335" s="45" t="str">
        <f>VLOOKUP(W335,'AMP models AxeFxIII'!$D$2:$H$299,2,FALSE)</f>
        <v>Not Used</v>
      </c>
      <c r="O335" s="45" t="str">
        <f>VLOOKUP(X335,'AMP models AxeFxIII'!$D$2:$H$299,2,FALSE)</f>
        <v>Not Used</v>
      </c>
      <c r="P335" s="45" t="str">
        <f>VLOOKUP(Y335,'AMP models AxeFxIII'!$D$2:$H$299,2,FALSE)</f>
        <v>Not Used</v>
      </c>
      <c r="Q335" s="45" t="str">
        <f>VLOOKUP(Z335,'AMP models AxeFxIII'!$D$2:$H$299,2,FALSE)</f>
        <v>Not Used</v>
      </c>
      <c r="R335" s="4">
        <v>331</v>
      </c>
      <c r="S335" s="46" t="s">
        <v>555</v>
      </c>
      <c r="T335" s="46" t="s">
        <v>555</v>
      </c>
      <c r="U335" s="46" t="s">
        <v>555</v>
      </c>
      <c r="V335" s="46" t="s">
        <v>555</v>
      </c>
      <c r="W335" s="46" t="s">
        <v>555</v>
      </c>
      <c r="X335" s="46" t="s">
        <v>555</v>
      </c>
      <c r="Y335" s="46" t="s">
        <v>555</v>
      </c>
      <c r="Z335" s="46" t="s">
        <v>555</v>
      </c>
    </row>
    <row r="336" spans="1:26">
      <c r="A336" s="41">
        <f>preset_Names!A336</f>
        <v>332</v>
      </c>
      <c r="B336" t="str">
        <f t="shared" si="16"/>
        <v xml:space="preserve">strcpy(AMP1_A,("Not Used")); strcpy(AMP1_B,("Not Used")); strcpy(AMP1_C,("Not Used")); strcpy(AMP1_D,("Not Used")); </v>
      </c>
      <c r="C336" t="str">
        <f t="shared" si="17"/>
        <v xml:space="preserve">strcpy(AMP2_A,("Not Used")); strcpy(AMP2_B,("Not Used")); strcpy(AMP2_C,("Not Used")); strcpy(AMP2_D,("Not Used")); </v>
      </c>
      <c r="D336" s="31" t="s">
        <v>893</v>
      </c>
      <c r="E336" s="42" t="str">
        <f t="shared" si="15"/>
        <v>case 332: strcpy(AMP1_A,("Not Used")); strcpy(AMP1_B,("Not Used")); strcpy(AMP1_C,("Not Used")); strcpy(AMP1_D,("Not Used")); strcpy(AMP2_A,("Not Used")); strcpy(AMP2_B,("Not Used")); strcpy(AMP2_C,("Not Used")); strcpy(AMP2_D,("Not Used"));  break;</v>
      </c>
      <c r="F336" t="s">
        <v>893</v>
      </c>
      <c r="I336" t="s">
        <v>893</v>
      </c>
      <c r="J336" s="45" t="str">
        <f>VLOOKUP(S336,'AMP models AxeFxIII'!$D$2:$H$299,2,FALSE)</f>
        <v>Not Used</v>
      </c>
      <c r="K336" s="45" t="str">
        <f>VLOOKUP(T336,'AMP models AxeFxIII'!$D$2:$H$299,2,FALSE)</f>
        <v>Not Used</v>
      </c>
      <c r="L336" s="45" t="str">
        <f>VLOOKUP(U336,'AMP models AxeFxIII'!$D$2:$H$299,2,FALSE)</f>
        <v>Not Used</v>
      </c>
      <c r="M336" s="45" t="str">
        <f>VLOOKUP(V336,'AMP models AxeFxIII'!$D$2:$H$299,2,FALSE)</f>
        <v>Not Used</v>
      </c>
      <c r="N336" s="45" t="str">
        <f>VLOOKUP(W336,'AMP models AxeFxIII'!$D$2:$H$299,2,FALSE)</f>
        <v>Not Used</v>
      </c>
      <c r="O336" s="45" t="str">
        <f>VLOOKUP(X336,'AMP models AxeFxIII'!$D$2:$H$299,2,FALSE)</f>
        <v>Not Used</v>
      </c>
      <c r="P336" s="45" t="str">
        <f>VLOOKUP(Y336,'AMP models AxeFxIII'!$D$2:$H$299,2,FALSE)</f>
        <v>Not Used</v>
      </c>
      <c r="Q336" s="45" t="str">
        <f>VLOOKUP(Z336,'AMP models AxeFxIII'!$D$2:$H$299,2,FALSE)</f>
        <v>Not Used</v>
      </c>
      <c r="R336" s="4">
        <v>332</v>
      </c>
      <c r="S336" s="46" t="s">
        <v>555</v>
      </c>
      <c r="T336" s="46" t="s">
        <v>555</v>
      </c>
      <c r="U336" s="46" t="s">
        <v>555</v>
      </c>
      <c r="V336" s="46" t="s">
        <v>555</v>
      </c>
      <c r="W336" s="46" t="s">
        <v>555</v>
      </c>
      <c r="X336" s="46" t="s">
        <v>555</v>
      </c>
      <c r="Y336" s="46" t="s">
        <v>555</v>
      </c>
      <c r="Z336" s="46" t="s">
        <v>555</v>
      </c>
    </row>
    <row r="337" spans="1:26">
      <c r="A337" s="41">
        <f>preset_Names!A337</f>
        <v>333</v>
      </c>
      <c r="B337" t="str">
        <f t="shared" si="16"/>
        <v xml:space="preserve">strcpy(AMP1_A,("Not Used")); strcpy(AMP1_B,("Not Used")); strcpy(AMP1_C,("Not Used")); strcpy(AMP1_D,("Not Used")); </v>
      </c>
      <c r="C337" t="str">
        <f t="shared" si="17"/>
        <v xml:space="preserve">strcpy(AMP2_A,("Not Used")); strcpy(AMP2_B,("Not Used")); strcpy(AMP2_C,("Not Used")); strcpy(AMP2_D,("Not Used")); </v>
      </c>
      <c r="D337" s="31" t="s">
        <v>893</v>
      </c>
      <c r="E337" s="42" t="str">
        <f t="shared" si="15"/>
        <v>case 333: strcpy(AMP1_A,("Not Used")); strcpy(AMP1_B,("Not Used")); strcpy(AMP1_C,("Not Used")); strcpy(AMP1_D,("Not Used")); strcpy(AMP2_A,("Not Used")); strcpy(AMP2_B,("Not Used")); strcpy(AMP2_C,("Not Used")); strcpy(AMP2_D,("Not Used"));  break;</v>
      </c>
      <c r="F337" t="s">
        <v>893</v>
      </c>
      <c r="I337" t="s">
        <v>893</v>
      </c>
      <c r="J337" s="45" t="str">
        <f>VLOOKUP(S337,'AMP models AxeFxIII'!$D$2:$H$299,2,FALSE)</f>
        <v>Not Used</v>
      </c>
      <c r="K337" s="45" t="str">
        <f>VLOOKUP(T337,'AMP models AxeFxIII'!$D$2:$H$299,2,FALSE)</f>
        <v>Not Used</v>
      </c>
      <c r="L337" s="45" t="str">
        <f>VLOOKUP(U337,'AMP models AxeFxIII'!$D$2:$H$299,2,FALSE)</f>
        <v>Not Used</v>
      </c>
      <c r="M337" s="45" t="str">
        <f>VLOOKUP(V337,'AMP models AxeFxIII'!$D$2:$H$299,2,FALSE)</f>
        <v>Not Used</v>
      </c>
      <c r="N337" s="45" t="str">
        <f>VLOOKUP(W337,'AMP models AxeFxIII'!$D$2:$H$299,2,FALSE)</f>
        <v>Not Used</v>
      </c>
      <c r="O337" s="45" t="str">
        <f>VLOOKUP(X337,'AMP models AxeFxIII'!$D$2:$H$299,2,FALSE)</f>
        <v>Not Used</v>
      </c>
      <c r="P337" s="45" t="str">
        <f>VLOOKUP(Y337,'AMP models AxeFxIII'!$D$2:$H$299,2,FALSE)</f>
        <v>Not Used</v>
      </c>
      <c r="Q337" s="45" t="str">
        <f>VLOOKUP(Z337,'AMP models AxeFxIII'!$D$2:$H$299,2,FALSE)</f>
        <v>Not Used</v>
      </c>
      <c r="R337" s="4">
        <v>333</v>
      </c>
      <c r="S337" s="46" t="s">
        <v>555</v>
      </c>
      <c r="T337" s="46" t="s">
        <v>555</v>
      </c>
      <c r="U337" s="46" t="s">
        <v>555</v>
      </c>
      <c r="V337" s="46" t="s">
        <v>555</v>
      </c>
      <c r="W337" s="46" t="s">
        <v>555</v>
      </c>
      <c r="X337" s="46" t="s">
        <v>555</v>
      </c>
      <c r="Y337" s="46" t="s">
        <v>555</v>
      </c>
      <c r="Z337" s="46" t="s">
        <v>555</v>
      </c>
    </row>
    <row r="338" spans="1:26">
      <c r="A338" s="41">
        <f>preset_Names!A338</f>
        <v>334</v>
      </c>
      <c r="B338" t="str">
        <f t="shared" si="16"/>
        <v xml:space="preserve">strcpy(AMP1_A,("Not Used")); strcpy(AMP1_B,("Not Used")); strcpy(AMP1_C,("Not Used")); strcpy(AMP1_D,("Not Used")); </v>
      </c>
      <c r="C338" t="str">
        <f t="shared" si="17"/>
        <v xml:space="preserve">strcpy(AMP2_A,("Not Used")); strcpy(AMP2_B,("Not Used")); strcpy(AMP2_C,("Not Used")); strcpy(AMP2_D,("Not Used")); </v>
      </c>
      <c r="D338" s="31" t="s">
        <v>893</v>
      </c>
      <c r="E338" s="42" t="str">
        <f t="shared" si="15"/>
        <v>case 334: strcpy(AMP1_A,("Not Used")); strcpy(AMP1_B,("Not Used")); strcpy(AMP1_C,("Not Used")); strcpy(AMP1_D,("Not Used")); strcpy(AMP2_A,("Not Used")); strcpy(AMP2_B,("Not Used")); strcpy(AMP2_C,("Not Used")); strcpy(AMP2_D,("Not Used"));  break;</v>
      </c>
      <c r="F338" t="s">
        <v>893</v>
      </c>
      <c r="I338" t="s">
        <v>893</v>
      </c>
      <c r="J338" s="45" t="str">
        <f>VLOOKUP(S338,'AMP models AxeFxIII'!$D$2:$H$299,2,FALSE)</f>
        <v>Not Used</v>
      </c>
      <c r="K338" s="45" t="str">
        <f>VLOOKUP(T338,'AMP models AxeFxIII'!$D$2:$H$299,2,FALSE)</f>
        <v>Not Used</v>
      </c>
      <c r="L338" s="45" t="str">
        <f>VLOOKUP(U338,'AMP models AxeFxIII'!$D$2:$H$299,2,FALSE)</f>
        <v>Not Used</v>
      </c>
      <c r="M338" s="45" t="str">
        <f>VLOOKUP(V338,'AMP models AxeFxIII'!$D$2:$H$299,2,FALSE)</f>
        <v>Not Used</v>
      </c>
      <c r="N338" s="45" t="str">
        <f>VLOOKUP(W338,'AMP models AxeFxIII'!$D$2:$H$299,2,FALSE)</f>
        <v>Not Used</v>
      </c>
      <c r="O338" s="45" t="str">
        <f>VLOOKUP(X338,'AMP models AxeFxIII'!$D$2:$H$299,2,FALSE)</f>
        <v>Not Used</v>
      </c>
      <c r="P338" s="45" t="str">
        <f>VLOOKUP(Y338,'AMP models AxeFxIII'!$D$2:$H$299,2,FALSE)</f>
        <v>Not Used</v>
      </c>
      <c r="Q338" s="45" t="str">
        <f>VLOOKUP(Z338,'AMP models AxeFxIII'!$D$2:$H$299,2,FALSE)</f>
        <v>Not Used</v>
      </c>
      <c r="R338" s="4">
        <v>334</v>
      </c>
      <c r="S338" s="46" t="s">
        <v>555</v>
      </c>
      <c r="T338" s="46" t="s">
        <v>555</v>
      </c>
      <c r="U338" s="46" t="s">
        <v>555</v>
      </c>
      <c r="V338" s="46" t="s">
        <v>555</v>
      </c>
      <c r="W338" s="46" t="s">
        <v>555</v>
      </c>
      <c r="X338" s="46" t="s">
        <v>555</v>
      </c>
      <c r="Y338" s="46" t="s">
        <v>555</v>
      </c>
      <c r="Z338" s="46" t="s">
        <v>555</v>
      </c>
    </row>
    <row r="339" spans="1:26">
      <c r="A339" s="41">
        <f>preset_Names!A339</f>
        <v>335</v>
      </c>
      <c r="B339" t="str">
        <f t="shared" si="16"/>
        <v xml:space="preserve">strcpy(AMP1_A,("Not Used")); strcpy(AMP1_B,("Not Used")); strcpy(AMP1_C,("Not Used")); strcpy(AMP1_D,("Not Used")); </v>
      </c>
      <c r="C339" t="str">
        <f t="shared" si="17"/>
        <v xml:space="preserve">strcpy(AMP2_A,("Not Used")); strcpy(AMP2_B,("Not Used")); strcpy(AMP2_C,("Not Used")); strcpy(AMP2_D,("Not Used")); </v>
      </c>
      <c r="D339" s="31" t="s">
        <v>893</v>
      </c>
      <c r="E339" s="42" t="str">
        <f t="shared" si="15"/>
        <v>case 335: strcpy(AMP1_A,("Not Used")); strcpy(AMP1_B,("Not Used")); strcpy(AMP1_C,("Not Used")); strcpy(AMP1_D,("Not Used")); strcpy(AMP2_A,("Not Used")); strcpy(AMP2_B,("Not Used")); strcpy(AMP2_C,("Not Used")); strcpy(AMP2_D,("Not Used"));  break;</v>
      </c>
      <c r="F339" t="s">
        <v>893</v>
      </c>
      <c r="I339" t="s">
        <v>893</v>
      </c>
      <c r="J339" s="45" t="str">
        <f>VLOOKUP(S339,'AMP models AxeFxIII'!$D$2:$H$299,2,FALSE)</f>
        <v>Not Used</v>
      </c>
      <c r="K339" s="45" t="str">
        <f>VLOOKUP(T339,'AMP models AxeFxIII'!$D$2:$H$299,2,FALSE)</f>
        <v>Not Used</v>
      </c>
      <c r="L339" s="45" t="str">
        <f>VLOOKUP(U339,'AMP models AxeFxIII'!$D$2:$H$299,2,FALSE)</f>
        <v>Not Used</v>
      </c>
      <c r="M339" s="45" t="str">
        <f>VLOOKUP(V339,'AMP models AxeFxIII'!$D$2:$H$299,2,FALSE)</f>
        <v>Not Used</v>
      </c>
      <c r="N339" s="45" t="str">
        <f>VLOOKUP(W339,'AMP models AxeFxIII'!$D$2:$H$299,2,FALSE)</f>
        <v>Not Used</v>
      </c>
      <c r="O339" s="45" t="str">
        <f>VLOOKUP(X339,'AMP models AxeFxIII'!$D$2:$H$299,2,FALSE)</f>
        <v>Not Used</v>
      </c>
      <c r="P339" s="45" t="str">
        <f>VLOOKUP(Y339,'AMP models AxeFxIII'!$D$2:$H$299,2,FALSE)</f>
        <v>Not Used</v>
      </c>
      <c r="Q339" s="45" t="str">
        <f>VLOOKUP(Z339,'AMP models AxeFxIII'!$D$2:$H$299,2,FALSE)</f>
        <v>Not Used</v>
      </c>
      <c r="R339" s="4">
        <v>335</v>
      </c>
      <c r="S339" s="46" t="s">
        <v>555</v>
      </c>
      <c r="T339" s="46" t="s">
        <v>555</v>
      </c>
      <c r="U339" s="46" t="s">
        <v>555</v>
      </c>
      <c r="V339" s="46" t="s">
        <v>555</v>
      </c>
      <c r="W339" s="46" t="s">
        <v>555</v>
      </c>
      <c r="X339" s="46" t="s">
        <v>555</v>
      </c>
      <c r="Y339" s="46" t="s">
        <v>555</v>
      </c>
      <c r="Z339" s="46" t="s">
        <v>555</v>
      </c>
    </row>
    <row r="340" spans="1:26">
      <c r="A340" s="41">
        <f>preset_Names!A340</f>
        <v>336</v>
      </c>
      <c r="B340" t="str">
        <f t="shared" si="16"/>
        <v xml:space="preserve">strcpy(AMP1_A,("Not Used")); strcpy(AMP1_B,("Not Used")); strcpy(AMP1_C,("Not Used")); strcpy(AMP1_D,("Not Used")); </v>
      </c>
      <c r="C340" t="str">
        <f t="shared" si="17"/>
        <v xml:space="preserve">strcpy(AMP2_A,("Not Used")); strcpy(AMP2_B,("Not Used")); strcpy(AMP2_C,("Not Used")); strcpy(AMP2_D,("Not Used")); </v>
      </c>
      <c r="D340" s="31" t="s">
        <v>893</v>
      </c>
      <c r="E340" s="42" t="str">
        <f t="shared" si="15"/>
        <v>case 336: strcpy(AMP1_A,("Not Used")); strcpy(AMP1_B,("Not Used")); strcpy(AMP1_C,("Not Used")); strcpy(AMP1_D,("Not Used")); strcpy(AMP2_A,("Not Used")); strcpy(AMP2_B,("Not Used")); strcpy(AMP2_C,("Not Used")); strcpy(AMP2_D,("Not Used"));  break;</v>
      </c>
      <c r="F340" t="s">
        <v>893</v>
      </c>
      <c r="I340" t="s">
        <v>893</v>
      </c>
      <c r="J340" s="45" t="str">
        <f>VLOOKUP(S340,'AMP models AxeFxIII'!$D$2:$H$299,2,FALSE)</f>
        <v>Not Used</v>
      </c>
      <c r="K340" s="45" t="str">
        <f>VLOOKUP(T340,'AMP models AxeFxIII'!$D$2:$H$299,2,FALSE)</f>
        <v>Not Used</v>
      </c>
      <c r="L340" s="45" t="str">
        <f>VLOOKUP(U340,'AMP models AxeFxIII'!$D$2:$H$299,2,FALSE)</f>
        <v>Not Used</v>
      </c>
      <c r="M340" s="45" t="str">
        <f>VLOOKUP(V340,'AMP models AxeFxIII'!$D$2:$H$299,2,FALSE)</f>
        <v>Not Used</v>
      </c>
      <c r="N340" s="45" t="str">
        <f>VLOOKUP(W340,'AMP models AxeFxIII'!$D$2:$H$299,2,FALSE)</f>
        <v>Not Used</v>
      </c>
      <c r="O340" s="45" t="str">
        <f>VLOOKUP(X340,'AMP models AxeFxIII'!$D$2:$H$299,2,FALSE)</f>
        <v>Not Used</v>
      </c>
      <c r="P340" s="45" t="str">
        <f>VLOOKUP(Y340,'AMP models AxeFxIII'!$D$2:$H$299,2,FALSE)</f>
        <v>Not Used</v>
      </c>
      <c r="Q340" s="45" t="str">
        <f>VLOOKUP(Z340,'AMP models AxeFxIII'!$D$2:$H$299,2,FALSE)</f>
        <v>Not Used</v>
      </c>
      <c r="R340" s="4">
        <v>336</v>
      </c>
      <c r="S340" s="46" t="s">
        <v>555</v>
      </c>
      <c r="T340" s="46" t="s">
        <v>555</v>
      </c>
      <c r="U340" s="46" t="s">
        <v>555</v>
      </c>
      <c r="V340" s="46" t="s">
        <v>555</v>
      </c>
      <c r="W340" s="46" t="s">
        <v>555</v>
      </c>
      <c r="X340" s="46" t="s">
        <v>555</v>
      </c>
      <c r="Y340" s="46" t="s">
        <v>555</v>
      </c>
      <c r="Z340" s="46" t="s">
        <v>555</v>
      </c>
    </row>
    <row r="341" spans="1:26">
      <c r="A341" s="41">
        <f>preset_Names!A341</f>
        <v>337</v>
      </c>
      <c r="B341" t="str">
        <f t="shared" si="16"/>
        <v xml:space="preserve">strcpy(AMP1_A,("Not Used")); strcpy(AMP1_B,("Not Used")); strcpy(AMP1_C,("Not Used")); strcpy(AMP1_D,("Not Used")); </v>
      </c>
      <c r="C341" t="str">
        <f t="shared" si="17"/>
        <v xml:space="preserve">strcpy(AMP2_A,("Not Used")); strcpy(AMP2_B,("Not Used")); strcpy(AMP2_C,("Not Used")); strcpy(AMP2_D,("Not Used")); </v>
      </c>
      <c r="D341" s="31" t="s">
        <v>893</v>
      </c>
      <c r="E341" s="42" t="str">
        <f t="shared" si="15"/>
        <v>case 337: strcpy(AMP1_A,("Not Used")); strcpy(AMP1_B,("Not Used")); strcpy(AMP1_C,("Not Used")); strcpy(AMP1_D,("Not Used")); strcpy(AMP2_A,("Not Used")); strcpy(AMP2_B,("Not Used")); strcpy(AMP2_C,("Not Used")); strcpy(AMP2_D,("Not Used"));  break;</v>
      </c>
      <c r="F341" t="s">
        <v>893</v>
      </c>
      <c r="I341" t="s">
        <v>893</v>
      </c>
      <c r="J341" s="45" t="str">
        <f>VLOOKUP(S341,'AMP models AxeFxIII'!$D$2:$H$299,2,FALSE)</f>
        <v>Not Used</v>
      </c>
      <c r="K341" s="45" t="str">
        <f>VLOOKUP(T341,'AMP models AxeFxIII'!$D$2:$H$299,2,FALSE)</f>
        <v>Not Used</v>
      </c>
      <c r="L341" s="45" t="str">
        <f>VLOOKUP(U341,'AMP models AxeFxIII'!$D$2:$H$299,2,FALSE)</f>
        <v>Not Used</v>
      </c>
      <c r="M341" s="45" t="str">
        <f>VLOOKUP(V341,'AMP models AxeFxIII'!$D$2:$H$299,2,FALSE)</f>
        <v>Not Used</v>
      </c>
      <c r="N341" s="45" t="str">
        <f>VLOOKUP(W341,'AMP models AxeFxIII'!$D$2:$H$299,2,FALSE)</f>
        <v>Not Used</v>
      </c>
      <c r="O341" s="45" t="str">
        <f>VLOOKUP(X341,'AMP models AxeFxIII'!$D$2:$H$299,2,FALSE)</f>
        <v>Not Used</v>
      </c>
      <c r="P341" s="45" t="str">
        <f>VLOOKUP(Y341,'AMP models AxeFxIII'!$D$2:$H$299,2,FALSE)</f>
        <v>Not Used</v>
      </c>
      <c r="Q341" s="45" t="str">
        <f>VLOOKUP(Z341,'AMP models AxeFxIII'!$D$2:$H$299,2,FALSE)</f>
        <v>Not Used</v>
      </c>
      <c r="R341" s="4">
        <v>337</v>
      </c>
      <c r="S341" s="46" t="s">
        <v>555</v>
      </c>
      <c r="T341" s="46" t="s">
        <v>555</v>
      </c>
      <c r="U341" s="46" t="s">
        <v>555</v>
      </c>
      <c r="V341" s="46" t="s">
        <v>555</v>
      </c>
      <c r="W341" s="46" t="s">
        <v>555</v>
      </c>
      <c r="X341" s="46" t="s">
        <v>555</v>
      </c>
      <c r="Y341" s="46" t="s">
        <v>555</v>
      </c>
      <c r="Z341" s="46" t="s">
        <v>555</v>
      </c>
    </row>
    <row r="342" spans="1:26">
      <c r="A342" s="41">
        <f>preset_Names!A342</f>
        <v>338</v>
      </c>
      <c r="B342" t="str">
        <f t="shared" si="16"/>
        <v xml:space="preserve">strcpy(AMP1_A,("Not Used")); strcpy(AMP1_B,("Not Used")); strcpy(AMP1_C,("Not Used")); strcpy(AMP1_D,("Not Used")); </v>
      </c>
      <c r="C342" t="str">
        <f t="shared" si="17"/>
        <v xml:space="preserve">strcpy(AMP2_A,("Not Used")); strcpy(AMP2_B,("Not Used")); strcpy(AMP2_C,("Not Used")); strcpy(AMP2_D,("Not Used")); </v>
      </c>
      <c r="D342" s="31" t="s">
        <v>893</v>
      </c>
      <c r="E342" s="42" t="str">
        <f t="shared" si="15"/>
        <v>case 338: strcpy(AMP1_A,("Not Used")); strcpy(AMP1_B,("Not Used")); strcpy(AMP1_C,("Not Used")); strcpy(AMP1_D,("Not Used")); strcpy(AMP2_A,("Not Used")); strcpy(AMP2_B,("Not Used")); strcpy(AMP2_C,("Not Used")); strcpy(AMP2_D,("Not Used"));  break;</v>
      </c>
      <c r="F342" t="s">
        <v>893</v>
      </c>
      <c r="I342" t="s">
        <v>893</v>
      </c>
      <c r="J342" s="45" t="str">
        <f>VLOOKUP(S342,'AMP models AxeFxIII'!$D$2:$H$299,2,FALSE)</f>
        <v>Not Used</v>
      </c>
      <c r="K342" s="45" t="str">
        <f>VLOOKUP(T342,'AMP models AxeFxIII'!$D$2:$H$299,2,FALSE)</f>
        <v>Not Used</v>
      </c>
      <c r="L342" s="45" t="str">
        <f>VLOOKUP(U342,'AMP models AxeFxIII'!$D$2:$H$299,2,FALSE)</f>
        <v>Not Used</v>
      </c>
      <c r="M342" s="45" t="str">
        <f>VLOOKUP(V342,'AMP models AxeFxIII'!$D$2:$H$299,2,FALSE)</f>
        <v>Not Used</v>
      </c>
      <c r="N342" s="45" t="str">
        <f>VLOOKUP(W342,'AMP models AxeFxIII'!$D$2:$H$299,2,FALSE)</f>
        <v>Not Used</v>
      </c>
      <c r="O342" s="45" t="str">
        <f>VLOOKUP(X342,'AMP models AxeFxIII'!$D$2:$H$299,2,FALSE)</f>
        <v>Not Used</v>
      </c>
      <c r="P342" s="45" t="str">
        <f>VLOOKUP(Y342,'AMP models AxeFxIII'!$D$2:$H$299,2,FALSE)</f>
        <v>Not Used</v>
      </c>
      <c r="Q342" s="45" t="str">
        <f>VLOOKUP(Z342,'AMP models AxeFxIII'!$D$2:$H$299,2,FALSE)</f>
        <v>Not Used</v>
      </c>
      <c r="R342" s="4">
        <v>338</v>
      </c>
      <c r="S342" s="46" t="s">
        <v>555</v>
      </c>
      <c r="T342" s="46" t="s">
        <v>555</v>
      </c>
      <c r="U342" s="46" t="s">
        <v>555</v>
      </c>
      <c r="V342" s="46" t="s">
        <v>555</v>
      </c>
      <c r="W342" s="46" t="s">
        <v>555</v>
      </c>
      <c r="X342" s="46" t="s">
        <v>555</v>
      </c>
      <c r="Y342" s="46" t="s">
        <v>555</v>
      </c>
      <c r="Z342" s="46" t="s">
        <v>555</v>
      </c>
    </row>
    <row r="343" spans="1:26">
      <c r="A343" s="41">
        <f>preset_Names!A343</f>
        <v>339</v>
      </c>
      <c r="B343" t="str">
        <f t="shared" si="16"/>
        <v xml:space="preserve">strcpy(AMP1_A,("Not Used")); strcpy(AMP1_B,("Not Used")); strcpy(AMP1_C,("Not Used")); strcpy(AMP1_D,("Not Used")); </v>
      </c>
      <c r="C343" t="str">
        <f t="shared" si="17"/>
        <v xml:space="preserve">strcpy(AMP2_A,("Not Used")); strcpy(AMP2_B,("Not Used")); strcpy(AMP2_C,("Not Used")); strcpy(AMP2_D,("Not Used")); </v>
      </c>
      <c r="D343" s="31" t="s">
        <v>893</v>
      </c>
      <c r="E343" s="42" t="str">
        <f t="shared" si="15"/>
        <v>case 339: strcpy(AMP1_A,("Not Used")); strcpy(AMP1_B,("Not Used")); strcpy(AMP1_C,("Not Used")); strcpy(AMP1_D,("Not Used")); strcpy(AMP2_A,("Not Used")); strcpy(AMP2_B,("Not Used")); strcpy(AMP2_C,("Not Used")); strcpy(AMP2_D,("Not Used"));  break;</v>
      </c>
      <c r="F343" t="s">
        <v>893</v>
      </c>
      <c r="I343" t="s">
        <v>893</v>
      </c>
      <c r="J343" s="45" t="str">
        <f>VLOOKUP(S343,'AMP models AxeFxIII'!$D$2:$H$299,2,FALSE)</f>
        <v>Not Used</v>
      </c>
      <c r="K343" s="45" t="str">
        <f>VLOOKUP(T343,'AMP models AxeFxIII'!$D$2:$H$299,2,FALSE)</f>
        <v>Not Used</v>
      </c>
      <c r="L343" s="45" t="str">
        <f>VLOOKUP(U343,'AMP models AxeFxIII'!$D$2:$H$299,2,FALSE)</f>
        <v>Not Used</v>
      </c>
      <c r="M343" s="45" t="str">
        <f>VLOOKUP(V343,'AMP models AxeFxIII'!$D$2:$H$299,2,FALSE)</f>
        <v>Not Used</v>
      </c>
      <c r="N343" s="45" t="str">
        <f>VLOOKUP(W343,'AMP models AxeFxIII'!$D$2:$H$299,2,FALSE)</f>
        <v>Not Used</v>
      </c>
      <c r="O343" s="45" t="str">
        <f>VLOOKUP(X343,'AMP models AxeFxIII'!$D$2:$H$299,2,FALSE)</f>
        <v>Not Used</v>
      </c>
      <c r="P343" s="45" t="str">
        <f>VLOOKUP(Y343,'AMP models AxeFxIII'!$D$2:$H$299,2,FALSE)</f>
        <v>Not Used</v>
      </c>
      <c r="Q343" s="45" t="str">
        <f>VLOOKUP(Z343,'AMP models AxeFxIII'!$D$2:$H$299,2,FALSE)</f>
        <v>Not Used</v>
      </c>
      <c r="R343" s="4">
        <v>339</v>
      </c>
      <c r="S343" s="46" t="s">
        <v>555</v>
      </c>
      <c r="T343" s="46" t="s">
        <v>555</v>
      </c>
      <c r="U343" s="46" t="s">
        <v>555</v>
      </c>
      <c r="V343" s="46" t="s">
        <v>555</v>
      </c>
      <c r="W343" s="46" t="s">
        <v>555</v>
      </c>
      <c r="X343" s="46" t="s">
        <v>555</v>
      </c>
      <c r="Y343" s="46" t="s">
        <v>555</v>
      </c>
      <c r="Z343" s="46" t="s">
        <v>555</v>
      </c>
    </row>
    <row r="344" spans="1:26">
      <c r="A344" s="41">
        <f>preset_Names!A344</f>
        <v>340</v>
      </c>
      <c r="B344" t="str">
        <f t="shared" si="16"/>
        <v xml:space="preserve">strcpy(AMP1_A,("Not Used")); strcpy(AMP1_B,("Not Used")); strcpy(AMP1_C,("Not Used")); strcpy(AMP1_D,("Not Used")); </v>
      </c>
      <c r="C344" t="str">
        <f t="shared" si="17"/>
        <v xml:space="preserve">strcpy(AMP2_A,("Not Used")); strcpy(AMP2_B,("Not Used")); strcpy(AMP2_C,("Not Used")); strcpy(AMP2_D,("Not Used")); </v>
      </c>
      <c r="D344" s="31" t="s">
        <v>893</v>
      </c>
      <c r="E344" s="42" t="str">
        <f t="shared" si="15"/>
        <v>case 340: strcpy(AMP1_A,("Not Used")); strcpy(AMP1_B,("Not Used")); strcpy(AMP1_C,("Not Used")); strcpy(AMP1_D,("Not Used")); strcpy(AMP2_A,("Not Used")); strcpy(AMP2_B,("Not Used")); strcpy(AMP2_C,("Not Used")); strcpy(AMP2_D,("Not Used"));  break;</v>
      </c>
      <c r="F344" t="s">
        <v>893</v>
      </c>
      <c r="I344" t="s">
        <v>893</v>
      </c>
      <c r="J344" s="45" t="str">
        <f>VLOOKUP(S344,'AMP models AxeFxIII'!$D$2:$H$299,2,FALSE)</f>
        <v>Not Used</v>
      </c>
      <c r="K344" s="45" t="str">
        <f>VLOOKUP(T344,'AMP models AxeFxIII'!$D$2:$H$299,2,FALSE)</f>
        <v>Not Used</v>
      </c>
      <c r="L344" s="45" t="str">
        <f>VLOOKUP(U344,'AMP models AxeFxIII'!$D$2:$H$299,2,FALSE)</f>
        <v>Not Used</v>
      </c>
      <c r="M344" s="45" t="str">
        <f>VLOOKUP(V344,'AMP models AxeFxIII'!$D$2:$H$299,2,FALSE)</f>
        <v>Not Used</v>
      </c>
      <c r="N344" s="45" t="str">
        <f>VLOOKUP(W344,'AMP models AxeFxIII'!$D$2:$H$299,2,FALSE)</f>
        <v>Not Used</v>
      </c>
      <c r="O344" s="45" t="str">
        <f>VLOOKUP(X344,'AMP models AxeFxIII'!$D$2:$H$299,2,FALSE)</f>
        <v>Not Used</v>
      </c>
      <c r="P344" s="45" t="str">
        <f>VLOOKUP(Y344,'AMP models AxeFxIII'!$D$2:$H$299,2,FALSE)</f>
        <v>Not Used</v>
      </c>
      <c r="Q344" s="45" t="str">
        <f>VLOOKUP(Z344,'AMP models AxeFxIII'!$D$2:$H$299,2,FALSE)</f>
        <v>Not Used</v>
      </c>
      <c r="R344" s="4">
        <v>340</v>
      </c>
      <c r="S344" s="46" t="s">
        <v>555</v>
      </c>
      <c r="T344" s="46" t="s">
        <v>555</v>
      </c>
      <c r="U344" s="46" t="s">
        <v>555</v>
      </c>
      <c r="V344" s="46" t="s">
        <v>555</v>
      </c>
      <c r="W344" s="46" t="s">
        <v>555</v>
      </c>
      <c r="X344" s="46" t="s">
        <v>555</v>
      </c>
      <c r="Y344" s="46" t="s">
        <v>555</v>
      </c>
      <c r="Z344" s="46" t="s">
        <v>555</v>
      </c>
    </row>
    <row r="345" spans="1:26">
      <c r="A345" s="41">
        <f>preset_Names!A345</f>
        <v>341</v>
      </c>
      <c r="B345" t="str">
        <f t="shared" si="16"/>
        <v xml:space="preserve">strcpy(AMP1_A,("Not Used")); strcpy(AMP1_B,("Not Used")); strcpy(AMP1_C,("Not Used")); strcpy(AMP1_D,("Not Used")); </v>
      </c>
      <c r="C345" t="str">
        <f t="shared" si="17"/>
        <v xml:space="preserve">strcpy(AMP2_A,("Not Used")); strcpy(AMP2_B,("Not Used")); strcpy(AMP2_C,("Not Used")); strcpy(AMP2_D,("Not Used")); </v>
      </c>
      <c r="D345" s="31" t="s">
        <v>893</v>
      </c>
      <c r="E345" s="42" t="str">
        <f t="shared" si="15"/>
        <v>case 341: strcpy(AMP1_A,("Not Used")); strcpy(AMP1_B,("Not Used")); strcpy(AMP1_C,("Not Used")); strcpy(AMP1_D,("Not Used")); strcpy(AMP2_A,("Not Used")); strcpy(AMP2_B,("Not Used")); strcpy(AMP2_C,("Not Used")); strcpy(AMP2_D,("Not Used"));  break;</v>
      </c>
      <c r="F345" t="s">
        <v>893</v>
      </c>
      <c r="I345" t="s">
        <v>893</v>
      </c>
      <c r="J345" s="45" t="str">
        <f>VLOOKUP(S345,'AMP models AxeFxIII'!$D$2:$H$299,2,FALSE)</f>
        <v>Not Used</v>
      </c>
      <c r="K345" s="45" t="str">
        <f>VLOOKUP(T345,'AMP models AxeFxIII'!$D$2:$H$299,2,FALSE)</f>
        <v>Not Used</v>
      </c>
      <c r="L345" s="45" t="str">
        <f>VLOOKUP(U345,'AMP models AxeFxIII'!$D$2:$H$299,2,FALSE)</f>
        <v>Not Used</v>
      </c>
      <c r="M345" s="45" t="str">
        <f>VLOOKUP(V345,'AMP models AxeFxIII'!$D$2:$H$299,2,FALSE)</f>
        <v>Not Used</v>
      </c>
      <c r="N345" s="45" t="str">
        <f>VLOOKUP(W345,'AMP models AxeFxIII'!$D$2:$H$299,2,FALSE)</f>
        <v>Not Used</v>
      </c>
      <c r="O345" s="45" t="str">
        <f>VLOOKUP(X345,'AMP models AxeFxIII'!$D$2:$H$299,2,FALSE)</f>
        <v>Not Used</v>
      </c>
      <c r="P345" s="45" t="str">
        <f>VLOOKUP(Y345,'AMP models AxeFxIII'!$D$2:$H$299,2,FALSE)</f>
        <v>Not Used</v>
      </c>
      <c r="Q345" s="45" t="str">
        <f>VLOOKUP(Z345,'AMP models AxeFxIII'!$D$2:$H$299,2,FALSE)</f>
        <v>Not Used</v>
      </c>
      <c r="R345" s="4">
        <v>341</v>
      </c>
      <c r="S345" s="46" t="s">
        <v>555</v>
      </c>
      <c r="T345" s="46" t="s">
        <v>555</v>
      </c>
      <c r="U345" s="46" t="s">
        <v>555</v>
      </c>
      <c r="V345" s="46" t="s">
        <v>555</v>
      </c>
      <c r="W345" s="46" t="s">
        <v>555</v>
      </c>
      <c r="X345" s="46" t="s">
        <v>555</v>
      </c>
      <c r="Y345" s="46" t="s">
        <v>555</v>
      </c>
      <c r="Z345" s="46" t="s">
        <v>555</v>
      </c>
    </row>
    <row r="346" spans="1:26">
      <c r="A346" s="41">
        <f>preset_Names!A346</f>
        <v>342</v>
      </c>
      <c r="B346" t="str">
        <f t="shared" si="16"/>
        <v xml:space="preserve">strcpy(AMP1_A,("Not Used")); strcpy(AMP1_B,("Not Used")); strcpy(AMP1_C,("Not Used")); strcpy(AMP1_D,("Not Used")); </v>
      </c>
      <c r="C346" t="str">
        <f t="shared" si="17"/>
        <v xml:space="preserve">strcpy(AMP2_A,("Not Used")); strcpy(AMP2_B,("Not Used")); strcpy(AMP2_C,("Not Used")); strcpy(AMP2_D,("Not Used")); </v>
      </c>
      <c r="D346" s="31" t="s">
        <v>893</v>
      </c>
      <c r="E346" s="42" t="str">
        <f t="shared" si="15"/>
        <v>case 342: strcpy(AMP1_A,("Not Used")); strcpy(AMP1_B,("Not Used")); strcpy(AMP1_C,("Not Used")); strcpy(AMP1_D,("Not Used")); strcpy(AMP2_A,("Not Used")); strcpy(AMP2_B,("Not Used")); strcpy(AMP2_C,("Not Used")); strcpy(AMP2_D,("Not Used"));  break;</v>
      </c>
      <c r="F346" t="s">
        <v>893</v>
      </c>
      <c r="I346" t="s">
        <v>893</v>
      </c>
      <c r="J346" s="45" t="str">
        <f>VLOOKUP(S346,'AMP models AxeFxIII'!$D$2:$H$299,2,FALSE)</f>
        <v>Not Used</v>
      </c>
      <c r="K346" s="45" t="str">
        <f>VLOOKUP(T346,'AMP models AxeFxIII'!$D$2:$H$299,2,FALSE)</f>
        <v>Not Used</v>
      </c>
      <c r="L346" s="45" t="str">
        <f>VLOOKUP(U346,'AMP models AxeFxIII'!$D$2:$H$299,2,FALSE)</f>
        <v>Not Used</v>
      </c>
      <c r="M346" s="45" t="str">
        <f>VLOOKUP(V346,'AMP models AxeFxIII'!$D$2:$H$299,2,FALSE)</f>
        <v>Not Used</v>
      </c>
      <c r="N346" s="45" t="str">
        <f>VLOOKUP(W346,'AMP models AxeFxIII'!$D$2:$H$299,2,FALSE)</f>
        <v>Not Used</v>
      </c>
      <c r="O346" s="45" t="str">
        <f>VLOOKUP(X346,'AMP models AxeFxIII'!$D$2:$H$299,2,FALSE)</f>
        <v>Not Used</v>
      </c>
      <c r="P346" s="45" t="str">
        <f>VLOOKUP(Y346,'AMP models AxeFxIII'!$D$2:$H$299,2,FALSE)</f>
        <v>Not Used</v>
      </c>
      <c r="Q346" s="45" t="str">
        <f>VLOOKUP(Z346,'AMP models AxeFxIII'!$D$2:$H$299,2,FALSE)</f>
        <v>Not Used</v>
      </c>
      <c r="R346" s="4">
        <v>342</v>
      </c>
      <c r="S346" s="46" t="s">
        <v>555</v>
      </c>
      <c r="T346" s="46" t="s">
        <v>555</v>
      </c>
      <c r="U346" s="46" t="s">
        <v>555</v>
      </c>
      <c r="V346" s="46" t="s">
        <v>555</v>
      </c>
      <c r="W346" s="46" t="s">
        <v>555</v>
      </c>
      <c r="X346" s="46" t="s">
        <v>555</v>
      </c>
      <c r="Y346" s="46" t="s">
        <v>555</v>
      </c>
      <c r="Z346" s="46" t="s">
        <v>555</v>
      </c>
    </row>
    <row r="347" spans="1:26">
      <c r="A347" s="41">
        <f>preset_Names!A347</f>
        <v>343</v>
      </c>
      <c r="B347" t="str">
        <f t="shared" si="16"/>
        <v xml:space="preserve">strcpy(AMP1_A,("Not Used")); strcpy(AMP1_B,("Not Used")); strcpy(AMP1_C,("Not Used")); strcpy(AMP1_D,("Not Used")); </v>
      </c>
      <c r="C347" t="str">
        <f t="shared" si="17"/>
        <v xml:space="preserve">strcpy(AMP2_A,("Not Used")); strcpy(AMP2_B,("Not Used")); strcpy(AMP2_C,("Not Used")); strcpy(AMP2_D,("Not Used")); </v>
      </c>
      <c r="D347" s="31" t="s">
        <v>893</v>
      </c>
      <c r="E347" s="42" t="str">
        <f t="shared" si="15"/>
        <v>case 343: strcpy(AMP1_A,("Not Used")); strcpy(AMP1_B,("Not Used")); strcpy(AMP1_C,("Not Used")); strcpy(AMP1_D,("Not Used")); strcpy(AMP2_A,("Not Used")); strcpy(AMP2_B,("Not Used")); strcpy(AMP2_C,("Not Used")); strcpy(AMP2_D,("Not Used"));  break;</v>
      </c>
      <c r="F347" t="s">
        <v>893</v>
      </c>
      <c r="I347" t="s">
        <v>893</v>
      </c>
      <c r="J347" s="45" t="str">
        <f>VLOOKUP(S347,'AMP models AxeFxIII'!$D$2:$H$299,2,FALSE)</f>
        <v>Not Used</v>
      </c>
      <c r="K347" s="45" t="str">
        <f>VLOOKUP(T347,'AMP models AxeFxIII'!$D$2:$H$299,2,FALSE)</f>
        <v>Not Used</v>
      </c>
      <c r="L347" s="45" t="str">
        <f>VLOOKUP(U347,'AMP models AxeFxIII'!$D$2:$H$299,2,FALSE)</f>
        <v>Not Used</v>
      </c>
      <c r="M347" s="45" t="str">
        <f>VLOOKUP(V347,'AMP models AxeFxIII'!$D$2:$H$299,2,FALSE)</f>
        <v>Not Used</v>
      </c>
      <c r="N347" s="45" t="str">
        <f>VLOOKUP(W347,'AMP models AxeFxIII'!$D$2:$H$299,2,FALSE)</f>
        <v>Not Used</v>
      </c>
      <c r="O347" s="45" t="str">
        <f>VLOOKUP(X347,'AMP models AxeFxIII'!$D$2:$H$299,2,FALSE)</f>
        <v>Not Used</v>
      </c>
      <c r="P347" s="45" t="str">
        <f>VLOOKUP(Y347,'AMP models AxeFxIII'!$D$2:$H$299,2,FALSE)</f>
        <v>Not Used</v>
      </c>
      <c r="Q347" s="45" t="str">
        <f>VLOOKUP(Z347,'AMP models AxeFxIII'!$D$2:$H$299,2,FALSE)</f>
        <v>Not Used</v>
      </c>
      <c r="R347" s="4">
        <v>343</v>
      </c>
      <c r="S347" s="46" t="s">
        <v>555</v>
      </c>
      <c r="T347" s="46" t="s">
        <v>555</v>
      </c>
      <c r="U347" s="46" t="s">
        <v>555</v>
      </c>
      <c r="V347" s="46" t="s">
        <v>555</v>
      </c>
      <c r="W347" s="46" t="s">
        <v>555</v>
      </c>
      <c r="X347" s="46" t="s">
        <v>555</v>
      </c>
      <c r="Y347" s="46" t="s">
        <v>555</v>
      </c>
      <c r="Z347" s="46" t="s">
        <v>555</v>
      </c>
    </row>
    <row r="348" spans="1:26">
      <c r="A348" s="41">
        <f>preset_Names!A348</f>
        <v>344</v>
      </c>
      <c r="B348" t="str">
        <f t="shared" si="16"/>
        <v xml:space="preserve">strcpy(AMP1_A,("Not Used")); strcpy(AMP1_B,("Not Used")); strcpy(AMP1_C,("Not Used")); strcpy(AMP1_D,("Not Used")); </v>
      </c>
      <c r="C348" t="str">
        <f t="shared" si="17"/>
        <v xml:space="preserve">strcpy(AMP2_A,("Not Used")); strcpy(AMP2_B,("Not Used")); strcpy(AMP2_C,("Not Used")); strcpy(AMP2_D,("Not Used")); </v>
      </c>
      <c r="D348" s="31" t="s">
        <v>893</v>
      </c>
      <c r="E348" s="42" t="str">
        <f t="shared" si="15"/>
        <v>case 344: strcpy(AMP1_A,("Not Used")); strcpy(AMP1_B,("Not Used")); strcpy(AMP1_C,("Not Used")); strcpy(AMP1_D,("Not Used")); strcpy(AMP2_A,("Not Used")); strcpy(AMP2_B,("Not Used")); strcpy(AMP2_C,("Not Used")); strcpy(AMP2_D,("Not Used"));  break;</v>
      </c>
      <c r="F348" t="s">
        <v>893</v>
      </c>
      <c r="I348" t="s">
        <v>893</v>
      </c>
      <c r="J348" s="45" t="str">
        <f>VLOOKUP(S348,'AMP models AxeFxIII'!$D$2:$H$299,2,FALSE)</f>
        <v>Not Used</v>
      </c>
      <c r="K348" s="45" t="str">
        <f>VLOOKUP(T348,'AMP models AxeFxIII'!$D$2:$H$299,2,FALSE)</f>
        <v>Not Used</v>
      </c>
      <c r="L348" s="45" t="str">
        <f>VLOOKUP(U348,'AMP models AxeFxIII'!$D$2:$H$299,2,FALSE)</f>
        <v>Not Used</v>
      </c>
      <c r="M348" s="45" t="str">
        <f>VLOOKUP(V348,'AMP models AxeFxIII'!$D$2:$H$299,2,FALSE)</f>
        <v>Not Used</v>
      </c>
      <c r="N348" s="45" t="str">
        <f>VLOOKUP(W348,'AMP models AxeFxIII'!$D$2:$H$299,2,FALSE)</f>
        <v>Not Used</v>
      </c>
      <c r="O348" s="45" t="str">
        <f>VLOOKUP(X348,'AMP models AxeFxIII'!$D$2:$H$299,2,FALSE)</f>
        <v>Not Used</v>
      </c>
      <c r="P348" s="45" t="str">
        <f>VLOOKUP(Y348,'AMP models AxeFxIII'!$D$2:$H$299,2,FALSE)</f>
        <v>Not Used</v>
      </c>
      <c r="Q348" s="45" t="str">
        <f>VLOOKUP(Z348,'AMP models AxeFxIII'!$D$2:$H$299,2,FALSE)</f>
        <v>Not Used</v>
      </c>
      <c r="R348" s="4">
        <v>344</v>
      </c>
      <c r="S348" s="46" t="s">
        <v>555</v>
      </c>
      <c r="T348" s="46" t="s">
        <v>555</v>
      </c>
      <c r="U348" s="46" t="s">
        <v>555</v>
      </c>
      <c r="V348" s="46" t="s">
        <v>555</v>
      </c>
      <c r="W348" s="46" t="s">
        <v>555</v>
      </c>
      <c r="X348" s="46" t="s">
        <v>555</v>
      </c>
      <c r="Y348" s="46" t="s">
        <v>555</v>
      </c>
      <c r="Z348" s="46" t="s">
        <v>555</v>
      </c>
    </row>
    <row r="349" spans="1:26">
      <c r="A349" s="41">
        <f>preset_Names!A349</f>
        <v>345</v>
      </c>
      <c r="B349" t="str">
        <f t="shared" si="16"/>
        <v xml:space="preserve">strcpy(AMP1_A,("Not Used")); strcpy(AMP1_B,("Not Used")); strcpy(AMP1_C,("Not Used")); strcpy(AMP1_D,("Not Used")); </v>
      </c>
      <c r="C349" t="str">
        <f t="shared" si="17"/>
        <v xml:space="preserve">strcpy(AMP2_A,("Not Used")); strcpy(AMP2_B,("Not Used")); strcpy(AMP2_C,("Not Used")); strcpy(AMP2_D,("Not Used")); </v>
      </c>
      <c r="D349" s="31" t="s">
        <v>893</v>
      </c>
      <c r="E349" s="42" t="str">
        <f t="shared" si="15"/>
        <v>case 345: strcpy(AMP1_A,("Not Used")); strcpy(AMP1_B,("Not Used")); strcpy(AMP1_C,("Not Used")); strcpy(AMP1_D,("Not Used")); strcpy(AMP2_A,("Not Used")); strcpy(AMP2_B,("Not Used")); strcpy(AMP2_C,("Not Used")); strcpy(AMP2_D,("Not Used"));  break;</v>
      </c>
      <c r="F349" t="s">
        <v>893</v>
      </c>
      <c r="I349" t="s">
        <v>893</v>
      </c>
      <c r="J349" s="45" t="str">
        <f>VLOOKUP(S349,'AMP models AxeFxIII'!$D$2:$H$299,2,FALSE)</f>
        <v>Not Used</v>
      </c>
      <c r="K349" s="45" t="str">
        <f>VLOOKUP(T349,'AMP models AxeFxIII'!$D$2:$H$299,2,FALSE)</f>
        <v>Not Used</v>
      </c>
      <c r="L349" s="45" t="str">
        <f>VLOOKUP(U349,'AMP models AxeFxIII'!$D$2:$H$299,2,FALSE)</f>
        <v>Not Used</v>
      </c>
      <c r="M349" s="45" t="str">
        <f>VLOOKUP(V349,'AMP models AxeFxIII'!$D$2:$H$299,2,FALSE)</f>
        <v>Not Used</v>
      </c>
      <c r="N349" s="45" t="str">
        <f>VLOOKUP(W349,'AMP models AxeFxIII'!$D$2:$H$299,2,FALSE)</f>
        <v>Not Used</v>
      </c>
      <c r="O349" s="45" t="str">
        <f>VLOOKUP(X349,'AMP models AxeFxIII'!$D$2:$H$299,2,FALSE)</f>
        <v>Not Used</v>
      </c>
      <c r="P349" s="45" t="str">
        <f>VLOOKUP(Y349,'AMP models AxeFxIII'!$D$2:$H$299,2,FALSE)</f>
        <v>Not Used</v>
      </c>
      <c r="Q349" s="45" t="str">
        <f>VLOOKUP(Z349,'AMP models AxeFxIII'!$D$2:$H$299,2,FALSE)</f>
        <v>Not Used</v>
      </c>
      <c r="R349" s="4">
        <v>345</v>
      </c>
      <c r="S349" s="46" t="s">
        <v>555</v>
      </c>
      <c r="T349" s="46" t="s">
        <v>555</v>
      </c>
      <c r="U349" s="46" t="s">
        <v>555</v>
      </c>
      <c r="V349" s="46" t="s">
        <v>555</v>
      </c>
      <c r="W349" s="46" t="s">
        <v>555</v>
      </c>
      <c r="X349" s="46" t="s">
        <v>555</v>
      </c>
      <c r="Y349" s="46" t="s">
        <v>555</v>
      </c>
      <c r="Z349" s="46" t="s">
        <v>555</v>
      </c>
    </row>
    <row r="350" spans="1:26">
      <c r="A350" s="41">
        <f>preset_Names!A350</f>
        <v>346</v>
      </c>
      <c r="B350" t="str">
        <f t="shared" si="16"/>
        <v xml:space="preserve">strcpy(AMP1_A,("Not Used")); strcpy(AMP1_B,("Not Used")); strcpy(AMP1_C,("Not Used")); strcpy(AMP1_D,("Not Used")); </v>
      </c>
      <c r="C350" t="str">
        <f t="shared" si="17"/>
        <v xml:space="preserve">strcpy(AMP2_A,("Not Used")); strcpy(AMP2_B,("Not Used")); strcpy(AMP2_C,("Not Used")); strcpy(AMP2_D,("Not Used")); </v>
      </c>
      <c r="D350" s="31" t="s">
        <v>893</v>
      </c>
      <c r="E350" s="42" t="str">
        <f t="shared" si="15"/>
        <v>case 346: strcpy(AMP1_A,("Not Used")); strcpy(AMP1_B,("Not Used")); strcpy(AMP1_C,("Not Used")); strcpy(AMP1_D,("Not Used")); strcpy(AMP2_A,("Not Used")); strcpy(AMP2_B,("Not Used")); strcpy(AMP2_C,("Not Used")); strcpy(AMP2_D,("Not Used"));  break;</v>
      </c>
      <c r="F350" t="s">
        <v>893</v>
      </c>
      <c r="I350" t="s">
        <v>893</v>
      </c>
      <c r="J350" s="45" t="str">
        <f>VLOOKUP(S350,'AMP models AxeFxIII'!$D$2:$H$299,2,FALSE)</f>
        <v>Not Used</v>
      </c>
      <c r="K350" s="45" t="str">
        <f>VLOOKUP(T350,'AMP models AxeFxIII'!$D$2:$H$299,2,FALSE)</f>
        <v>Not Used</v>
      </c>
      <c r="L350" s="45" t="str">
        <f>VLOOKUP(U350,'AMP models AxeFxIII'!$D$2:$H$299,2,FALSE)</f>
        <v>Not Used</v>
      </c>
      <c r="M350" s="45" t="str">
        <f>VLOOKUP(V350,'AMP models AxeFxIII'!$D$2:$H$299,2,FALSE)</f>
        <v>Not Used</v>
      </c>
      <c r="N350" s="45" t="str">
        <f>VLOOKUP(W350,'AMP models AxeFxIII'!$D$2:$H$299,2,FALSE)</f>
        <v>Not Used</v>
      </c>
      <c r="O350" s="45" t="str">
        <f>VLOOKUP(X350,'AMP models AxeFxIII'!$D$2:$H$299,2,FALSE)</f>
        <v>Not Used</v>
      </c>
      <c r="P350" s="45" t="str">
        <f>VLOOKUP(Y350,'AMP models AxeFxIII'!$D$2:$H$299,2,FALSE)</f>
        <v>Not Used</v>
      </c>
      <c r="Q350" s="45" t="str">
        <f>VLOOKUP(Z350,'AMP models AxeFxIII'!$D$2:$H$299,2,FALSE)</f>
        <v>Not Used</v>
      </c>
      <c r="R350" s="4">
        <v>346</v>
      </c>
      <c r="S350" s="46" t="s">
        <v>555</v>
      </c>
      <c r="T350" s="46" t="s">
        <v>555</v>
      </c>
      <c r="U350" s="46" t="s">
        <v>555</v>
      </c>
      <c r="V350" s="46" t="s">
        <v>555</v>
      </c>
      <c r="W350" s="46" t="s">
        <v>555</v>
      </c>
      <c r="X350" s="46" t="s">
        <v>555</v>
      </c>
      <c r="Y350" s="46" t="s">
        <v>555</v>
      </c>
      <c r="Z350" s="46" t="s">
        <v>555</v>
      </c>
    </row>
    <row r="351" spans="1:26">
      <c r="A351" s="41">
        <f>preset_Names!A351</f>
        <v>347</v>
      </c>
      <c r="B351" t="str">
        <f t="shared" si="16"/>
        <v xml:space="preserve">strcpy(AMP1_A,("Not Used")); strcpy(AMP1_B,("Not Used")); strcpy(AMP1_C,("Not Used")); strcpy(AMP1_D,("Not Used")); </v>
      </c>
      <c r="C351" t="str">
        <f t="shared" si="17"/>
        <v xml:space="preserve">strcpy(AMP2_A,("Not Used")); strcpy(AMP2_B,("Not Used")); strcpy(AMP2_C,("Not Used")); strcpy(AMP2_D,("Not Used")); </v>
      </c>
      <c r="D351" s="31" t="s">
        <v>893</v>
      </c>
      <c r="E351" s="42" t="str">
        <f t="shared" si="15"/>
        <v>case 347: strcpy(AMP1_A,("Not Used")); strcpy(AMP1_B,("Not Used")); strcpy(AMP1_C,("Not Used")); strcpy(AMP1_D,("Not Used")); strcpy(AMP2_A,("Not Used")); strcpy(AMP2_B,("Not Used")); strcpy(AMP2_C,("Not Used")); strcpy(AMP2_D,("Not Used"));  break;</v>
      </c>
      <c r="F351" t="s">
        <v>893</v>
      </c>
      <c r="I351" t="s">
        <v>893</v>
      </c>
      <c r="J351" s="45" t="str">
        <f>VLOOKUP(S351,'AMP models AxeFxIII'!$D$2:$H$299,2,FALSE)</f>
        <v>Not Used</v>
      </c>
      <c r="K351" s="45" t="str">
        <f>VLOOKUP(T351,'AMP models AxeFxIII'!$D$2:$H$299,2,FALSE)</f>
        <v>Not Used</v>
      </c>
      <c r="L351" s="45" t="str">
        <f>VLOOKUP(U351,'AMP models AxeFxIII'!$D$2:$H$299,2,FALSE)</f>
        <v>Not Used</v>
      </c>
      <c r="M351" s="45" t="str">
        <f>VLOOKUP(V351,'AMP models AxeFxIII'!$D$2:$H$299,2,FALSE)</f>
        <v>Not Used</v>
      </c>
      <c r="N351" s="45" t="str">
        <f>VLOOKUP(W351,'AMP models AxeFxIII'!$D$2:$H$299,2,FALSE)</f>
        <v>Not Used</v>
      </c>
      <c r="O351" s="45" t="str">
        <f>VLOOKUP(X351,'AMP models AxeFxIII'!$D$2:$H$299,2,FALSE)</f>
        <v>Not Used</v>
      </c>
      <c r="P351" s="45" t="str">
        <f>VLOOKUP(Y351,'AMP models AxeFxIII'!$D$2:$H$299,2,FALSE)</f>
        <v>Not Used</v>
      </c>
      <c r="Q351" s="45" t="str">
        <f>VLOOKUP(Z351,'AMP models AxeFxIII'!$D$2:$H$299,2,FALSE)</f>
        <v>Not Used</v>
      </c>
      <c r="R351" s="4">
        <v>347</v>
      </c>
      <c r="S351" s="46" t="s">
        <v>555</v>
      </c>
      <c r="T351" s="46" t="s">
        <v>555</v>
      </c>
      <c r="U351" s="46" t="s">
        <v>555</v>
      </c>
      <c r="V351" s="46" t="s">
        <v>555</v>
      </c>
      <c r="W351" s="46" t="s">
        <v>555</v>
      </c>
      <c r="X351" s="46" t="s">
        <v>555</v>
      </c>
      <c r="Y351" s="46" t="s">
        <v>555</v>
      </c>
      <c r="Z351" s="46" t="s">
        <v>555</v>
      </c>
    </row>
    <row r="352" spans="1:26">
      <c r="A352" s="41">
        <f>preset_Names!A352</f>
        <v>348</v>
      </c>
      <c r="B352" t="str">
        <f t="shared" si="16"/>
        <v xml:space="preserve">strcpy(AMP1_A,("Not Used")); strcpy(AMP1_B,("Not Used")); strcpy(AMP1_C,("Not Used")); strcpy(AMP1_D,("Not Used")); </v>
      </c>
      <c r="C352" t="str">
        <f t="shared" si="17"/>
        <v xml:space="preserve">strcpy(AMP2_A,("Not Used")); strcpy(AMP2_B,("Not Used")); strcpy(AMP2_C,("Not Used")); strcpy(AMP2_D,("Not Used")); </v>
      </c>
      <c r="D352" s="31" t="s">
        <v>893</v>
      </c>
      <c r="E352" s="42" t="str">
        <f t="shared" si="15"/>
        <v>case 348: strcpy(AMP1_A,("Not Used")); strcpy(AMP1_B,("Not Used")); strcpy(AMP1_C,("Not Used")); strcpy(AMP1_D,("Not Used")); strcpy(AMP2_A,("Not Used")); strcpy(AMP2_B,("Not Used")); strcpy(AMP2_C,("Not Used")); strcpy(AMP2_D,("Not Used"));  break;</v>
      </c>
      <c r="F352" t="s">
        <v>893</v>
      </c>
      <c r="I352" t="s">
        <v>893</v>
      </c>
      <c r="J352" s="45" t="str">
        <f>VLOOKUP(S352,'AMP models AxeFxIII'!$D$2:$H$299,2,FALSE)</f>
        <v>Not Used</v>
      </c>
      <c r="K352" s="45" t="str">
        <f>VLOOKUP(T352,'AMP models AxeFxIII'!$D$2:$H$299,2,FALSE)</f>
        <v>Not Used</v>
      </c>
      <c r="L352" s="45" t="str">
        <f>VLOOKUP(U352,'AMP models AxeFxIII'!$D$2:$H$299,2,FALSE)</f>
        <v>Not Used</v>
      </c>
      <c r="M352" s="45" t="str">
        <f>VLOOKUP(V352,'AMP models AxeFxIII'!$D$2:$H$299,2,FALSE)</f>
        <v>Not Used</v>
      </c>
      <c r="N352" s="45" t="str">
        <f>VLOOKUP(W352,'AMP models AxeFxIII'!$D$2:$H$299,2,FALSE)</f>
        <v>Not Used</v>
      </c>
      <c r="O352" s="45" t="str">
        <f>VLOOKUP(X352,'AMP models AxeFxIII'!$D$2:$H$299,2,FALSE)</f>
        <v>Not Used</v>
      </c>
      <c r="P352" s="45" t="str">
        <f>VLOOKUP(Y352,'AMP models AxeFxIII'!$D$2:$H$299,2,FALSE)</f>
        <v>Not Used</v>
      </c>
      <c r="Q352" s="45" t="str">
        <f>VLOOKUP(Z352,'AMP models AxeFxIII'!$D$2:$H$299,2,FALSE)</f>
        <v>Not Used</v>
      </c>
      <c r="R352" s="4">
        <v>348</v>
      </c>
      <c r="S352" s="46" t="s">
        <v>555</v>
      </c>
      <c r="T352" s="46" t="s">
        <v>555</v>
      </c>
      <c r="U352" s="46" t="s">
        <v>555</v>
      </c>
      <c r="V352" s="46" t="s">
        <v>555</v>
      </c>
      <c r="W352" s="46" t="s">
        <v>555</v>
      </c>
      <c r="X352" s="46" t="s">
        <v>555</v>
      </c>
      <c r="Y352" s="46" t="s">
        <v>555</v>
      </c>
      <c r="Z352" s="46" t="s">
        <v>555</v>
      </c>
    </row>
    <row r="353" spans="1:26">
      <c r="A353" s="41">
        <f>preset_Names!A353</f>
        <v>349</v>
      </c>
      <c r="B353" t="str">
        <f t="shared" si="16"/>
        <v xml:space="preserve">strcpy(AMP1_A,("Not Used")); strcpy(AMP1_B,("Not Used")); strcpy(AMP1_C,("Not Used")); strcpy(AMP1_D,("Not Used")); </v>
      </c>
      <c r="C353" t="str">
        <f t="shared" si="17"/>
        <v xml:space="preserve">strcpy(AMP2_A,("Not Used")); strcpy(AMP2_B,("Not Used")); strcpy(AMP2_C,("Not Used")); strcpy(AMP2_D,("Not Used")); </v>
      </c>
      <c r="D353" s="31" t="s">
        <v>893</v>
      </c>
      <c r="E353" s="42" t="str">
        <f t="shared" si="15"/>
        <v>case 349: strcpy(AMP1_A,("Not Used")); strcpy(AMP1_B,("Not Used")); strcpy(AMP1_C,("Not Used")); strcpy(AMP1_D,("Not Used")); strcpy(AMP2_A,("Not Used")); strcpy(AMP2_B,("Not Used")); strcpy(AMP2_C,("Not Used")); strcpy(AMP2_D,("Not Used"));  break;</v>
      </c>
      <c r="F353" t="s">
        <v>893</v>
      </c>
      <c r="I353" t="s">
        <v>893</v>
      </c>
      <c r="J353" s="45" t="str">
        <f>VLOOKUP(S353,'AMP models AxeFxIII'!$D$2:$H$299,2,FALSE)</f>
        <v>Not Used</v>
      </c>
      <c r="K353" s="45" t="str">
        <f>VLOOKUP(T353,'AMP models AxeFxIII'!$D$2:$H$299,2,FALSE)</f>
        <v>Not Used</v>
      </c>
      <c r="L353" s="45" t="str">
        <f>VLOOKUP(U353,'AMP models AxeFxIII'!$D$2:$H$299,2,FALSE)</f>
        <v>Not Used</v>
      </c>
      <c r="M353" s="45" t="str">
        <f>VLOOKUP(V353,'AMP models AxeFxIII'!$D$2:$H$299,2,FALSE)</f>
        <v>Not Used</v>
      </c>
      <c r="N353" s="45" t="str">
        <f>VLOOKUP(W353,'AMP models AxeFxIII'!$D$2:$H$299,2,FALSE)</f>
        <v>Not Used</v>
      </c>
      <c r="O353" s="45" t="str">
        <f>VLOOKUP(X353,'AMP models AxeFxIII'!$D$2:$H$299,2,FALSE)</f>
        <v>Not Used</v>
      </c>
      <c r="P353" s="45" t="str">
        <f>VLOOKUP(Y353,'AMP models AxeFxIII'!$D$2:$H$299,2,FALSE)</f>
        <v>Not Used</v>
      </c>
      <c r="Q353" s="45" t="str">
        <f>VLOOKUP(Z353,'AMP models AxeFxIII'!$D$2:$H$299,2,FALSE)</f>
        <v>Not Used</v>
      </c>
      <c r="R353" s="4">
        <v>349</v>
      </c>
      <c r="S353" s="46" t="s">
        <v>555</v>
      </c>
      <c r="T353" s="46" t="s">
        <v>555</v>
      </c>
      <c r="U353" s="46" t="s">
        <v>555</v>
      </c>
      <c r="V353" s="46" t="s">
        <v>555</v>
      </c>
      <c r="W353" s="46" t="s">
        <v>555</v>
      </c>
      <c r="X353" s="46" t="s">
        <v>555</v>
      </c>
      <c r="Y353" s="46" t="s">
        <v>555</v>
      </c>
      <c r="Z353" s="46" t="s">
        <v>555</v>
      </c>
    </row>
    <row r="354" spans="1:26">
      <c r="A354" s="41">
        <f>preset_Names!A354</f>
        <v>350</v>
      </c>
      <c r="B354" t="str">
        <f t="shared" si="16"/>
        <v xml:space="preserve">strcpy(AMP1_A,("Not Used")); strcpy(AMP1_B,("Not Used")); strcpy(AMP1_C,("Not Used")); strcpy(AMP1_D,("Not Used")); </v>
      </c>
      <c r="C354" t="str">
        <f t="shared" si="17"/>
        <v xml:space="preserve">strcpy(AMP2_A,("Not Used")); strcpy(AMP2_B,("Not Used")); strcpy(AMP2_C,("Not Used")); strcpy(AMP2_D,("Not Used")); </v>
      </c>
      <c r="D354" s="31" t="s">
        <v>893</v>
      </c>
      <c r="E354" s="42" t="str">
        <f t="shared" si="15"/>
        <v>case 350: strcpy(AMP1_A,("Not Used")); strcpy(AMP1_B,("Not Used")); strcpy(AMP1_C,("Not Used")); strcpy(AMP1_D,("Not Used")); strcpy(AMP2_A,("Not Used")); strcpy(AMP2_B,("Not Used")); strcpy(AMP2_C,("Not Used")); strcpy(AMP2_D,("Not Used"));  break;</v>
      </c>
      <c r="F354" t="s">
        <v>893</v>
      </c>
      <c r="I354" t="s">
        <v>893</v>
      </c>
      <c r="J354" s="45" t="str">
        <f>VLOOKUP(S354,'AMP models AxeFxIII'!$D$2:$H$299,2,FALSE)</f>
        <v>Not Used</v>
      </c>
      <c r="K354" s="45" t="str">
        <f>VLOOKUP(T354,'AMP models AxeFxIII'!$D$2:$H$299,2,FALSE)</f>
        <v>Not Used</v>
      </c>
      <c r="L354" s="45" t="str">
        <f>VLOOKUP(U354,'AMP models AxeFxIII'!$D$2:$H$299,2,FALSE)</f>
        <v>Not Used</v>
      </c>
      <c r="M354" s="45" t="str">
        <f>VLOOKUP(V354,'AMP models AxeFxIII'!$D$2:$H$299,2,FALSE)</f>
        <v>Not Used</v>
      </c>
      <c r="N354" s="45" t="str">
        <f>VLOOKUP(W354,'AMP models AxeFxIII'!$D$2:$H$299,2,FALSE)</f>
        <v>Not Used</v>
      </c>
      <c r="O354" s="45" t="str">
        <f>VLOOKUP(X354,'AMP models AxeFxIII'!$D$2:$H$299,2,FALSE)</f>
        <v>Not Used</v>
      </c>
      <c r="P354" s="45" t="str">
        <f>VLOOKUP(Y354,'AMP models AxeFxIII'!$D$2:$H$299,2,FALSE)</f>
        <v>Not Used</v>
      </c>
      <c r="Q354" s="45" t="str">
        <f>VLOOKUP(Z354,'AMP models AxeFxIII'!$D$2:$H$299,2,FALSE)</f>
        <v>Not Used</v>
      </c>
      <c r="R354" s="4">
        <v>350</v>
      </c>
      <c r="S354" s="46" t="s">
        <v>555</v>
      </c>
      <c r="T354" s="46" t="s">
        <v>555</v>
      </c>
      <c r="U354" s="46" t="s">
        <v>555</v>
      </c>
      <c r="V354" s="46" t="s">
        <v>555</v>
      </c>
      <c r="W354" s="46" t="s">
        <v>555</v>
      </c>
      <c r="X354" s="46" t="s">
        <v>555</v>
      </c>
      <c r="Y354" s="46" t="s">
        <v>555</v>
      </c>
      <c r="Z354" s="46" t="s">
        <v>555</v>
      </c>
    </row>
    <row r="355" spans="1:26">
      <c r="A355" s="41">
        <f>preset_Names!A355</f>
        <v>351</v>
      </c>
      <c r="B355" t="str">
        <f t="shared" si="16"/>
        <v xml:space="preserve">strcpy(AMP1_A,("Not Used")); strcpy(AMP1_B,("Not Used")); strcpy(AMP1_C,("Not Used")); strcpy(AMP1_D,("Not Used")); </v>
      </c>
      <c r="C355" t="str">
        <f t="shared" si="17"/>
        <v xml:space="preserve">strcpy(AMP2_A,("Not Used")); strcpy(AMP2_B,("Not Used")); strcpy(AMP2_C,("Not Used")); strcpy(AMP2_D,("Not Used")); </v>
      </c>
      <c r="D355" s="31" t="s">
        <v>893</v>
      </c>
      <c r="E355" s="42" t="str">
        <f t="shared" si="15"/>
        <v>case 351: strcpy(AMP1_A,("Not Used")); strcpy(AMP1_B,("Not Used")); strcpy(AMP1_C,("Not Used")); strcpy(AMP1_D,("Not Used")); strcpy(AMP2_A,("Not Used")); strcpy(AMP2_B,("Not Used")); strcpy(AMP2_C,("Not Used")); strcpy(AMP2_D,("Not Used"));  break;</v>
      </c>
      <c r="F355" t="s">
        <v>893</v>
      </c>
      <c r="I355" t="s">
        <v>893</v>
      </c>
      <c r="J355" s="45" t="str">
        <f>VLOOKUP(S355,'AMP models AxeFxIII'!$D$2:$H$299,2,FALSE)</f>
        <v>Not Used</v>
      </c>
      <c r="K355" s="45" t="str">
        <f>VLOOKUP(T355,'AMP models AxeFxIII'!$D$2:$H$299,2,FALSE)</f>
        <v>Not Used</v>
      </c>
      <c r="L355" s="45" t="str">
        <f>VLOOKUP(U355,'AMP models AxeFxIII'!$D$2:$H$299,2,FALSE)</f>
        <v>Not Used</v>
      </c>
      <c r="M355" s="45" t="str">
        <f>VLOOKUP(V355,'AMP models AxeFxIII'!$D$2:$H$299,2,FALSE)</f>
        <v>Not Used</v>
      </c>
      <c r="N355" s="45" t="str">
        <f>VLOOKUP(W355,'AMP models AxeFxIII'!$D$2:$H$299,2,FALSE)</f>
        <v>Not Used</v>
      </c>
      <c r="O355" s="45" t="str">
        <f>VLOOKUP(X355,'AMP models AxeFxIII'!$D$2:$H$299,2,FALSE)</f>
        <v>Not Used</v>
      </c>
      <c r="P355" s="45" t="str">
        <f>VLOOKUP(Y355,'AMP models AxeFxIII'!$D$2:$H$299,2,FALSE)</f>
        <v>Not Used</v>
      </c>
      <c r="Q355" s="45" t="str">
        <f>VLOOKUP(Z355,'AMP models AxeFxIII'!$D$2:$H$299,2,FALSE)</f>
        <v>Not Used</v>
      </c>
      <c r="R355" s="4">
        <v>351</v>
      </c>
      <c r="S355" s="46" t="s">
        <v>555</v>
      </c>
      <c r="T355" s="46" t="s">
        <v>555</v>
      </c>
      <c r="U355" s="46" t="s">
        <v>555</v>
      </c>
      <c r="V355" s="46" t="s">
        <v>555</v>
      </c>
      <c r="W355" s="46" t="s">
        <v>555</v>
      </c>
      <c r="X355" s="46" t="s">
        <v>555</v>
      </c>
      <c r="Y355" s="46" t="s">
        <v>555</v>
      </c>
      <c r="Z355" s="46" t="s">
        <v>555</v>
      </c>
    </row>
    <row r="356" spans="1:26">
      <c r="A356" s="41">
        <f>preset_Names!A356</f>
        <v>352</v>
      </c>
      <c r="B356" t="str">
        <f t="shared" si="16"/>
        <v xml:space="preserve">strcpy(AMP1_A,("Not Used")); strcpy(AMP1_B,("Not Used")); strcpy(AMP1_C,("Not Used")); strcpy(AMP1_D,("Not Used")); </v>
      </c>
      <c r="C356" t="str">
        <f t="shared" si="17"/>
        <v xml:space="preserve">strcpy(AMP2_A,("Not Used")); strcpy(AMP2_B,("Not Used")); strcpy(AMP2_C,("Not Used")); strcpy(AMP2_D,("Not Used")); </v>
      </c>
      <c r="D356" s="31" t="s">
        <v>893</v>
      </c>
      <c r="E356" s="42" t="str">
        <f t="shared" si="15"/>
        <v>case 352: strcpy(AMP1_A,("Not Used")); strcpy(AMP1_B,("Not Used")); strcpy(AMP1_C,("Not Used")); strcpy(AMP1_D,("Not Used")); strcpy(AMP2_A,("Not Used")); strcpy(AMP2_B,("Not Used")); strcpy(AMP2_C,("Not Used")); strcpy(AMP2_D,("Not Used"));  break;</v>
      </c>
      <c r="F356" t="s">
        <v>893</v>
      </c>
      <c r="I356" t="s">
        <v>893</v>
      </c>
      <c r="J356" s="45" t="str">
        <f>VLOOKUP(S356,'AMP models AxeFxIII'!$D$2:$H$299,2,FALSE)</f>
        <v>Not Used</v>
      </c>
      <c r="K356" s="45" t="str">
        <f>VLOOKUP(T356,'AMP models AxeFxIII'!$D$2:$H$299,2,FALSE)</f>
        <v>Not Used</v>
      </c>
      <c r="L356" s="45" t="str">
        <f>VLOOKUP(U356,'AMP models AxeFxIII'!$D$2:$H$299,2,FALSE)</f>
        <v>Not Used</v>
      </c>
      <c r="M356" s="45" t="str">
        <f>VLOOKUP(V356,'AMP models AxeFxIII'!$D$2:$H$299,2,FALSE)</f>
        <v>Not Used</v>
      </c>
      <c r="N356" s="45" t="str">
        <f>VLOOKUP(W356,'AMP models AxeFxIII'!$D$2:$H$299,2,FALSE)</f>
        <v>Not Used</v>
      </c>
      <c r="O356" s="45" t="str">
        <f>VLOOKUP(X356,'AMP models AxeFxIII'!$D$2:$H$299,2,FALSE)</f>
        <v>Not Used</v>
      </c>
      <c r="P356" s="45" t="str">
        <f>VLOOKUP(Y356,'AMP models AxeFxIII'!$D$2:$H$299,2,FALSE)</f>
        <v>Not Used</v>
      </c>
      <c r="Q356" s="45" t="str">
        <f>VLOOKUP(Z356,'AMP models AxeFxIII'!$D$2:$H$299,2,FALSE)</f>
        <v>Not Used</v>
      </c>
      <c r="R356" s="4">
        <v>352</v>
      </c>
      <c r="S356" s="46" t="s">
        <v>555</v>
      </c>
      <c r="T356" s="46" t="s">
        <v>555</v>
      </c>
      <c r="U356" s="46" t="s">
        <v>555</v>
      </c>
      <c r="V356" s="46" t="s">
        <v>555</v>
      </c>
      <c r="W356" s="46" t="s">
        <v>555</v>
      </c>
      <c r="X356" s="46" t="s">
        <v>555</v>
      </c>
      <c r="Y356" s="46" t="s">
        <v>555</v>
      </c>
      <c r="Z356" s="46" t="s">
        <v>555</v>
      </c>
    </row>
    <row r="357" spans="1:26">
      <c r="A357" s="41">
        <f>preset_Names!A357</f>
        <v>353</v>
      </c>
      <c r="B357" t="str">
        <f t="shared" si="16"/>
        <v xml:space="preserve">strcpy(AMP1_A,("Not Used")); strcpy(AMP1_B,("Not Used")); strcpy(AMP1_C,("Not Used")); strcpy(AMP1_D,("Not Used")); </v>
      </c>
      <c r="C357" t="str">
        <f t="shared" si="17"/>
        <v xml:space="preserve">strcpy(AMP2_A,("Not Used")); strcpy(AMP2_B,("Not Used")); strcpy(AMP2_C,("Not Used")); strcpy(AMP2_D,("Not Used")); </v>
      </c>
      <c r="D357" s="31" t="s">
        <v>893</v>
      </c>
      <c r="E357" s="42" t="str">
        <f t="shared" si="15"/>
        <v>case 353: strcpy(AMP1_A,("Not Used")); strcpy(AMP1_B,("Not Used")); strcpy(AMP1_C,("Not Used")); strcpy(AMP1_D,("Not Used")); strcpy(AMP2_A,("Not Used")); strcpy(AMP2_B,("Not Used")); strcpy(AMP2_C,("Not Used")); strcpy(AMP2_D,("Not Used"));  break;</v>
      </c>
      <c r="F357" t="s">
        <v>893</v>
      </c>
      <c r="I357" t="s">
        <v>893</v>
      </c>
      <c r="J357" s="45" t="str">
        <f>VLOOKUP(S357,'AMP models AxeFxIII'!$D$2:$H$299,2,FALSE)</f>
        <v>Not Used</v>
      </c>
      <c r="K357" s="45" t="str">
        <f>VLOOKUP(T357,'AMP models AxeFxIII'!$D$2:$H$299,2,FALSE)</f>
        <v>Not Used</v>
      </c>
      <c r="L357" s="45" t="str">
        <f>VLOOKUP(U357,'AMP models AxeFxIII'!$D$2:$H$299,2,FALSE)</f>
        <v>Not Used</v>
      </c>
      <c r="M357" s="45" t="str">
        <f>VLOOKUP(V357,'AMP models AxeFxIII'!$D$2:$H$299,2,FALSE)</f>
        <v>Not Used</v>
      </c>
      <c r="N357" s="45" t="str">
        <f>VLOOKUP(W357,'AMP models AxeFxIII'!$D$2:$H$299,2,FALSE)</f>
        <v>Not Used</v>
      </c>
      <c r="O357" s="45" t="str">
        <f>VLOOKUP(X357,'AMP models AxeFxIII'!$D$2:$H$299,2,FALSE)</f>
        <v>Not Used</v>
      </c>
      <c r="P357" s="45" t="str">
        <f>VLOOKUP(Y357,'AMP models AxeFxIII'!$D$2:$H$299,2,FALSE)</f>
        <v>Not Used</v>
      </c>
      <c r="Q357" s="45" t="str">
        <f>VLOOKUP(Z357,'AMP models AxeFxIII'!$D$2:$H$299,2,FALSE)</f>
        <v>Not Used</v>
      </c>
      <c r="R357" s="4">
        <v>353</v>
      </c>
      <c r="S357" s="46" t="s">
        <v>555</v>
      </c>
      <c r="T357" s="46" t="s">
        <v>555</v>
      </c>
      <c r="U357" s="46" t="s">
        <v>555</v>
      </c>
      <c r="V357" s="46" t="s">
        <v>555</v>
      </c>
      <c r="W357" s="46" t="s">
        <v>555</v>
      </c>
      <c r="X357" s="46" t="s">
        <v>555</v>
      </c>
      <c r="Y357" s="46" t="s">
        <v>555</v>
      </c>
      <c r="Z357" s="46" t="s">
        <v>555</v>
      </c>
    </row>
    <row r="358" spans="1:26">
      <c r="A358" s="41">
        <f>preset_Names!A358</f>
        <v>354</v>
      </c>
      <c r="B358" t="str">
        <f t="shared" si="16"/>
        <v xml:space="preserve">strcpy(AMP1_A,("Not Used")); strcpy(AMP1_B,("Not Used")); strcpy(AMP1_C,("Not Used")); strcpy(AMP1_D,("Not Used")); </v>
      </c>
      <c r="C358" t="str">
        <f t="shared" si="17"/>
        <v xml:space="preserve">strcpy(AMP2_A,("Not Used")); strcpy(AMP2_B,("Not Used")); strcpy(AMP2_C,("Not Used")); strcpy(AMP2_D,("Not Used")); </v>
      </c>
      <c r="D358" s="31" t="s">
        <v>893</v>
      </c>
      <c r="E358" s="42" t="str">
        <f t="shared" si="15"/>
        <v>case 354: strcpy(AMP1_A,("Not Used")); strcpy(AMP1_B,("Not Used")); strcpy(AMP1_C,("Not Used")); strcpy(AMP1_D,("Not Used")); strcpy(AMP2_A,("Not Used")); strcpy(AMP2_B,("Not Used")); strcpy(AMP2_C,("Not Used")); strcpy(AMP2_D,("Not Used"));  break;</v>
      </c>
      <c r="F358" t="s">
        <v>893</v>
      </c>
      <c r="I358" t="s">
        <v>893</v>
      </c>
      <c r="J358" s="45" t="str">
        <f>VLOOKUP(S358,'AMP models AxeFxIII'!$D$2:$H$299,2,FALSE)</f>
        <v>Not Used</v>
      </c>
      <c r="K358" s="45" t="str">
        <f>VLOOKUP(T358,'AMP models AxeFxIII'!$D$2:$H$299,2,FALSE)</f>
        <v>Not Used</v>
      </c>
      <c r="L358" s="45" t="str">
        <f>VLOOKUP(U358,'AMP models AxeFxIII'!$D$2:$H$299,2,FALSE)</f>
        <v>Not Used</v>
      </c>
      <c r="M358" s="45" t="str">
        <f>VLOOKUP(V358,'AMP models AxeFxIII'!$D$2:$H$299,2,FALSE)</f>
        <v>Not Used</v>
      </c>
      <c r="N358" s="45" t="str">
        <f>VLOOKUP(W358,'AMP models AxeFxIII'!$D$2:$H$299,2,FALSE)</f>
        <v>Not Used</v>
      </c>
      <c r="O358" s="45" t="str">
        <f>VLOOKUP(X358,'AMP models AxeFxIII'!$D$2:$H$299,2,FALSE)</f>
        <v>Not Used</v>
      </c>
      <c r="P358" s="45" t="str">
        <f>VLOOKUP(Y358,'AMP models AxeFxIII'!$D$2:$H$299,2,FALSE)</f>
        <v>Not Used</v>
      </c>
      <c r="Q358" s="45" t="str">
        <f>VLOOKUP(Z358,'AMP models AxeFxIII'!$D$2:$H$299,2,FALSE)</f>
        <v>Not Used</v>
      </c>
      <c r="R358" s="4">
        <v>354</v>
      </c>
      <c r="S358" s="46" t="s">
        <v>555</v>
      </c>
      <c r="T358" s="46" t="s">
        <v>555</v>
      </c>
      <c r="U358" s="46" t="s">
        <v>555</v>
      </c>
      <c r="V358" s="46" t="s">
        <v>555</v>
      </c>
      <c r="W358" s="46" t="s">
        <v>555</v>
      </c>
      <c r="X358" s="46" t="s">
        <v>555</v>
      </c>
      <c r="Y358" s="46" t="s">
        <v>555</v>
      </c>
      <c r="Z358" s="46" t="s">
        <v>555</v>
      </c>
    </row>
    <row r="359" spans="1:26">
      <c r="A359" s="41">
        <f>preset_Names!A359</f>
        <v>355</v>
      </c>
      <c r="B359" t="str">
        <f t="shared" si="16"/>
        <v xml:space="preserve">strcpy(AMP1_A,("Not Used")); strcpy(AMP1_B,("Not Used")); strcpy(AMP1_C,("Not Used")); strcpy(AMP1_D,("Not Used")); </v>
      </c>
      <c r="C359" t="str">
        <f t="shared" si="17"/>
        <v xml:space="preserve">strcpy(AMP2_A,("Not Used")); strcpy(AMP2_B,("Not Used")); strcpy(AMP2_C,("Not Used")); strcpy(AMP2_D,("Not Used")); </v>
      </c>
      <c r="D359" s="31" t="s">
        <v>893</v>
      </c>
      <c r="E359" s="42" t="str">
        <f t="shared" si="15"/>
        <v>case 355: strcpy(AMP1_A,("Not Used")); strcpy(AMP1_B,("Not Used")); strcpy(AMP1_C,("Not Used")); strcpy(AMP1_D,("Not Used")); strcpy(AMP2_A,("Not Used")); strcpy(AMP2_B,("Not Used")); strcpy(AMP2_C,("Not Used")); strcpy(AMP2_D,("Not Used"));  break;</v>
      </c>
      <c r="F359" t="s">
        <v>893</v>
      </c>
      <c r="I359" t="s">
        <v>893</v>
      </c>
      <c r="J359" s="45" t="str">
        <f>VLOOKUP(S359,'AMP models AxeFxIII'!$D$2:$H$299,2,FALSE)</f>
        <v>Not Used</v>
      </c>
      <c r="K359" s="45" t="str">
        <f>VLOOKUP(T359,'AMP models AxeFxIII'!$D$2:$H$299,2,FALSE)</f>
        <v>Not Used</v>
      </c>
      <c r="L359" s="45" t="str">
        <f>VLOOKUP(U359,'AMP models AxeFxIII'!$D$2:$H$299,2,FALSE)</f>
        <v>Not Used</v>
      </c>
      <c r="M359" s="45" t="str">
        <f>VLOOKUP(V359,'AMP models AxeFxIII'!$D$2:$H$299,2,FALSE)</f>
        <v>Not Used</v>
      </c>
      <c r="N359" s="45" t="str">
        <f>VLOOKUP(W359,'AMP models AxeFxIII'!$D$2:$H$299,2,FALSE)</f>
        <v>Not Used</v>
      </c>
      <c r="O359" s="45" t="str">
        <f>VLOOKUP(X359,'AMP models AxeFxIII'!$D$2:$H$299,2,FALSE)</f>
        <v>Not Used</v>
      </c>
      <c r="P359" s="45" t="str">
        <f>VLOOKUP(Y359,'AMP models AxeFxIII'!$D$2:$H$299,2,FALSE)</f>
        <v>Not Used</v>
      </c>
      <c r="Q359" s="45" t="str">
        <f>VLOOKUP(Z359,'AMP models AxeFxIII'!$D$2:$H$299,2,FALSE)</f>
        <v>Not Used</v>
      </c>
      <c r="R359" s="4">
        <v>355</v>
      </c>
      <c r="S359" s="46" t="s">
        <v>555</v>
      </c>
      <c r="T359" s="46" t="s">
        <v>555</v>
      </c>
      <c r="U359" s="46" t="s">
        <v>555</v>
      </c>
      <c r="V359" s="46" t="s">
        <v>555</v>
      </c>
      <c r="W359" s="46" t="s">
        <v>555</v>
      </c>
      <c r="X359" s="46" t="s">
        <v>555</v>
      </c>
      <c r="Y359" s="46" t="s">
        <v>555</v>
      </c>
      <c r="Z359" s="46" t="s">
        <v>555</v>
      </c>
    </row>
    <row r="360" spans="1:26">
      <c r="A360" s="41">
        <f>preset_Names!A360</f>
        <v>356</v>
      </c>
      <c r="B360" t="str">
        <f t="shared" si="16"/>
        <v xml:space="preserve">strcpy(AMP1_A,("Not Used")); strcpy(AMP1_B,("Not Used")); strcpy(AMP1_C,("Not Used")); strcpy(AMP1_D,("Not Used")); </v>
      </c>
      <c r="C360" t="str">
        <f t="shared" si="17"/>
        <v xml:space="preserve">strcpy(AMP2_A,("Not Used")); strcpy(AMP2_B,("Not Used")); strcpy(AMP2_C,("Not Used")); strcpy(AMP2_D,("Not Used")); </v>
      </c>
      <c r="D360" s="31" t="s">
        <v>893</v>
      </c>
      <c r="E360" s="42" t="str">
        <f t="shared" si="15"/>
        <v>case 356: strcpy(AMP1_A,("Not Used")); strcpy(AMP1_B,("Not Used")); strcpy(AMP1_C,("Not Used")); strcpy(AMP1_D,("Not Used")); strcpy(AMP2_A,("Not Used")); strcpy(AMP2_B,("Not Used")); strcpy(AMP2_C,("Not Used")); strcpy(AMP2_D,("Not Used"));  break;</v>
      </c>
      <c r="F360" t="s">
        <v>893</v>
      </c>
      <c r="I360" t="s">
        <v>893</v>
      </c>
      <c r="J360" s="45" t="str">
        <f>VLOOKUP(S360,'AMP models AxeFxIII'!$D$2:$H$299,2,FALSE)</f>
        <v>Not Used</v>
      </c>
      <c r="K360" s="45" t="str">
        <f>VLOOKUP(T360,'AMP models AxeFxIII'!$D$2:$H$299,2,FALSE)</f>
        <v>Not Used</v>
      </c>
      <c r="L360" s="45" t="str">
        <f>VLOOKUP(U360,'AMP models AxeFxIII'!$D$2:$H$299,2,FALSE)</f>
        <v>Not Used</v>
      </c>
      <c r="M360" s="45" t="str">
        <f>VLOOKUP(V360,'AMP models AxeFxIII'!$D$2:$H$299,2,FALSE)</f>
        <v>Not Used</v>
      </c>
      <c r="N360" s="45" t="str">
        <f>VLOOKUP(W360,'AMP models AxeFxIII'!$D$2:$H$299,2,FALSE)</f>
        <v>Not Used</v>
      </c>
      <c r="O360" s="45" t="str">
        <f>VLOOKUP(X360,'AMP models AxeFxIII'!$D$2:$H$299,2,FALSE)</f>
        <v>Not Used</v>
      </c>
      <c r="P360" s="45" t="str">
        <f>VLOOKUP(Y360,'AMP models AxeFxIII'!$D$2:$H$299,2,FALSE)</f>
        <v>Not Used</v>
      </c>
      <c r="Q360" s="45" t="str">
        <f>VLOOKUP(Z360,'AMP models AxeFxIII'!$D$2:$H$299,2,FALSE)</f>
        <v>Not Used</v>
      </c>
      <c r="R360" s="4">
        <v>356</v>
      </c>
      <c r="S360" s="46" t="s">
        <v>555</v>
      </c>
      <c r="T360" s="46" t="s">
        <v>555</v>
      </c>
      <c r="U360" s="46" t="s">
        <v>555</v>
      </c>
      <c r="V360" s="46" t="s">
        <v>555</v>
      </c>
      <c r="W360" s="46" t="s">
        <v>555</v>
      </c>
      <c r="X360" s="46" t="s">
        <v>555</v>
      </c>
      <c r="Y360" s="46" t="s">
        <v>555</v>
      </c>
      <c r="Z360" s="46" t="s">
        <v>555</v>
      </c>
    </row>
    <row r="361" spans="1:26">
      <c r="A361" s="41">
        <f>preset_Names!A361</f>
        <v>357</v>
      </c>
      <c r="B361" t="str">
        <f t="shared" si="16"/>
        <v xml:space="preserve">strcpy(AMP1_A,("Not Used")); strcpy(AMP1_B,("Not Used")); strcpy(AMP1_C,("Not Used")); strcpy(AMP1_D,("Not Used")); </v>
      </c>
      <c r="C361" t="str">
        <f t="shared" si="17"/>
        <v xml:space="preserve">strcpy(AMP2_A,("Not Used")); strcpy(AMP2_B,("Not Used")); strcpy(AMP2_C,("Not Used")); strcpy(AMP2_D,("Not Used")); </v>
      </c>
      <c r="D361" s="31" t="s">
        <v>893</v>
      </c>
      <c r="E361" s="42" t="str">
        <f t="shared" si="15"/>
        <v>case 357: strcpy(AMP1_A,("Not Used")); strcpy(AMP1_B,("Not Used")); strcpy(AMP1_C,("Not Used")); strcpy(AMP1_D,("Not Used")); strcpy(AMP2_A,("Not Used")); strcpy(AMP2_B,("Not Used")); strcpy(AMP2_C,("Not Used")); strcpy(AMP2_D,("Not Used"));  break;</v>
      </c>
      <c r="F361" t="s">
        <v>893</v>
      </c>
      <c r="I361" t="s">
        <v>893</v>
      </c>
      <c r="J361" s="45" t="str">
        <f>VLOOKUP(S361,'AMP models AxeFxIII'!$D$2:$H$299,2,FALSE)</f>
        <v>Not Used</v>
      </c>
      <c r="K361" s="45" t="str">
        <f>VLOOKUP(T361,'AMP models AxeFxIII'!$D$2:$H$299,2,FALSE)</f>
        <v>Not Used</v>
      </c>
      <c r="L361" s="45" t="str">
        <f>VLOOKUP(U361,'AMP models AxeFxIII'!$D$2:$H$299,2,FALSE)</f>
        <v>Not Used</v>
      </c>
      <c r="M361" s="45" t="str">
        <f>VLOOKUP(V361,'AMP models AxeFxIII'!$D$2:$H$299,2,FALSE)</f>
        <v>Not Used</v>
      </c>
      <c r="N361" s="45" t="str">
        <f>VLOOKUP(W361,'AMP models AxeFxIII'!$D$2:$H$299,2,FALSE)</f>
        <v>Not Used</v>
      </c>
      <c r="O361" s="45" t="str">
        <f>VLOOKUP(X361,'AMP models AxeFxIII'!$D$2:$H$299,2,FALSE)</f>
        <v>Not Used</v>
      </c>
      <c r="P361" s="45" t="str">
        <f>VLOOKUP(Y361,'AMP models AxeFxIII'!$D$2:$H$299,2,FALSE)</f>
        <v>Not Used</v>
      </c>
      <c r="Q361" s="45" t="str">
        <f>VLOOKUP(Z361,'AMP models AxeFxIII'!$D$2:$H$299,2,FALSE)</f>
        <v>Not Used</v>
      </c>
      <c r="R361" s="4">
        <v>357</v>
      </c>
      <c r="S361" s="46" t="s">
        <v>555</v>
      </c>
      <c r="T361" s="46" t="s">
        <v>555</v>
      </c>
      <c r="U361" s="46" t="s">
        <v>555</v>
      </c>
      <c r="V361" s="46" t="s">
        <v>555</v>
      </c>
      <c r="W361" s="46" t="s">
        <v>555</v>
      </c>
      <c r="X361" s="46" t="s">
        <v>555</v>
      </c>
      <c r="Y361" s="46" t="s">
        <v>555</v>
      </c>
      <c r="Z361" s="46" t="s">
        <v>555</v>
      </c>
    </row>
    <row r="362" spans="1:26">
      <c r="A362" s="41">
        <f>preset_Names!A362</f>
        <v>358</v>
      </c>
      <c r="B362" t="str">
        <f t="shared" si="16"/>
        <v xml:space="preserve">strcpy(AMP1_A,("Not Used")); strcpy(AMP1_B,("Not Used")); strcpy(AMP1_C,("Not Used")); strcpy(AMP1_D,("Not Used")); </v>
      </c>
      <c r="C362" t="str">
        <f t="shared" si="17"/>
        <v xml:space="preserve">strcpy(AMP2_A,("Not Used")); strcpy(AMP2_B,("Not Used")); strcpy(AMP2_C,("Not Used")); strcpy(AMP2_D,("Not Used")); </v>
      </c>
      <c r="D362" s="31" t="s">
        <v>893</v>
      </c>
      <c r="E362" s="42" t="str">
        <f t="shared" si="15"/>
        <v>case 358: strcpy(AMP1_A,("Not Used")); strcpy(AMP1_B,("Not Used")); strcpy(AMP1_C,("Not Used")); strcpy(AMP1_D,("Not Used")); strcpy(AMP2_A,("Not Used")); strcpy(AMP2_B,("Not Used")); strcpy(AMP2_C,("Not Used")); strcpy(AMP2_D,("Not Used"));  break;</v>
      </c>
      <c r="F362" t="s">
        <v>893</v>
      </c>
      <c r="I362" t="s">
        <v>893</v>
      </c>
      <c r="J362" s="45" t="str">
        <f>VLOOKUP(S362,'AMP models AxeFxIII'!$D$2:$H$299,2,FALSE)</f>
        <v>Not Used</v>
      </c>
      <c r="K362" s="45" t="str">
        <f>VLOOKUP(T362,'AMP models AxeFxIII'!$D$2:$H$299,2,FALSE)</f>
        <v>Not Used</v>
      </c>
      <c r="L362" s="45" t="str">
        <f>VLOOKUP(U362,'AMP models AxeFxIII'!$D$2:$H$299,2,FALSE)</f>
        <v>Not Used</v>
      </c>
      <c r="M362" s="45" t="str">
        <f>VLOOKUP(V362,'AMP models AxeFxIII'!$D$2:$H$299,2,FALSE)</f>
        <v>Not Used</v>
      </c>
      <c r="N362" s="45" t="str">
        <f>VLOOKUP(W362,'AMP models AxeFxIII'!$D$2:$H$299,2,FALSE)</f>
        <v>Not Used</v>
      </c>
      <c r="O362" s="45" t="str">
        <f>VLOOKUP(X362,'AMP models AxeFxIII'!$D$2:$H$299,2,FALSE)</f>
        <v>Not Used</v>
      </c>
      <c r="P362" s="45" t="str">
        <f>VLOOKUP(Y362,'AMP models AxeFxIII'!$D$2:$H$299,2,FALSE)</f>
        <v>Not Used</v>
      </c>
      <c r="Q362" s="45" t="str">
        <f>VLOOKUP(Z362,'AMP models AxeFxIII'!$D$2:$H$299,2,FALSE)</f>
        <v>Not Used</v>
      </c>
      <c r="R362" s="4">
        <v>358</v>
      </c>
      <c r="S362" s="46" t="s">
        <v>555</v>
      </c>
      <c r="T362" s="46" t="s">
        <v>555</v>
      </c>
      <c r="U362" s="46" t="s">
        <v>555</v>
      </c>
      <c r="V362" s="46" t="s">
        <v>555</v>
      </c>
      <c r="W362" s="46" t="s">
        <v>555</v>
      </c>
      <c r="X362" s="46" t="s">
        <v>555</v>
      </c>
      <c r="Y362" s="46" t="s">
        <v>555</v>
      </c>
      <c r="Z362" s="46" t="s">
        <v>555</v>
      </c>
    </row>
    <row r="363" spans="1:26">
      <c r="A363" s="41">
        <f>preset_Names!A363</f>
        <v>359</v>
      </c>
      <c r="B363" t="str">
        <f t="shared" si="16"/>
        <v xml:space="preserve">strcpy(AMP1_A,("Not Used")); strcpy(AMP1_B,("Not Used")); strcpy(AMP1_C,("Not Used")); strcpy(AMP1_D,("Not Used")); </v>
      </c>
      <c r="C363" t="str">
        <f t="shared" si="17"/>
        <v xml:space="preserve">strcpy(AMP2_A,("Not Used")); strcpy(AMP2_B,("Not Used")); strcpy(AMP2_C,("Not Used")); strcpy(AMP2_D,("Not Used")); </v>
      </c>
      <c r="D363" s="31" t="s">
        <v>893</v>
      </c>
      <c r="E363" s="42" t="str">
        <f t="shared" si="15"/>
        <v>case 359: strcpy(AMP1_A,("Not Used")); strcpy(AMP1_B,("Not Used")); strcpy(AMP1_C,("Not Used")); strcpy(AMP1_D,("Not Used")); strcpy(AMP2_A,("Not Used")); strcpy(AMP2_B,("Not Used")); strcpy(AMP2_C,("Not Used")); strcpy(AMP2_D,("Not Used"));  break;</v>
      </c>
      <c r="F363" t="s">
        <v>893</v>
      </c>
      <c r="I363" t="s">
        <v>893</v>
      </c>
      <c r="J363" s="45" t="str">
        <f>VLOOKUP(S363,'AMP models AxeFxIII'!$D$2:$H$299,2,FALSE)</f>
        <v>Not Used</v>
      </c>
      <c r="K363" s="45" t="str">
        <f>VLOOKUP(T363,'AMP models AxeFxIII'!$D$2:$H$299,2,FALSE)</f>
        <v>Not Used</v>
      </c>
      <c r="L363" s="45" t="str">
        <f>VLOOKUP(U363,'AMP models AxeFxIII'!$D$2:$H$299,2,FALSE)</f>
        <v>Not Used</v>
      </c>
      <c r="M363" s="45" t="str">
        <f>VLOOKUP(V363,'AMP models AxeFxIII'!$D$2:$H$299,2,FALSE)</f>
        <v>Not Used</v>
      </c>
      <c r="N363" s="45" t="str">
        <f>VLOOKUP(W363,'AMP models AxeFxIII'!$D$2:$H$299,2,FALSE)</f>
        <v>Not Used</v>
      </c>
      <c r="O363" s="45" t="str">
        <f>VLOOKUP(X363,'AMP models AxeFxIII'!$D$2:$H$299,2,FALSE)</f>
        <v>Not Used</v>
      </c>
      <c r="P363" s="45" t="str">
        <f>VLOOKUP(Y363,'AMP models AxeFxIII'!$D$2:$H$299,2,FALSE)</f>
        <v>Not Used</v>
      </c>
      <c r="Q363" s="45" t="str">
        <f>VLOOKUP(Z363,'AMP models AxeFxIII'!$D$2:$H$299,2,FALSE)</f>
        <v>Not Used</v>
      </c>
      <c r="R363" s="4">
        <v>359</v>
      </c>
      <c r="S363" s="46" t="s">
        <v>555</v>
      </c>
      <c r="T363" s="46" t="s">
        <v>555</v>
      </c>
      <c r="U363" s="46" t="s">
        <v>555</v>
      </c>
      <c r="V363" s="46" t="s">
        <v>555</v>
      </c>
      <c r="W363" s="46" t="s">
        <v>555</v>
      </c>
      <c r="X363" s="46" t="s">
        <v>555</v>
      </c>
      <c r="Y363" s="46" t="s">
        <v>555</v>
      </c>
      <c r="Z363" s="46" t="s">
        <v>555</v>
      </c>
    </row>
    <row r="364" spans="1:26">
      <c r="A364" s="41">
        <f>preset_Names!A364</f>
        <v>360</v>
      </c>
      <c r="B364" t="str">
        <f t="shared" si="16"/>
        <v xml:space="preserve">strcpy(AMP1_A,("Not Used")); strcpy(AMP1_B,("Not Used")); strcpy(AMP1_C,("Not Used")); strcpy(AMP1_D,("Not Used")); </v>
      </c>
      <c r="C364" t="str">
        <f t="shared" si="17"/>
        <v xml:space="preserve">strcpy(AMP2_A,("Not Used")); strcpy(AMP2_B,("Not Used")); strcpy(AMP2_C,("Not Used")); strcpy(AMP2_D,("Not Used")); </v>
      </c>
      <c r="D364" s="31" t="s">
        <v>893</v>
      </c>
      <c r="E364" s="42" t="str">
        <f t="shared" si="15"/>
        <v>case 360: strcpy(AMP1_A,("Not Used")); strcpy(AMP1_B,("Not Used")); strcpy(AMP1_C,("Not Used")); strcpy(AMP1_D,("Not Used")); strcpy(AMP2_A,("Not Used")); strcpy(AMP2_B,("Not Used")); strcpy(AMP2_C,("Not Used")); strcpy(AMP2_D,("Not Used"));  break;</v>
      </c>
      <c r="F364" t="s">
        <v>893</v>
      </c>
      <c r="I364" t="s">
        <v>893</v>
      </c>
      <c r="J364" s="45" t="str">
        <f>VLOOKUP(S364,'AMP models AxeFxIII'!$D$2:$H$299,2,FALSE)</f>
        <v>Not Used</v>
      </c>
      <c r="K364" s="45" t="str">
        <f>VLOOKUP(T364,'AMP models AxeFxIII'!$D$2:$H$299,2,FALSE)</f>
        <v>Not Used</v>
      </c>
      <c r="L364" s="45" t="str">
        <f>VLOOKUP(U364,'AMP models AxeFxIII'!$D$2:$H$299,2,FALSE)</f>
        <v>Not Used</v>
      </c>
      <c r="M364" s="45" t="str">
        <f>VLOOKUP(V364,'AMP models AxeFxIII'!$D$2:$H$299,2,FALSE)</f>
        <v>Not Used</v>
      </c>
      <c r="N364" s="45" t="str">
        <f>VLOOKUP(W364,'AMP models AxeFxIII'!$D$2:$H$299,2,FALSE)</f>
        <v>Not Used</v>
      </c>
      <c r="O364" s="45" t="str">
        <f>VLOOKUP(X364,'AMP models AxeFxIII'!$D$2:$H$299,2,FALSE)</f>
        <v>Not Used</v>
      </c>
      <c r="P364" s="45" t="str">
        <f>VLOOKUP(Y364,'AMP models AxeFxIII'!$D$2:$H$299,2,FALSE)</f>
        <v>Not Used</v>
      </c>
      <c r="Q364" s="45" t="str">
        <f>VLOOKUP(Z364,'AMP models AxeFxIII'!$D$2:$H$299,2,FALSE)</f>
        <v>Not Used</v>
      </c>
      <c r="R364" s="4">
        <v>360</v>
      </c>
      <c r="S364" s="46" t="s">
        <v>555</v>
      </c>
      <c r="T364" s="46" t="s">
        <v>555</v>
      </c>
      <c r="U364" s="46" t="s">
        <v>555</v>
      </c>
      <c r="V364" s="46" t="s">
        <v>555</v>
      </c>
      <c r="W364" s="46" t="s">
        <v>555</v>
      </c>
      <c r="X364" s="46" t="s">
        <v>555</v>
      </c>
      <c r="Y364" s="46" t="s">
        <v>555</v>
      </c>
      <c r="Z364" s="46" t="s">
        <v>555</v>
      </c>
    </row>
    <row r="365" spans="1:26">
      <c r="A365" s="41">
        <f>preset_Names!A365</f>
        <v>361</v>
      </c>
      <c r="B365" t="str">
        <f t="shared" si="16"/>
        <v xml:space="preserve">strcpy(AMP1_A,("Not Used")); strcpy(AMP1_B,("Not Used")); strcpy(AMP1_C,("Not Used")); strcpy(AMP1_D,("Not Used")); </v>
      </c>
      <c r="C365" t="str">
        <f t="shared" si="17"/>
        <v xml:space="preserve">strcpy(AMP2_A,("Not Used")); strcpy(AMP2_B,("Not Used")); strcpy(AMP2_C,("Not Used")); strcpy(AMP2_D,("Not Used")); </v>
      </c>
      <c r="D365" s="31" t="s">
        <v>893</v>
      </c>
      <c r="E365" s="42" t="str">
        <f t="shared" si="15"/>
        <v>case 361: strcpy(AMP1_A,("Not Used")); strcpy(AMP1_B,("Not Used")); strcpy(AMP1_C,("Not Used")); strcpy(AMP1_D,("Not Used")); strcpy(AMP2_A,("Not Used")); strcpy(AMP2_B,("Not Used")); strcpy(AMP2_C,("Not Used")); strcpy(AMP2_D,("Not Used"));  break;</v>
      </c>
      <c r="F365" t="s">
        <v>893</v>
      </c>
      <c r="I365" t="s">
        <v>893</v>
      </c>
      <c r="J365" s="45" t="str">
        <f>VLOOKUP(S365,'AMP models AxeFxIII'!$D$2:$H$299,2,FALSE)</f>
        <v>Not Used</v>
      </c>
      <c r="K365" s="45" t="str">
        <f>VLOOKUP(T365,'AMP models AxeFxIII'!$D$2:$H$299,2,FALSE)</f>
        <v>Not Used</v>
      </c>
      <c r="L365" s="45" t="str">
        <f>VLOOKUP(U365,'AMP models AxeFxIII'!$D$2:$H$299,2,FALSE)</f>
        <v>Not Used</v>
      </c>
      <c r="M365" s="45" t="str">
        <f>VLOOKUP(V365,'AMP models AxeFxIII'!$D$2:$H$299,2,FALSE)</f>
        <v>Not Used</v>
      </c>
      <c r="N365" s="45" t="str">
        <f>VLOOKUP(W365,'AMP models AxeFxIII'!$D$2:$H$299,2,FALSE)</f>
        <v>Not Used</v>
      </c>
      <c r="O365" s="45" t="str">
        <f>VLOOKUP(X365,'AMP models AxeFxIII'!$D$2:$H$299,2,FALSE)</f>
        <v>Not Used</v>
      </c>
      <c r="P365" s="45" t="str">
        <f>VLOOKUP(Y365,'AMP models AxeFxIII'!$D$2:$H$299,2,FALSE)</f>
        <v>Not Used</v>
      </c>
      <c r="Q365" s="45" t="str">
        <f>VLOOKUP(Z365,'AMP models AxeFxIII'!$D$2:$H$299,2,FALSE)</f>
        <v>Not Used</v>
      </c>
      <c r="R365" s="4">
        <v>361</v>
      </c>
      <c r="S365" s="46" t="s">
        <v>555</v>
      </c>
      <c r="T365" s="46" t="s">
        <v>555</v>
      </c>
      <c r="U365" s="46" t="s">
        <v>555</v>
      </c>
      <c r="V365" s="46" t="s">
        <v>555</v>
      </c>
      <c r="W365" s="46" t="s">
        <v>555</v>
      </c>
      <c r="X365" s="46" t="s">
        <v>555</v>
      </c>
      <c r="Y365" s="46" t="s">
        <v>555</v>
      </c>
      <c r="Z365" s="46" t="s">
        <v>555</v>
      </c>
    </row>
    <row r="366" spans="1:26">
      <c r="A366" s="41">
        <f>preset_Names!A366</f>
        <v>362</v>
      </c>
      <c r="B366" t="str">
        <f t="shared" si="16"/>
        <v xml:space="preserve">strcpy(AMP1_A,("Not Used")); strcpy(AMP1_B,("Not Used")); strcpy(AMP1_C,("Not Used")); strcpy(AMP1_D,("Not Used")); </v>
      </c>
      <c r="C366" t="str">
        <f t="shared" si="17"/>
        <v xml:space="preserve">strcpy(AMP2_A,("Not Used")); strcpy(AMP2_B,("Not Used")); strcpy(AMP2_C,("Not Used")); strcpy(AMP2_D,("Not Used")); </v>
      </c>
      <c r="D366" s="31" t="s">
        <v>893</v>
      </c>
      <c r="E366" s="42" t="str">
        <f t="shared" si="15"/>
        <v>case 362: strcpy(AMP1_A,("Not Used")); strcpy(AMP1_B,("Not Used")); strcpy(AMP1_C,("Not Used")); strcpy(AMP1_D,("Not Used")); strcpy(AMP2_A,("Not Used")); strcpy(AMP2_B,("Not Used")); strcpy(AMP2_C,("Not Used")); strcpy(AMP2_D,("Not Used"));  break;</v>
      </c>
      <c r="F366" t="s">
        <v>893</v>
      </c>
      <c r="I366" t="s">
        <v>893</v>
      </c>
      <c r="J366" s="45" t="str">
        <f>VLOOKUP(S366,'AMP models AxeFxIII'!$D$2:$H$299,2,FALSE)</f>
        <v>Not Used</v>
      </c>
      <c r="K366" s="45" t="str">
        <f>VLOOKUP(T366,'AMP models AxeFxIII'!$D$2:$H$299,2,FALSE)</f>
        <v>Not Used</v>
      </c>
      <c r="L366" s="45" t="str">
        <f>VLOOKUP(U366,'AMP models AxeFxIII'!$D$2:$H$299,2,FALSE)</f>
        <v>Not Used</v>
      </c>
      <c r="M366" s="45" t="str">
        <f>VLOOKUP(V366,'AMP models AxeFxIII'!$D$2:$H$299,2,FALSE)</f>
        <v>Not Used</v>
      </c>
      <c r="N366" s="45" t="str">
        <f>VLOOKUP(W366,'AMP models AxeFxIII'!$D$2:$H$299,2,FALSE)</f>
        <v>Not Used</v>
      </c>
      <c r="O366" s="45" t="str">
        <f>VLOOKUP(X366,'AMP models AxeFxIII'!$D$2:$H$299,2,FALSE)</f>
        <v>Not Used</v>
      </c>
      <c r="P366" s="45" t="str">
        <f>VLOOKUP(Y366,'AMP models AxeFxIII'!$D$2:$H$299,2,FALSE)</f>
        <v>Not Used</v>
      </c>
      <c r="Q366" s="45" t="str">
        <f>VLOOKUP(Z366,'AMP models AxeFxIII'!$D$2:$H$299,2,FALSE)</f>
        <v>Not Used</v>
      </c>
      <c r="R366" s="4">
        <v>362</v>
      </c>
      <c r="S366" s="46" t="s">
        <v>555</v>
      </c>
      <c r="T366" s="46" t="s">
        <v>555</v>
      </c>
      <c r="U366" s="46" t="s">
        <v>555</v>
      </c>
      <c r="V366" s="46" t="s">
        <v>555</v>
      </c>
      <c r="W366" s="46" t="s">
        <v>555</v>
      </c>
      <c r="X366" s="46" t="s">
        <v>555</v>
      </c>
      <c r="Y366" s="46" t="s">
        <v>555</v>
      </c>
      <c r="Z366" s="46" t="s">
        <v>555</v>
      </c>
    </row>
    <row r="367" spans="1:26">
      <c r="A367" s="41">
        <f>preset_Names!A367</f>
        <v>363</v>
      </c>
      <c r="B367" t="str">
        <f t="shared" si="16"/>
        <v xml:space="preserve">strcpy(AMP1_A,("Not Used")); strcpy(AMP1_B,("Not Used")); strcpy(AMP1_C,("Not Used")); strcpy(AMP1_D,("Not Used")); </v>
      </c>
      <c r="C367" t="str">
        <f t="shared" si="17"/>
        <v xml:space="preserve">strcpy(AMP2_A,("Not Used")); strcpy(AMP2_B,("Not Used")); strcpy(AMP2_C,("Not Used")); strcpy(AMP2_D,("Not Used")); </v>
      </c>
      <c r="D367" s="31" t="s">
        <v>893</v>
      </c>
      <c r="E367" s="42" t="str">
        <f t="shared" si="15"/>
        <v>case 363: strcpy(AMP1_A,("Not Used")); strcpy(AMP1_B,("Not Used")); strcpy(AMP1_C,("Not Used")); strcpy(AMP1_D,("Not Used")); strcpy(AMP2_A,("Not Used")); strcpy(AMP2_B,("Not Used")); strcpy(AMP2_C,("Not Used")); strcpy(AMP2_D,("Not Used"));  break;</v>
      </c>
      <c r="F367" t="s">
        <v>893</v>
      </c>
      <c r="I367" t="s">
        <v>893</v>
      </c>
      <c r="J367" s="45" t="str">
        <f>VLOOKUP(S367,'AMP models AxeFxIII'!$D$2:$H$299,2,FALSE)</f>
        <v>Not Used</v>
      </c>
      <c r="K367" s="45" t="str">
        <f>VLOOKUP(T367,'AMP models AxeFxIII'!$D$2:$H$299,2,FALSE)</f>
        <v>Not Used</v>
      </c>
      <c r="L367" s="45" t="str">
        <f>VLOOKUP(U367,'AMP models AxeFxIII'!$D$2:$H$299,2,FALSE)</f>
        <v>Not Used</v>
      </c>
      <c r="M367" s="45" t="str">
        <f>VLOOKUP(V367,'AMP models AxeFxIII'!$D$2:$H$299,2,FALSE)</f>
        <v>Not Used</v>
      </c>
      <c r="N367" s="45" t="str">
        <f>VLOOKUP(W367,'AMP models AxeFxIII'!$D$2:$H$299,2,FALSE)</f>
        <v>Not Used</v>
      </c>
      <c r="O367" s="45" t="str">
        <f>VLOOKUP(X367,'AMP models AxeFxIII'!$D$2:$H$299,2,FALSE)</f>
        <v>Not Used</v>
      </c>
      <c r="P367" s="45" t="str">
        <f>VLOOKUP(Y367,'AMP models AxeFxIII'!$D$2:$H$299,2,FALSE)</f>
        <v>Not Used</v>
      </c>
      <c r="Q367" s="45" t="str">
        <f>VLOOKUP(Z367,'AMP models AxeFxIII'!$D$2:$H$299,2,FALSE)</f>
        <v>Not Used</v>
      </c>
      <c r="R367" s="4">
        <v>363</v>
      </c>
      <c r="S367" s="46" t="s">
        <v>555</v>
      </c>
      <c r="T367" s="46" t="s">
        <v>555</v>
      </c>
      <c r="U367" s="46" t="s">
        <v>555</v>
      </c>
      <c r="V367" s="46" t="s">
        <v>555</v>
      </c>
      <c r="W367" s="46" t="s">
        <v>555</v>
      </c>
      <c r="X367" s="46" t="s">
        <v>555</v>
      </c>
      <c r="Y367" s="46" t="s">
        <v>555</v>
      </c>
      <c r="Z367" s="46" t="s">
        <v>555</v>
      </c>
    </row>
    <row r="368" spans="1:26">
      <c r="A368" s="41">
        <f>preset_Names!A368</f>
        <v>364</v>
      </c>
      <c r="B368" t="str">
        <f t="shared" si="16"/>
        <v xml:space="preserve">strcpy(AMP1_A,("Not Used")); strcpy(AMP1_B,("Not Used")); strcpy(AMP1_C,("Not Used")); strcpy(AMP1_D,("Not Used")); </v>
      </c>
      <c r="C368" t="str">
        <f t="shared" si="17"/>
        <v xml:space="preserve">strcpy(AMP2_A,("Not Used")); strcpy(AMP2_B,("Not Used")); strcpy(AMP2_C,("Not Used")); strcpy(AMP2_D,("Not Used")); </v>
      </c>
      <c r="D368" s="31" t="s">
        <v>893</v>
      </c>
      <c r="E368" s="42" t="str">
        <f t="shared" si="15"/>
        <v>case 364: strcpy(AMP1_A,("Not Used")); strcpy(AMP1_B,("Not Used")); strcpy(AMP1_C,("Not Used")); strcpy(AMP1_D,("Not Used")); strcpy(AMP2_A,("Not Used")); strcpy(AMP2_B,("Not Used")); strcpy(AMP2_C,("Not Used")); strcpy(AMP2_D,("Not Used"));  break;</v>
      </c>
      <c r="F368" t="s">
        <v>893</v>
      </c>
      <c r="I368" t="s">
        <v>893</v>
      </c>
      <c r="J368" s="45" t="str">
        <f>VLOOKUP(S368,'AMP models AxeFxIII'!$D$2:$H$299,2,FALSE)</f>
        <v>Not Used</v>
      </c>
      <c r="K368" s="45" t="str">
        <f>VLOOKUP(T368,'AMP models AxeFxIII'!$D$2:$H$299,2,FALSE)</f>
        <v>Not Used</v>
      </c>
      <c r="L368" s="45" t="str">
        <f>VLOOKUP(U368,'AMP models AxeFxIII'!$D$2:$H$299,2,FALSE)</f>
        <v>Not Used</v>
      </c>
      <c r="M368" s="45" t="str">
        <f>VLOOKUP(V368,'AMP models AxeFxIII'!$D$2:$H$299,2,FALSE)</f>
        <v>Not Used</v>
      </c>
      <c r="N368" s="45" t="str">
        <f>VLOOKUP(W368,'AMP models AxeFxIII'!$D$2:$H$299,2,FALSE)</f>
        <v>Not Used</v>
      </c>
      <c r="O368" s="45" t="str">
        <f>VLOOKUP(X368,'AMP models AxeFxIII'!$D$2:$H$299,2,FALSE)</f>
        <v>Not Used</v>
      </c>
      <c r="P368" s="45" t="str">
        <f>VLOOKUP(Y368,'AMP models AxeFxIII'!$D$2:$H$299,2,FALSE)</f>
        <v>Not Used</v>
      </c>
      <c r="Q368" s="45" t="str">
        <f>VLOOKUP(Z368,'AMP models AxeFxIII'!$D$2:$H$299,2,FALSE)</f>
        <v>Not Used</v>
      </c>
      <c r="R368" s="4">
        <v>364</v>
      </c>
      <c r="S368" s="46" t="s">
        <v>555</v>
      </c>
      <c r="T368" s="46" t="s">
        <v>555</v>
      </c>
      <c r="U368" s="46" t="s">
        <v>555</v>
      </c>
      <c r="V368" s="46" t="s">
        <v>555</v>
      </c>
      <c r="W368" s="46" t="s">
        <v>555</v>
      </c>
      <c r="X368" s="46" t="s">
        <v>555</v>
      </c>
      <c r="Y368" s="46" t="s">
        <v>555</v>
      </c>
      <c r="Z368" s="46" t="s">
        <v>555</v>
      </c>
    </row>
    <row r="369" spans="1:26">
      <c r="A369" s="41">
        <f>preset_Names!A369</f>
        <v>365</v>
      </c>
      <c r="B369" t="str">
        <f t="shared" si="16"/>
        <v xml:space="preserve">strcpy(AMP1_A,("Not Used")); strcpy(AMP1_B,("Not Used")); strcpy(AMP1_C,("Not Used")); strcpy(AMP1_D,("Not Used")); </v>
      </c>
      <c r="C369" t="str">
        <f t="shared" si="17"/>
        <v xml:space="preserve">strcpy(AMP2_A,("Not Used")); strcpy(AMP2_B,("Not Used")); strcpy(AMP2_C,("Not Used")); strcpy(AMP2_D,("Not Used")); </v>
      </c>
      <c r="D369" s="31" t="s">
        <v>893</v>
      </c>
      <c r="E369" s="42" t="str">
        <f t="shared" si="15"/>
        <v>case 365: strcpy(AMP1_A,("Not Used")); strcpy(AMP1_B,("Not Used")); strcpy(AMP1_C,("Not Used")); strcpy(AMP1_D,("Not Used")); strcpy(AMP2_A,("Not Used")); strcpy(AMP2_B,("Not Used")); strcpy(AMP2_C,("Not Used")); strcpy(AMP2_D,("Not Used"));  break;</v>
      </c>
      <c r="F369" t="s">
        <v>893</v>
      </c>
      <c r="I369" t="s">
        <v>893</v>
      </c>
      <c r="J369" s="45" t="str">
        <f>VLOOKUP(S369,'AMP models AxeFxIII'!$D$2:$H$299,2,FALSE)</f>
        <v>Not Used</v>
      </c>
      <c r="K369" s="45" t="str">
        <f>VLOOKUP(T369,'AMP models AxeFxIII'!$D$2:$H$299,2,FALSE)</f>
        <v>Not Used</v>
      </c>
      <c r="L369" s="45" t="str">
        <f>VLOOKUP(U369,'AMP models AxeFxIII'!$D$2:$H$299,2,FALSE)</f>
        <v>Not Used</v>
      </c>
      <c r="M369" s="45" t="str">
        <f>VLOOKUP(V369,'AMP models AxeFxIII'!$D$2:$H$299,2,FALSE)</f>
        <v>Not Used</v>
      </c>
      <c r="N369" s="45" t="str">
        <f>VLOOKUP(W369,'AMP models AxeFxIII'!$D$2:$H$299,2,FALSE)</f>
        <v>Not Used</v>
      </c>
      <c r="O369" s="45" t="str">
        <f>VLOOKUP(X369,'AMP models AxeFxIII'!$D$2:$H$299,2,FALSE)</f>
        <v>Not Used</v>
      </c>
      <c r="P369" s="45" t="str">
        <f>VLOOKUP(Y369,'AMP models AxeFxIII'!$D$2:$H$299,2,FALSE)</f>
        <v>Not Used</v>
      </c>
      <c r="Q369" s="45" t="str">
        <f>VLOOKUP(Z369,'AMP models AxeFxIII'!$D$2:$H$299,2,FALSE)</f>
        <v>Not Used</v>
      </c>
      <c r="R369" s="4">
        <v>365</v>
      </c>
      <c r="S369" s="46" t="s">
        <v>555</v>
      </c>
      <c r="T369" s="46" t="s">
        <v>555</v>
      </c>
      <c r="U369" s="46" t="s">
        <v>555</v>
      </c>
      <c r="V369" s="46" t="s">
        <v>555</v>
      </c>
      <c r="W369" s="46" t="s">
        <v>555</v>
      </c>
      <c r="X369" s="46" t="s">
        <v>555</v>
      </c>
      <c r="Y369" s="46" t="s">
        <v>555</v>
      </c>
      <c r="Z369" s="46" t="s">
        <v>555</v>
      </c>
    </row>
    <row r="370" spans="1:26">
      <c r="A370" s="41">
        <f>preset_Names!A370</f>
        <v>366</v>
      </c>
      <c r="B370" t="str">
        <f t="shared" si="16"/>
        <v xml:space="preserve">strcpy(AMP1_A,("Not Used")); strcpy(AMP1_B,("Not Used")); strcpy(AMP1_C,("Not Used")); strcpy(AMP1_D,("Not Used")); </v>
      </c>
      <c r="C370" t="str">
        <f t="shared" si="17"/>
        <v xml:space="preserve">strcpy(AMP2_A,("Not Used")); strcpy(AMP2_B,("Not Used")); strcpy(AMP2_C,("Not Used")); strcpy(AMP2_D,("Not Used")); </v>
      </c>
      <c r="D370" s="31" t="s">
        <v>893</v>
      </c>
      <c r="E370" s="42" t="str">
        <f t="shared" si="15"/>
        <v>case 366: strcpy(AMP1_A,("Not Used")); strcpy(AMP1_B,("Not Used")); strcpy(AMP1_C,("Not Used")); strcpy(AMP1_D,("Not Used")); strcpy(AMP2_A,("Not Used")); strcpy(AMP2_B,("Not Used")); strcpy(AMP2_C,("Not Used")); strcpy(AMP2_D,("Not Used"));  break;</v>
      </c>
      <c r="F370" t="s">
        <v>893</v>
      </c>
      <c r="I370" t="s">
        <v>893</v>
      </c>
      <c r="J370" s="45" t="str">
        <f>VLOOKUP(S370,'AMP models AxeFxIII'!$D$2:$H$299,2,FALSE)</f>
        <v>Not Used</v>
      </c>
      <c r="K370" s="45" t="str">
        <f>VLOOKUP(T370,'AMP models AxeFxIII'!$D$2:$H$299,2,FALSE)</f>
        <v>Not Used</v>
      </c>
      <c r="L370" s="45" t="str">
        <f>VLOOKUP(U370,'AMP models AxeFxIII'!$D$2:$H$299,2,FALSE)</f>
        <v>Not Used</v>
      </c>
      <c r="M370" s="45" t="str">
        <f>VLOOKUP(V370,'AMP models AxeFxIII'!$D$2:$H$299,2,FALSE)</f>
        <v>Not Used</v>
      </c>
      <c r="N370" s="45" t="str">
        <f>VLOOKUP(W370,'AMP models AxeFxIII'!$D$2:$H$299,2,FALSE)</f>
        <v>Not Used</v>
      </c>
      <c r="O370" s="45" t="str">
        <f>VLOOKUP(X370,'AMP models AxeFxIII'!$D$2:$H$299,2,FALSE)</f>
        <v>Not Used</v>
      </c>
      <c r="P370" s="45" t="str">
        <f>VLOOKUP(Y370,'AMP models AxeFxIII'!$D$2:$H$299,2,FALSE)</f>
        <v>Not Used</v>
      </c>
      <c r="Q370" s="45" t="str">
        <f>VLOOKUP(Z370,'AMP models AxeFxIII'!$D$2:$H$299,2,FALSE)</f>
        <v>Not Used</v>
      </c>
      <c r="R370" s="4">
        <v>366</v>
      </c>
      <c r="S370" s="46" t="s">
        <v>555</v>
      </c>
      <c r="T370" s="46" t="s">
        <v>555</v>
      </c>
      <c r="U370" s="46" t="s">
        <v>555</v>
      </c>
      <c r="V370" s="46" t="s">
        <v>555</v>
      </c>
      <c r="W370" s="46" t="s">
        <v>555</v>
      </c>
      <c r="X370" s="46" t="s">
        <v>555</v>
      </c>
      <c r="Y370" s="46" t="s">
        <v>555</v>
      </c>
      <c r="Z370" s="46" t="s">
        <v>555</v>
      </c>
    </row>
    <row r="371" spans="1:26">
      <c r="A371" s="41">
        <f>preset_Names!A371</f>
        <v>367</v>
      </c>
      <c r="B371" t="str">
        <f t="shared" si="16"/>
        <v xml:space="preserve">strcpy(AMP1_A,("Not Used")); strcpy(AMP1_B,("Not Used")); strcpy(AMP1_C,("Not Used")); strcpy(AMP1_D,("Not Used")); </v>
      </c>
      <c r="C371" t="str">
        <f t="shared" si="17"/>
        <v xml:space="preserve">strcpy(AMP2_A,("Not Used")); strcpy(AMP2_B,("Not Used")); strcpy(AMP2_C,("Not Used")); strcpy(AMP2_D,("Not Used")); </v>
      </c>
      <c r="D371" s="31" t="s">
        <v>893</v>
      </c>
      <c r="E371" s="42" t="str">
        <f t="shared" si="15"/>
        <v>case 367: strcpy(AMP1_A,("Not Used")); strcpy(AMP1_B,("Not Used")); strcpy(AMP1_C,("Not Used")); strcpy(AMP1_D,("Not Used")); strcpy(AMP2_A,("Not Used")); strcpy(AMP2_B,("Not Used")); strcpy(AMP2_C,("Not Used")); strcpy(AMP2_D,("Not Used"));  break;</v>
      </c>
      <c r="F371" t="s">
        <v>893</v>
      </c>
      <c r="I371" t="s">
        <v>893</v>
      </c>
      <c r="J371" s="45" t="str">
        <f>VLOOKUP(S371,'AMP models AxeFxIII'!$D$2:$H$299,2,FALSE)</f>
        <v>Not Used</v>
      </c>
      <c r="K371" s="45" t="str">
        <f>VLOOKUP(T371,'AMP models AxeFxIII'!$D$2:$H$299,2,FALSE)</f>
        <v>Not Used</v>
      </c>
      <c r="L371" s="45" t="str">
        <f>VLOOKUP(U371,'AMP models AxeFxIII'!$D$2:$H$299,2,FALSE)</f>
        <v>Not Used</v>
      </c>
      <c r="M371" s="45" t="str">
        <f>VLOOKUP(V371,'AMP models AxeFxIII'!$D$2:$H$299,2,FALSE)</f>
        <v>Not Used</v>
      </c>
      <c r="N371" s="45" t="str">
        <f>VLOOKUP(W371,'AMP models AxeFxIII'!$D$2:$H$299,2,FALSE)</f>
        <v>Not Used</v>
      </c>
      <c r="O371" s="45" t="str">
        <f>VLOOKUP(X371,'AMP models AxeFxIII'!$D$2:$H$299,2,FALSE)</f>
        <v>Not Used</v>
      </c>
      <c r="P371" s="45" t="str">
        <f>VLOOKUP(Y371,'AMP models AxeFxIII'!$D$2:$H$299,2,FALSE)</f>
        <v>Not Used</v>
      </c>
      <c r="Q371" s="45" t="str">
        <f>VLOOKUP(Z371,'AMP models AxeFxIII'!$D$2:$H$299,2,FALSE)</f>
        <v>Not Used</v>
      </c>
      <c r="R371" s="4">
        <v>367</v>
      </c>
      <c r="S371" s="46" t="s">
        <v>555</v>
      </c>
      <c r="T371" s="46" t="s">
        <v>555</v>
      </c>
      <c r="U371" s="46" t="s">
        <v>555</v>
      </c>
      <c r="V371" s="46" t="s">
        <v>555</v>
      </c>
      <c r="W371" s="46" t="s">
        <v>555</v>
      </c>
      <c r="X371" s="46" t="s">
        <v>555</v>
      </c>
      <c r="Y371" s="46" t="s">
        <v>555</v>
      </c>
      <c r="Z371" s="46" t="s">
        <v>555</v>
      </c>
    </row>
    <row r="372" spans="1:26">
      <c r="A372" s="41">
        <f>preset_Names!A372</f>
        <v>368</v>
      </c>
      <c r="B372" t="str">
        <f t="shared" si="16"/>
        <v xml:space="preserve">strcpy(AMP1_A,("Not Used")); strcpy(AMP1_B,("Not Used")); strcpy(AMP1_C,("Not Used")); strcpy(AMP1_D,("Not Used")); </v>
      </c>
      <c r="C372" t="str">
        <f t="shared" si="17"/>
        <v xml:space="preserve">strcpy(AMP2_A,("Not Used")); strcpy(AMP2_B,("Not Used")); strcpy(AMP2_C,("Not Used")); strcpy(AMP2_D,("Not Used")); </v>
      </c>
      <c r="D372" s="31" t="s">
        <v>893</v>
      </c>
      <c r="E372" s="42" t="str">
        <f t="shared" si="15"/>
        <v>case 368: strcpy(AMP1_A,("Not Used")); strcpy(AMP1_B,("Not Used")); strcpy(AMP1_C,("Not Used")); strcpy(AMP1_D,("Not Used")); strcpy(AMP2_A,("Not Used")); strcpy(AMP2_B,("Not Used")); strcpy(AMP2_C,("Not Used")); strcpy(AMP2_D,("Not Used"));  break;</v>
      </c>
      <c r="F372" t="s">
        <v>893</v>
      </c>
      <c r="I372" t="s">
        <v>893</v>
      </c>
      <c r="J372" s="45" t="str">
        <f>VLOOKUP(S372,'AMP models AxeFxIII'!$D$2:$H$299,2,FALSE)</f>
        <v>Not Used</v>
      </c>
      <c r="K372" s="45" t="str">
        <f>VLOOKUP(T372,'AMP models AxeFxIII'!$D$2:$H$299,2,FALSE)</f>
        <v>Not Used</v>
      </c>
      <c r="L372" s="45" t="str">
        <f>VLOOKUP(U372,'AMP models AxeFxIII'!$D$2:$H$299,2,FALSE)</f>
        <v>Not Used</v>
      </c>
      <c r="M372" s="45" t="str">
        <f>VLOOKUP(V372,'AMP models AxeFxIII'!$D$2:$H$299,2,FALSE)</f>
        <v>Not Used</v>
      </c>
      <c r="N372" s="45" t="str">
        <f>VLOOKUP(W372,'AMP models AxeFxIII'!$D$2:$H$299,2,FALSE)</f>
        <v>Not Used</v>
      </c>
      <c r="O372" s="45" t="str">
        <f>VLOOKUP(X372,'AMP models AxeFxIII'!$D$2:$H$299,2,FALSE)</f>
        <v>Not Used</v>
      </c>
      <c r="P372" s="45" t="str">
        <f>VLOOKUP(Y372,'AMP models AxeFxIII'!$D$2:$H$299,2,FALSE)</f>
        <v>Not Used</v>
      </c>
      <c r="Q372" s="45" t="str">
        <f>VLOOKUP(Z372,'AMP models AxeFxIII'!$D$2:$H$299,2,FALSE)</f>
        <v>Not Used</v>
      </c>
      <c r="R372" s="4">
        <v>368</v>
      </c>
      <c r="S372" s="46" t="s">
        <v>555</v>
      </c>
      <c r="T372" s="46" t="s">
        <v>555</v>
      </c>
      <c r="U372" s="46" t="s">
        <v>555</v>
      </c>
      <c r="V372" s="46" t="s">
        <v>555</v>
      </c>
      <c r="W372" s="46" t="s">
        <v>555</v>
      </c>
      <c r="X372" s="46" t="s">
        <v>555</v>
      </c>
      <c r="Y372" s="46" t="s">
        <v>555</v>
      </c>
      <c r="Z372" s="46" t="s">
        <v>555</v>
      </c>
    </row>
    <row r="373" spans="1:26">
      <c r="A373" s="41">
        <f>preset_Names!A373</f>
        <v>369</v>
      </c>
      <c r="B373" t="str">
        <f t="shared" si="16"/>
        <v xml:space="preserve">strcpy(AMP1_A,("Not Used")); strcpy(AMP1_B,("Not Used")); strcpy(AMP1_C,("Not Used")); strcpy(AMP1_D,("Not Used")); </v>
      </c>
      <c r="C373" t="str">
        <f t="shared" si="17"/>
        <v xml:space="preserve">strcpy(AMP2_A,("Not Used")); strcpy(AMP2_B,("Not Used")); strcpy(AMP2_C,("Not Used")); strcpy(AMP2_D,("Not Used")); </v>
      </c>
      <c r="D373" s="31" t="s">
        <v>893</v>
      </c>
      <c r="E373" s="42" t="str">
        <f t="shared" si="15"/>
        <v>case 369: strcpy(AMP1_A,("Not Used")); strcpy(AMP1_B,("Not Used")); strcpy(AMP1_C,("Not Used")); strcpy(AMP1_D,("Not Used")); strcpy(AMP2_A,("Not Used")); strcpy(AMP2_B,("Not Used")); strcpy(AMP2_C,("Not Used")); strcpy(AMP2_D,("Not Used"));  break;</v>
      </c>
      <c r="F373" t="s">
        <v>893</v>
      </c>
      <c r="I373" t="s">
        <v>893</v>
      </c>
      <c r="J373" s="45" t="str">
        <f>VLOOKUP(S373,'AMP models AxeFxIII'!$D$2:$H$299,2,FALSE)</f>
        <v>Not Used</v>
      </c>
      <c r="K373" s="45" t="str">
        <f>VLOOKUP(T373,'AMP models AxeFxIII'!$D$2:$H$299,2,FALSE)</f>
        <v>Not Used</v>
      </c>
      <c r="L373" s="45" t="str">
        <f>VLOOKUP(U373,'AMP models AxeFxIII'!$D$2:$H$299,2,FALSE)</f>
        <v>Not Used</v>
      </c>
      <c r="M373" s="45" t="str">
        <f>VLOOKUP(V373,'AMP models AxeFxIII'!$D$2:$H$299,2,FALSE)</f>
        <v>Not Used</v>
      </c>
      <c r="N373" s="45" t="str">
        <f>VLOOKUP(W373,'AMP models AxeFxIII'!$D$2:$H$299,2,FALSE)</f>
        <v>Not Used</v>
      </c>
      <c r="O373" s="45" t="str">
        <f>VLOOKUP(X373,'AMP models AxeFxIII'!$D$2:$H$299,2,FALSE)</f>
        <v>Not Used</v>
      </c>
      <c r="P373" s="45" t="str">
        <f>VLOOKUP(Y373,'AMP models AxeFxIII'!$D$2:$H$299,2,FALSE)</f>
        <v>Not Used</v>
      </c>
      <c r="Q373" s="45" t="str">
        <f>VLOOKUP(Z373,'AMP models AxeFxIII'!$D$2:$H$299,2,FALSE)</f>
        <v>Not Used</v>
      </c>
      <c r="R373" s="4">
        <v>369</v>
      </c>
      <c r="S373" s="46" t="s">
        <v>555</v>
      </c>
      <c r="T373" s="46" t="s">
        <v>555</v>
      </c>
      <c r="U373" s="46" t="s">
        <v>555</v>
      </c>
      <c r="V373" s="46" t="s">
        <v>555</v>
      </c>
      <c r="W373" s="46" t="s">
        <v>555</v>
      </c>
      <c r="X373" s="46" t="s">
        <v>555</v>
      </c>
      <c r="Y373" s="46" t="s">
        <v>555</v>
      </c>
      <c r="Z373" s="46" t="s">
        <v>555</v>
      </c>
    </row>
    <row r="374" spans="1:26">
      <c r="A374" s="41">
        <f>preset_Names!A374</f>
        <v>370</v>
      </c>
      <c r="B374" t="str">
        <f t="shared" si="16"/>
        <v xml:space="preserve">strcpy(AMP1_A,("Not Used")); strcpy(AMP1_B,("Not Used")); strcpy(AMP1_C,("Not Used")); strcpy(AMP1_D,("Not Used")); </v>
      </c>
      <c r="C374" t="str">
        <f t="shared" si="17"/>
        <v xml:space="preserve">strcpy(AMP2_A,("Not Used")); strcpy(AMP2_B,("Not Used")); strcpy(AMP2_C,("Not Used")); strcpy(AMP2_D,("Not Used")); </v>
      </c>
      <c r="D374" s="31" t="s">
        <v>893</v>
      </c>
      <c r="E374" s="42" t="str">
        <f t="shared" si="15"/>
        <v>case 370: strcpy(AMP1_A,("Not Used")); strcpy(AMP1_B,("Not Used")); strcpy(AMP1_C,("Not Used")); strcpy(AMP1_D,("Not Used")); strcpy(AMP2_A,("Not Used")); strcpy(AMP2_B,("Not Used")); strcpy(AMP2_C,("Not Used")); strcpy(AMP2_D,("Not Used"));  break;</v>
      </c>
      <c r="F374" t="s">
        <v>893</v>
      </c>
      <c r="I374" t="s">
        <v>893</v>
      </c>
      <c r="J374" s="45" t="str">
        <f>VLOOKUP(S374,'AMP models AxeFxIII'!$D$2:$H$299,2,FALSE)</f>
        <v>Not Used</v>
      </c>
      <c r="K374" s="45" t="str">
        <f>VLOOKUP(T374,'AMP models AxeFxIII'!$D$2:$H$299,2,FALSE)</f>
        <v>Not Used</v>
      </c>
      <c r="L374" s="45" t="str">
        <f>VLOOKUP(U374,'AMP models AxeFxIII'!$D$2:$H$299,2,FALSE)</f>
        <v>Not Used</v>
      </c>
      <c r="M374" s="45" t="str">
        <f>VLOOKUP(V374,'AMP models AxeFxIII'!$D$2:$H$299,2,FALSE)</f>
        <v>Not Used</v>
      </c>
      <c r="N374" s="45" t="str">
        <f>VLOOKUP(W374,'AMP models AxeFxIII'!$D$2:$H$299,2,FALSE)</f>
        <v>Not Used</v>
      </c>
      <c r="O374" s="45" t="str">
        <f>VLOOKUP(X374,'AMP models AxeFxIII'!$D$2:$H$299,2,FALSE)</f>
        <v>Not Used</v>
      </c>
      <c r="P374" s="45" t="str">
        <f>VLOOKUP(Y374,'AMP models AxeFxIII'!$D$2:$H$299,2,FALSE)</f>
        <v>Not Used</v>
      </c>
      <c r="Q374" s="45" t="str">
        <f>VLOOKUP(Z374,'AMP models AxeFxIII'!$D$2:$H$299,2,FALSE)</f>
        <v>Not Used</v>
      </c>
      <c r="R374" s="4">
        <v>370</v>
      </c>
      <c r="S374" s="46" t="s">
        <v>555</v>
      </c>
      <c r="T374" s="46" t="s">
        <v>555</v>
      </c>
      <c r="U374" s="46" t="s">
        <v>555</v>
      </c>
      <c r="V374" s="46" t="s">
        <v>555</v>
      </c>
      <c r="W374" s="46" t="s">
        <v>555</v>
      </c>
      <c r="X374" s="46" t="s">
        <v>555</v>
      </c>
      <c r="Y374" s="46" t="s">
        <v>555</v>
      </c>
      <c r="Z374" s="46" t="s">
        <v>555</v>
      </c>
    </row>
    <row r="375" spans="1:26">
      <c r="A375" s="41">
        <f>preset_Names!A375</f>
        <v>371</v>
      </c>
      <c r="B375" t="str">
        <f t="shared" si="16"/>
        <v xml:space="preserve">strcpy(AMP1_A,("Not Used")); strcpy(AMP1_B,("Not Used")); strcpy(AMP1_C,("Not Used")); strcpy(AMP1_D,("Not Used")); </v>
      </c>
      <c r="C375" t="str">
        <f t="shared" si="17"/>
        <v xml:space="preserve">strcpy(AMP2_A,("Not Used")); strcpy(AMP2_B,("Not Used")); strcpy(AMP2_C,("Not Used")); strcpy(AMP2_D,("Not Used")); </v>
      </c>
      <c r="D375" s="31" t="s">
        <v>893</v>
      </c>
      <c r="E375" s="42" t="str">
        <f t="shared" si="15"/>
        <v>case 371: strcpy(AMP1_A,("Not Used")); strcpy(AMP1_B,("Not Used")); strcpy(AMP1_C,("Not Used")); strcpy(AMP1_D,("Not Used")); strcpy(AMP2_A,("Not Used")); strcpy(AMP2_B,("Not Used")); strcpy(AMP2_C,("Not Used")); strcpy(AMP2_D,("Not Used"));  break;</v>
      </c>
      <c r="F375" t="s">
        <v>893</v>
      </c>
      <c r="I375" t="s">
        <v>893</v>
      </c>
      <c r="J375" s="45" t="str">
        <f>VLOOKUP(S375,'AMP models AxeFxIII'!$D$2:$H$299,2,FALSE)</f>
        <v>Not Used</v>
      </c>
      <c r="K375" s="45" t="str">
        <f>VLOOKUP(T375,'AMP models AxeFxIII'!$D$2:$H$299,2,FALSE)</f>
        <v>Not Used</v>
      </c>
      <c r="L375" s="45" t="str">
        <f>VLOOKUP(U375,'AMP models AxeFxIII'!$D$2:$H$299,2,FALSE)</f>
        <v>Not Used</v>
      </c>
      <c r="M375" s="45" t="str">
        <f>VLOOKUP(V375,'AMP models AxeFxIII'!$D$2:$H$299,2,FALSE)</f>
        <v>Not Used</v>
      </c>
      <c r="N375" s="45" t="str">
        <f>VLOOKUP(W375,'AMP models AxeFxIII'!$D$2:$H$299,2,FALSE)</f>
        <v>Not Used</v>
      </c>
      <c r="O375" s="45" t="str">
        <f>VLOOKUP(X375,'AMP models AxeFxIII'!$D$2:$H$299,2,FALSE)</f>
        <v>Not Used</v>
      </c>
      <c r="P375" s="45" t="str">
        <f>VLOOKUP(Y375,'AMP models AxeFxIII'!$D$2:$H$299,2,FALSE)</f>
        <v>Not Used</v>
      </c>
      <c r="Q375" s="45" t="str">
        <f>VLOOKUP(Z375,'AMP models AxeFxIII'!$D$2:$H$299,2,FALSE)</f>
        <v>Not Used</v>
      </c>
      <c r="R375" s="4">
        <v>371</v>
      </c>
      <c r="S375" s="46" t="s">
        <v>555</v>
      </c>
      <c r="T375" s="46" t="s">
        <v>555</v>
      </c>
      <c r="U375" s="46" t="s">
        <v>555</v>
      </c>
      <c r="V375" s="46" t="s">
        <v>555</v>
      </c>
      <c r="W375" s="46" t="s">
        <v>555</v>
      </c>
      <c r="X375" s="46" t="s">
        <v>555</v>
      </c>
      <c r="Y375" s="46" t="s">
        <v>555</v>
      </c>
      <c r="Z375" s="46" t="s">
        <v>555</v>
      </c>
    </row>
    <row r="376" spans="1:26">
      <c r="A376" s="41">
        <f>preset_Names!A376</f>
        <v>372</v>
      </c>
      <c r="B376" t="str">
        <f t="shared" si="16"/>
        <v xml:space="preserve">strcpy(AMP1_A,("Not Used")); strcpy(AMP1_B,("Not Used")); strcpy(AMP1_C,("Not Used")); strcpy(AMP1_D,("Not Used")); </v>
      </c>
      <c r="C376" t="str">
        <f t="shared" si="17"/>
        <v xml:space="preserve">strcpy(AMP2_A,("Not Used")); strcpy(AMP2_B,("Not Used")); strcpy(AMP2_C,("Not Used")); strcpy(AMP2_D,("Not Used")); </v>
      </c>
      <c r="D376" s="31" t="s">
        <v>893</v>
      </c>
      <c r="E376" s="42" t="str">
        <f t="shared" si="15"/>
        <v>case 372: strcpy(AMP1_A,("Not Used")); strcpy(AMP1_B,("Not Used")); strcpy(AMP1_C,("Not Used")); strcpy(AMP1_D,("Not Used")); strcpy(AMP2_A,("Not Used")); strcpy(AMP2_B,("Not Used")); strcpy(AMP2_C,("Not Used")); strcpy(AMP2_D,("Not Used"));  break;</v>
      </c>
      <c r="F376" t="s">
        <v>893</v>
      </c>
      <c r="I376" t="s">
        <v>893</v>
      </c>
      <c r="J376" s="45" t="str">
        <f>VLOOKUP(S376,'AMP models AxeFxIII'!$D$2:$H$299,2,FALSE)</f>
        <v>Not Used</v>
      </c>
      <c r="K376" s="45" t="str">
        <f>VLOOKUP(T376,'AMP models AxeFxIII'!$D$2:$H$299,2,FALSE)</f>
        <v>Not Used</v>
      </c>
      <c r="L376" s="45" t="str">
        <f>VLOOKUP(U376,'AMP models AxeFxIII'!$D$2:$H$299,2,FALSE)</f>
        <v>Not Used</v>
      </c>
      <c r="M376" s="45" t="str">
        <f>VLOOKUP(V376,'AMP models AxeFxIII'!$D$2:$H$299,2,FALSE)</f>
        <v>Not Used</v>
      </c>
      <c r="N376" s="45" t="str">
        <f>VLOOKUP(W376,'AMP models AxeFxIII'!$D$2:$H$299,2,FALSE)</f>
        <v>Not Used</v>
      </c>
      <c r="O376" s="45" t="str">
        <f>VLOOKUP(X376,'AMP models AxeFxIII'!$D$2:$H$299,2,FALSE)</f>
        <v>Not Used</v>
      </c>
      <c r="P376" s="45" t="str">
        <f>VLOOKUP(Y376,'AMP models AxeFxIII'!$D$2:$H$299,2,FALSE)</f>
        <v>Not Used</v>
      </c>
      <c r="Q376" s="45" t="str">
        <f>VLOOKUP(Z376,'AMP models AxeFxIII'!$D$2:$H$299,2,FALSE)</f>
        <v>Not Used</v>
      </c>
      <c r="R376" s="4">
        <v>372</v>
      </c>
      <c r="S376" s="46" t="s">
        <v>555</v>
      </c>
      <c r="T376" s="46" t="s">
        <v>555</v>
      </c>
      <c r="U376" s="46" t="s">
        <v>555</v>
      </c>
      <c r="V376" s="46" t="s">
        <v>555</v>
      </c>
      <c r="W376" s="46" t="s">
        <v>555</v>
      </c>
      <c r="X376" s="46" t="s">
        <v>555</v>
      </c>
      <c r="Y376" s="46" t="s">
        <v>555</v>
      </c>
      <c r="Z376" s="46" t="s">
        <v>555</v>
      </c>
    </row>
    <row r="377" spans="1:26">
      <c r="A377" s="41">
        <f>preset_Names!A377</f>
        <v>373</v>
      </c>
      <c r="B377" t="str">
        <f t="shared" si="16"/>
        <v xml:space="preserve">strcpy(AMP1_A,("Not Used")); strcpy(AMP1_B,("Not Used")); strcpy(AMP1_C,("Not Used")); strcpy(AMP1_D,("Not Used")); </v>
      </c>
      <c r="C377" t="str">
        <f t="shared" si="17"/>
        <v xml:space="preserve">strcpy(AMP2_A,("Not Used")); strcpy(AMP2_B,("Not Used")); strcpy(AMP2_C,("Not Used")); strcpy(AMP2_D,("Not Used")); </v>
      </c>
      <c r="D377" s="31" t="s">
        <v>893</v>
      </c>
      <c r="E377" s="42" t="str">
        <f t="shared" si="15"/>
        <v>case 373: strcpy(AMP1_A,("Not Used")); strcpy(AMP1_B,("Not Used")); strcpy(AMP1_C,("Not Used")); strcpy(AMP1_D,("Not Used")); strcpy(AMP2_A,("Not Used")); strcpy(AMP2_B,("Not Used")); strcpy(AMP2_C,("Not Used")); strcpy(AMP2_D,("Not Used"));  break;</v>
      </c>
      <c r="F377" t="s">
        <v>893</v>
      </c>
      <c r="I377" t="s">
        <v>893</v>
      </c>
      <c r="J377" s="45" t="str">
        <f>VLOOKUP(S377,'AMP models AxeFxIII'!$D$2:$H$299,2,FALSE)</f>
        <v>Not Used</v>
      </c>
      <c r="K377" s="45" t="str">
        <f>VLOOKUP(T377,'AMP models AxeFxIII'!$D$2:$H$299,2,FALSE)</f>
        <v>Not Used</v>
      </c>
      <c r="L377" s="45" t="str">
        <f>VLOOKUP(U377,'AMP models AxeFxIII'!$D$2:$H$299,2,FALSE)</f>
        <v>Not Used</v>
      </c>
      <c r="M377" s="45" t="str">
        <f>VLOOKUP(V377,'AMP models AxeFxIII'!$D$2:$H$299,2,FALSE)</f>
        <v>Not Used</v>
      </c>
      <c r="N377" s="45" t="str">
        <f>VLOOKUP(W377,'AMP models AxeFxIII'!$D$2:$H$299,2,FALSE)</f>
        <v>Not Used</v>
      </c>
      <c r="O377" s="45" t="str">
        <f>VLOOKUP(X377,'AMP models AxeFxIII'!$D$2:$H$299,2,FALSE)</f>
        <v>Not Used</v>
      </c>
      <c r="P377" s="45" t="str">
        <f>VLOOKUP(Y377,'AMP models AxeFxIII'!$D$2:$H$299,2,FALSE)</f>
        <v>Not Used</v>
      </c>
      <c r="Q377" s="45" t="str">
        <f>VLOOKUP(Z377,'AMP models AxeFxIII'!$D$2:$H$299,2,FALSE)</f>
        <v>Not Used</v>
      </c>
      <c r="R377" s="4">
        <v>373</v>
      </c>
      <c r="S377" s="46" t="s">
        <v>555</v>
      </c>
      <c r="T377" s="46" t="s">
        <v>555</v>
      </c>
      <c r="U377" s="46" t="s">
        <v>555</v>
      </c>
      <c r="V377" s="46" t="s">
        <v>555</v>
      </c>
      <c r="W377" s="46" t="s">
        <v>555</v>
      </c>
      <c r="X377" s="46" t="s">
        <v>555</v>
      </c>
      <c r="Y377" s="46" t="s">
        <v>555</v>
      </c>
      <c r="Z377" s="46" t="s">
        <v>555</v>
      </c>
    </row>
    <row r="378" spans="1:26">
      <c r="A378" s="41">
        <f>preset_Names!A378</f>
        <v>374</v>
      </c>
      <c r="B378" t="str">
        <f t="shared" si="16"/>
        <v xml:space="preserve">strcpy(AMP1_A,("Not Used")); strcpy(AMP1_B,("Not Used")); strcpy(AMP1_C,("Not Used")); strcpy(AMP1_D,("Not Used")); </v>
      </c>
      <c r="C378" t="str">
        <f t="shared" si="17"/>
        <v xml:space="preserve">strcpy(AMP2_A,("Not Used")); strcpy(AMP2_B,("Not Used")); strcpy(AMP2_C,("Not Used")); strcpy(AMP2_D,("Not Used")); </v>
      </c>
      <c r="D378" s="31" t="s">
        <v>893</v>
      </c>
      <c r="E378" s="42" t="str">
        <f t="shared" si="15"/>
        <v>case 374: strcpy(AMP1_A,("Not Used")); strcpy(AMP1_B,("Not Used")); strcpy(AMP1_C,("Not Used")); strcpy(AMP1_D,("Not Used")); strcpy(AMP2_A,("Not Used")); strcpy(AMP2_B,("Not Used")); strcpy(AMP2_C,("Not Used")); strcpy(AMP2_D,("Not Used"));  break;</v>
      </c>
      <c r="F378" t="s">
        <v>893</v>
      </c>
      <c r="I378" t="s">
        <v>893</v>
      </c>
      <c r="J378" s="45" t="str">
        <f>VLOOKUP(S378,'AMP models AxeFxIII'!$D$2:$H$299,2,FALSE)</f>
        <v>Not Used</v>
      </c>
      <c r="K378" s="45" t="str">
        <f>VLOOKUP(T378,'AMP models AxeFxIII'!$D$2:$H$299,2,FALSE)</f>
        <v>Not Used</v>
      </c>
      <c r="L378" s="45" t="str">
        <f>VLOOKUP(U378,'AMP models AxeFxIII'!$D$2:$H$299,2,FALSE)</f>
        <v>Not Used</v>
      </c>
      <c r="M378" s="45" t="str">
        <f>VLOOKUP(V378,'AMP models AxeFxIII'!$D$2:$H$299,2,FALSE)</f>
        <v>Not Used</v>
      </c>
      <c r="N378" s="45" t="str">
        <f>VLOOKUP(W378,'AMP models AxeFxIII'!$D$2:$H$299,2,FALSE)</f>
        <v>Not Used</v>
      </c>
      <c r="O378" s="45" t="str">
        <f>VLOOKUP(X378,'AMP models AxeFxIII'!$D$2:$H$299,2,FALSE)</f>
        <v>Not Used</v>
      </c>
      <c r="P378" s="45" t="str">
        <f>VLOOKUP(Y378,'AMP models AxeFxIII'!$D$2:$H$299,2,FALSE)</f>
        <v>Not Used</v>
      </c>
      <c r="Q378" s="45" t="str">
        <f>VLOOKUP(Z378,'AMP models AxeFxIII'!$D$2:$H$299,2,FALSE)</f>
        <v>Not Used</v>
      </c>
      <c r="R378" s="4">
        <v>374</v>
      </c>
      <c r="S378" s="46" t="s">
        <v>555</v>
      </c>
      <c r="T378" s="46" t="s">
        <v>555</v>
      </c>
      <c r="U378" s="46" t="s">
        <v>555</v>
      </c>
      <c r="V378" s="46" t="s">
        <v>555</v>
      </c>
      <c r="W378" s="46" t="s">
        <v>555</v>
      </c>
      <c r="X378" s="46" t="s">
        <v>555</v>
      </c>
      <c r="Y378" s="46" t="s">
        <v>555</v>
      </c>
      <c r="Z378" s="46" t="s">
        <v>555</v>
      </c>
    </row>
    <row r="379" spans="1:26">
      <c r="A379" s="41">
        <f>preset_Names!A379</f>
        <v>375</v>
      </c>
      <c r="B379" t="str">
        <f t="shared" si="16"/>
        <v xml:space="preserve">strcpy(AMP1_A,("Not Used")); strcpy(AMP1_B,("Not Used")); strcpy(AMP1_C,("Not Used")); strcpy(AMP1_D,("Not Used")); </v>
      </c>
      <c r="C379" t="str">
        <f t="shared" si="17"/>
        <v xml:space="preserve">strcpy(AMP2_A,("Not Used")); strcpy(AMP2_B,("Not Used")); strcpy(AMP2_C,("Not Used")); strcpy(AMP2_D,("Not Used")); </v>
      </c>
      <c r="D379" s="31" t="s">
        <v>893</v>
      </c>
      <c r="E379" s="42" t="str">
        <f t="shared" si="15"/>
        <v>case 375: strcpy(AMP1_A,("Not Used")); strcpy(AMP1_B,("Not Used")); strcpy(AMP1_C,("Not Used")); strcpy(AMP1_D,("Not Used")); strcpy(AMP2_A,("Not Used")); strcpy(AMP2_B,("Not Used")); strcpy(AMP2_C,("Not Used")); strcpy(AMP2_D,("Not Used"));  break;</v>
      </c>
      <c r="F379" t="s">
        <v>893</v>
      </c>
      <c r="I379" t="s">
        <v>893</v>
      </c>
      <c r="J379" s="45" t="str">
        <f>VLOOKUP(S379,'AMP models AxeFxIII'!$D$2:$H$299,2,FALSE)</f>
        <v>Not Used</v>
      </c>
      <c r="K379" s="45" t="str">
        <f>VLOOKUP(T379,'AMP models AxeFxIII'!$D$2:$H$299,2,FALSE)</f>
        <v>Not Used</v>
      </c>
      <c r="L379" s="45" t="str">
        <f>VLOOKUP(U379,'AMP models AxeFxIII'!$D$2:$H$299,2,FALSE)</f>
        <v>Not Used</v>
      </c>
      <c r="M379" s="45" t="str">
        <f>VLOOKUP(V379,'AMP models AxeFxIII'!$D$2:$H$299,2,FALSE)</f>
        <v>Not Used</v>
      </c>
      <c r="N379" s="45" t="str">
        <f>VLOOKUP(W379,'AMP models AxeFxIII'!$D$2:$H$299,2,FALSE)</f>
        <v>Not Used</v>
      </c>
      <c r="O379" s="45" t="str">
        <f>VLOOKUP(X379,'AMP models AxeFxIII'!$D$2:$H$299,2,FALSE)</f>
        <v>Not Used</v>
      </c>
      <c r="P379" s="45" t="str">
        <f>VLOOKUP(Y379,'AMP models AxeFxIII'!$D$2:$H$299,2,FALSE)</f>
        <v>Not Used</v>
      </c>
      <c r="Q379" s="45" t="str">
        <f>VLOOKUP(Z379,'AMP models AxeFxIII'!$D$2:$H$299,2,FALSE)</f>
        <v>Not Used</v>
      </c>
      <c r="R379" s="4">
        <v>375</v>
      </c>
      <c r="S379" s="46" t="s">
        <v>555</v>
      </c>
      <c r="T379" s="46" t="s">
        <v>555</v>
      </c>
      <c r="U379" s="46" t="s">
        <v>555</v>
      </c>
      <c r="V379" s="46" t="s">
        <v>555</v>
      </c>
      <c r="W379" s="46" t="s">
        <v>555</v>
      </c>
      <c r="X379" s="46" t="s">
        <v>555</v>
      </c>
      <c r="Y379" s="46" t="s">
        <v>555</v>
      </c>
      <c r="Z379" s="46" t="s">
        <v>555</v>
      </c>
    </row>
    <row r="380" spans="1:26">
      <c r="A380" s="41">
        <f>preset_Names!A380</f>
        <v>376</v>
      </c>
      <c r="B380" t="str">
        <f t="shared" si="16"/>
        <v xml:space="preserve">strcpy(AMP1_A,("Not Used")); strcpy(AMP1_B,("Not Used")); strcpy(AMP1_C,("Not Used")); strcpy(AMP1_D,("Not Used")); </v>
      </c>
      <c r="C380" t="str">
        <f t="shared" si="17"/>
        <v xml:space="preserve">strcpy(AMP2_A,("Not Used")); strcpy(AMP2_B,("Not Used")); strcpy(AMP2_C,("Not Used")); strcpy(AMP2_D,("Not Used")); </v>
      </c>
      <c r="D380" s="31" t="s">
        <v>893</v>
      </c>
      <c r="E380" s="42" t="str">
        <f t="shared" si="15"/>
        <v>case 376: strcpy(AMP1_A,("Not Used")); strcpy(AMP1_B,("Not Used")); strcpy(AMP1_C,("Not Used")); strcpy(AMP1_D,("Not Used")); strcpy(AMP2_A,("Not Used")); strcpy(AMP2_B,("Not Used")); strcpy(AMP2_C,("Not Used")); strcpy(AMP2_D,("Not Used"));  break;</v>
      </c>
      <c r="F380" t="s">
        <v>893</v>
      </c>
      <c r="I380" t="s">
        <v>893</v>
      </c>
      <c r="J380" s="45" t="str">
        <f>VLOOKUP(S380,'AMP models AxeFxIII'!$D$2:$H$299,2,FALSE)</f>
        <v>Not Used</v>
      </c>
      <c r="K380" s="45" t="str">
        <f>VLOOKUP(T380,'AMP models AxeFxIII'!$D$2:$H$299,2,FALSE)</f>
        <v>Not Used</v>
      </c>
      <c r="L380" s="45" t="str">
        <f>VLOOKUP(U380,'AMP models AxeFxIII'!$D$2:$H$299,2,FALSE)</f>
        <v>Not Used</v>
      </c>
      <c r="M380" s="45" t="str">
        <f>VLOOKUP(V380,'AMP models AxeFxIII'!$D$2:$H$299,2,FALSE)</f>
        <v>Not Used</v>
      </c>
      <c r="N380" s="45" t="str">
        <f>VLOOKUP(W380,'AMP models AxeFxIII'!$D$2:$H$299,2,FALSE)</f>
        <v>Not Used</v>
      </c>
      <c r="O380" s="45" t="str">
        <f>VLOOKUP(X380,'AMP models AxeFxIII'!$D$2:$H$299,2,FALSE)</f>
        <v>Not Used</v>
      </c>
      <c r="P380" s="45" t="str">
        <f>VLOOKUP(Y380,'AMP models AxeFxIII'!$D$2:$H$299,2,FALSE)</f>
        <v>Not Used</v>
      </c>
      <c r="Q380" s="45" t="str">
        <f>VLOOKUP(Z380,'AMP models AxeFxIII'!$D$2:$H$299,2,FALSE)</f>
        <v>Not Used</v>
      </c>
      <c r="R380" s="4">
        <v>376</v>
      </c>
      <c r="S380" s="46" t="s">
        <v>555</v>
      </c>
      <c r="T380" s="46" t="s">
        <v>555</v>
      </c>
      <c r="U380" s="46" t="s">
        <v>555</v>
      </c>
      <c r="V380" s="46" t="s">
        <v>555</v>
      </c>
      <c r="W380" s="46" t="s">
        <v>555</v>
      </c>
      <c r="X380" s="46" t="s">
        <v>555</v>
      </c>
      <c r="Y380" s="46" t="s">
        <v>555</v>
      </c>
      <c r="Z380" s="46" t="s">
        <v>555</v>
      </c>
    </row>
    <row r="381" spans="1:26">
      <c r="A381" s="41">
        <f>preset_Names!A381</f>
        <v>377</v>
      </c>
      <c r="B381" t="str">
        <f t="shared" si="16"/>
        <v xml:space="preserve">strcpy(AMP1_A,("Not Used")); strcpy(AMP1_B,("Not Used")); strcpy(AMP1_C,("Not Used")); strcpy(AMP1_D,("Not Used")); </v>
      </c>
      <c r="C381" t="str">
        <f t="shared" si="17"/>
        <v xml:space="preserve">strcpy(AMP2_A,("Not Used")); strcpy(AMP2_B,("Not Used")); strcpy(AMP2_C,("Not Used")); strcpy(AMP2_D,("Not Used")); </v>
      </c>
      <c r="D381" s="31" t="s">
        <v>893</v>
      </c>
      <c r="E381" s="42" t="str">
        <f t="shared" si="15"/>
        <v>case 377: strcpy(AMP1_A,("Not Used")); strcpy(AMP1_B,("Not Used")); strcpy(AMP1_C,("Not Used")); strcpy(AMP1_D,("Not Used")); strcpy(AMP2_A,("Not Used")); strcpy(AMP2_B,("Not Used")); strcpy(AMP2_C,("Not Used")); strcpy(AMP2_D,("Not Used"));  break;</v>
      </c>
      <c r="F381" t="s">
        <v>893</v>
      </c>
      <c r="I381" t="s">
        <v>893</v>
      </c>
      <c r="J381" s="45" t="str">
        <f>VLOOKUP(S381,'AMP models AxeFxIII'!$D$2:$H$299,2,FALSE)</f>
        <v>Not Used</v>
      </c>
      <c r="K381" s="45" t="str">
        <f>VLOOKUP(T381,'AMP models AxeFxIII'!$D$2:$H$299,2,FALSE)</f>
        <v>Not Used</v>
      </c>
      <c r="L381" s="45" t="str">
        <f>VLOOKUP(U381,'AMP models AxeFxIII'!$D$2:$H$299,2,FALSE)</f>
        <v>Not Used</v>
      </c>
      <c r="M381" s="45" t="str">
        <f>VLOOKUP(V381,'AMP models AxeFxIII'!$D$2:$H$299,2,FALSE)</f>
        <v>Not Used</v>
      </c>
      <c r="N381" s="45" t="str">
        <f>VLOOKUP(W381,'AMP models AxeFxIII'!$D$2:$H$299,2,FALSE)</f>
        <v>Not Used</v>
      </c>
      <c r="O381" s="45" t="str">
        <f>VLOOKUP(X381,'AMP models AxeFxIII'!$D$2:$H$299,2,FALSE)</f>
        <v>Not Used</v>
      </c>
      <c r="P381" s="45" t="str">
        <f>VLOOKUP(Y381,'AMP models AxeFxIII'!$D$2:$H$299,2,FALSE)</f>
        <v>Not Used</v>
      </c>
      <c r="Q381" s="45" t="str">
        <f>VLOOKUP(Z381,'AMP models AxeFxIII'!$D$2:$H$299,2,FALSE)</f>
        <v>Not Used</v>
      </c>
      <c r="R381" s="4">
        <v>377</v>
      </c>
      <c r="S381" s="46" t="s">
        <v>555</v>
      </c>
      <c r="T381" s="46" t="s">
        <v>555</v>
      </c>
      <c r="U381" s="46" t="s">
        <v>555</v>
      </c>
      <c r="V381" s="46" t="s">
        <v>555</v>
      </c>
      <c r="W381" s="46" t="s">
        <v>555</v>
      </c>
      <c r="X381" s="46" t="s">
        <v>555</v>
      </c>
      <c r="Y381" s="46" t="s">
        <v>555</v>
      </c>
      <c r="Z381" s="46" t="s">
        <v>555</v>
      </c>
    </row>
    <row r="382" spans="1:26">
      <c r="A382" s="41">
        <f>preset_Names!A382</f>
        <v>378</v>
      </c>
      <c r="B382" t="str">
        <f t="shared" si="16"/>
        <v xml:space="preserve">strcpy(AMP1_A,("Not Used")); strcpy(AMP1_B,("Not Used")); strcpy(AMP1_C,("Not Used")); strcpy(AMP1_D,("Not Used")); </v>
      </c>
      <c r="C382" t="str">
        <f t="shared" si="17"/>
        <v xml:space="preserve">strcpy(AMP2_A,("Not Used")); strcpy(AMP2_B,("Not Used")); strcpy(AMP2_C,("Not Used")); strcpy(AMP2_D,("Not Used")); </v>
      </c>
      <c r="D382" s="31" t="s">
        <v>893</v>
      </c>
      <c r="E382" s="42" t="str">
        <f t="shared" si="15"/>
        <v>case 378: strcpy(AMP1_A,("Not Used")); strcpy(AMP1_B,("Not Used")); strcpy(AMP1_C,("Not Used")); strcpy(AMP1_D,("Not Used")); strcpy(AMP2_A,("Not Used")); strcpy(AMP2_B,("Not Used")); strcpy(AMP2_C,("Not Used")); strcpy(AMP2_D,("Not Used"));  break;</v>
      </c>
      <c r="F382" t="s">
        <v>893</v>
      </c>
      <c r="I382" t="s">
        <v>893</v>
      </c>
      <c r="J382" s="45" t="str">
        <f>VLOOKUP(S382,'AMP models AxeFxIII'!$D$2:$H$299,2,FALSE)</f>
        <v>Not Used</v>
      </c>
      <c r="K382" s="45" t="str">
        <f>VLOOKUP(T382,'AMP models AxeFxIII'!$D$2:$H$299,2,FALSE)</f>
        <v>Not Used</v>
      </c>
      <c r="L382" s="45" t="str">
        <f>VLOOKUP(U382,'AMP models AxeFxIII'!$D$2:$H$299,2,FALSE)</f>
        <v>Not Used</v>
      </c>
      <c r="M382" s="45" t="str">
        <f>VLOOKUP(V382,'AMP models AxeFxIII'!$D$2:$H$299,2,FALSE)</f>
        <v>Not Used</v>
      </c>
      <c r="N382" s="45" t="str">
        <f>VLOOKUP(W382,'AMP models AxeFxIII'!$D$2:$H$299,2,FALSE)</f>
        <v>Not Used</v>
      </c>
      <c r="O382" s="45" t="str">
        <f>VLOOKUP(X382,'AMP models AxeFxIII'!$D$2:$H$299,2,FALSE)</f>
        <v>Not Used</v>
      </c>
      <c r="P382" s="45" t="str">
        <f>VLOOKUP(Y382,'AMP models AxeFxIII'!$D$2:$H$299,2,FALSE)</f>
        <v>Not Used</v>
      </c>
      <c r="Q382" s="45" t="str">
        <f>VLOOKUP(Z382,'AMP models AxeFxIII'!$D$2:$H$299,2,FALSE)</f>
        <v>Not Used</v>
      </c>
      <c r="R382" s="4">
        <v>378</v>
      </c>
      <c r="S382" s="46" t="s">
        <v>555</v>
      </c>
      <c r="T382" s="46" t="s">
        <v>555</v>
      </c>
      <c r="U382" s="46" t="s">
        <v>555</v>
      </c>
      <c r="V382" s="46" t="s">
        <v>555</v>
      </c>
      <c r="W382" s="46" t="s">
        <v>555</v>
      </c>
      <c r="X382" s="46" t="s">
        <v>555</v>
      </c>
      <c r="Y382" s="46" t="s">
        <v>555</v>
      </c>
      <c r="Z382" s="46" t="s">
        <v>555</v>
      </c>
    </row>
    <row r="383" spans="1:26">
      <c r="A383" s="41">
        <f>preset_Names!A383</f>
        <v>379</v>
      </c>
      <c r="B383" t="str">
        <f t="shared" si="16"/>
        <v xml:space="preserve">strcpy(AMP1_A,("Not Used")); strcpy(AMP1_B,("Not Used")); strcpy(AMP1_C,("Not Used")); strcpy(AMP1_D,("Not Used")); </v>
      </c>
      <c r="C383" t="str">
        <f t="shared" si="17"/>
        <v xml:space="preserve">strcpy(AMP2_A,("Not Used")); strcpy(AMP2_B,("Not Used")); strcpy(AMP2_C,("Not Used")); strcpy(AMP2_D,("Not Used")); </v>
      </c>
      <c r="D383" s="31" t="s">
        <v>893</v>
      </c>
      <c r="E383" s="42" t="str">
        <f t="shared" si="15"/>
        <v>case 379: strcpy(AMP1_A,("Not Used")); strcpy(AMP1_B,("Not Used")); strcpy(AMP1_C,("Not Used")); strcpy(AMP1_D,("Not Used")); strcpy(AMP2_A,("Not Used")); strcpy(AMP2_B,("Not Used")); strcpy(AMP2_C,("Not Used")); strcpy(AMP2_D,("Not Used"));  break;</v>
      </c>
      <c r="F383" t="s">
        <v>893</v>
      </c>
      <c r="I383" t="s">
        <v>893</v>
      </c>
      <c r="J383" s="45" t="str">
        <f>VLOOKUP(S383,'AMP models AxeFxIII'!$D$2:$H$299,2,FALSE)</f>
        <v>Not Used</v>
      </c>
      <c r="K383" s="45" t="str">
        <f>VLOOKUP(T383,'AMP models AxeFxIII'!$D$2:$H$299,2,FALSE)</f>
        <v>Not Used</v>
      </c>
      <c r="L383" s="45" t="str">
        <f>VLOOKUP(U383,'AMP models AxeFxIII'!$D$2:$H$299,2,FALSE)</f>
        <v>Not Used</v>
      </c>
      <c r="M383" s="45" t="str">
        <f>VLOOKUP(V383,'AMP models AxeFxIII'!$D$2:$H$299,2,FALSE)</f>
        <v>Not Used</v>
      </c>
      <c r="N383" s="45" t="str">
        <f>VLOOKUP(W383,'AMP models AxeFxIII'!$D$2:$H$299,2,FALSE)</f>
        <v>Not Used</v>
      </c>
      <c r="O383" s="45" t="str">
        <f>VLOOKUP(X383,'AMP models AxeFxIII'!$D$2:$H$299,2,FALSE)</f>
        <v>Not Used</v>
      </c>
      <c r="P383" s="45" t="str">
        <f>VLOOKUP(Y383,'AMP models AxeFxIII'!$D$2:$H$299,2,FALSE)</f>
        <v>Not Used</v>
      </c>
      <c r="Q383" s="45" t="str">
        <f>VLOOKUP(Z383,'AMP models AxeFxIII'!$D$2:$H$299,2,FALSE)</f>
        <v>Not Used</v>
      </c>
      <c r="R383" s="4">
        <v>379</v>
      </c>
      <c r="S383" s="46" t="s">
        <v>555</v>
      </c>
      <c r="T383" s="46" t="s">
        <v>555</v>
      </c>
      <c r="U383" s="46" t="s">
        <v>555</v>
      </c>
      <c r="V383" s="46" t="s">
        <v>555</v>
      </c>
      <c r="W383" s="46" t="s">
        <v>555</v>
      </c>
      <c r="X383" s="46" t="s">
        <v>555</v>
      </c>
      <c r="Y383" s="46" t="s">
        <v>555</v>
      </c>
      <c r="Z383" s="46" t="s">
        <v>555</v>
      </c>
    </row>
    <row r="384" spans="1:26">
      <c r="A384" s="41">
        <f>preset_Names!A384</f>
        <v>380</v>
      </c>
      <c r="B384" t="str">
        <f t="shared" si="16"/>
        <v xml:space="preserve">strcpy(AMP1_A,("Not Used")); strcpy(AMP1_B,("Not Used")); strcpy(AMP1_C,("Not Used")); strcpy(AMP1_D,("Not Used")); </v>
      </c>
      <c r="C384" t="str">
        <f t="shared" si="17"/>
        <v xml:space="preserve">strcpy(AMP2_A,("Not Used")); strcpy(AMP2_B,("Not Used")); strcpy(AMP2_C,("Not Used")); strcpy(AMP2_D,("Not Used")); </v>
      </c>
      <c r="D384" s="31" t="s">
        <v>893</v>
      </c>
      <c r="E384" s="42" t="str">
        <f t="shared" si="15"/>
        <v>case 380: strcpy(AMP1_A,("Not Used")); strcpy(AMP1_B,("Not Used")); strcpy(AMP1_C,("Not Used")); strcpy(AMP1_D,("Not Used")); strcpy(AMP2_A,("Not Used")); strcpy(AMP2_B,("Not Used")); strcpy(AMP2_C,("Not Used")); strcpy(AMP2_D,("Not Used"));  break;</v>
      </c>
      <c r="F384" t="s">
        <v>893</v>
      </c>
      <c r="I384" t="s">
        <v>893</v>
      </c>
      <c r="J384" s="45" t="str">
        <f>VLOOKUP(S384,'AMP models AxeFxIII'!$D$2:$H$299,2,FALSE)</f>
        <v>Not Used</v>
      </c>
      <c r="K384" s="45" t="str">
        <f>VLOOKUP(T384,'AMP models AxeFxIII'!$D$2:$H$299,2,FALSE)</f>
        <v>Not Used</v>
      </c>
      <c r="L384" s="45" t="str">
        <f>VLOOKUP(U384,'AMP models AxeFxIII'!$D$2:$H$299,2,FALSE)</f>
        <v>Not Used</v>
      </c>
      <c r="M384" s="45" t="str">
        <f>VLOOKUP(V384,'AMP models AxeFxIII'!$D$2:$H$299,2,FALSE)</f>
        <v>Not Used</v>
      </c>
      <c r="N384" s="45" t="str">
        <f>VLOOKUP(W384,'AMP models AxeFxIII'!$D$2:$H$299,2,FALSE)</f>
        <v>Not Used</v>
      </c>
      <c r="O384" s="45" t="str">
        <f>VLOOKUP(X384,'AMP models AxeFxIII'!$D$2:$H$299,2,FALSE)</f>
        <v>Not Used</v>
      </c>
      <c r="P384" s="45" t="str">
        <f>VLOOKUP(Y384,'AMP models AxeFxIII'!$D$2:$H$299,2,FALSE)</f>
        <v>Not Used</v>
      </c>
      <c r="Q384" s="45" t="str">
        <f>VLOOKUP(Z384,'AMP models AxeFxIII'!$D$2:$H$299,2,FALSE)</f>
        <v>Not Used</v>
      </c>
      <c r="R384" s="4">
        <v>380</v>
      </c>
      <c r="S384" s="46" t="s">
        <v>555</v>
      </c>
      <c r="T384" s="46" t="s">
        <v>555</v>
      </c>
      <c r="U384" s="46" t="s">
        <v>555</v>
      </c>
      <c r="V384" s="46" t="s">
        <v>555</v>
      </c>
      <c r="W384" s="46" t="s">
        <v>555</v>
      </c>
      <c r="X384" s="46" t="s">
        <v>555</v>
      </c>
      <c r="Y384" s="46" t="s">
        <v>555</v>
      </c>
      <c r="Z384" s="46" t="s">
        <v>555</v>
      </c>
    </row>
    <row r="385" spans="1:26">
      <c r="A385" s="41">
        <f>preset_Names!A385</f>
        <v>381</v>
      </c>
      <c r="B385" t="str">
        <f t="shared" si="16"/>
        <v xml:space="preserve">strcpy(AMP1_A,("Not Used")); strcpy(AMP1_B,("Not Used")); strcpy(AMP1_C,("Not Used")); strcpy(AMP1_D,("Not Used")); </v>
      </c>
      <c r="C385" t="str">
        <f t="shared" si="17"/>
        <v xml:space="preserve">strcpy(AMP2_A,("Not Used")); strcpy(AMP2_B,("Not Used")); strcpy(AMP2_C,("Not Used")); strcpy(AMP2_D,("Not Used")); </v>
      </c>
      <c r="D385" s="31" t="s">
        <v>893</v>
      </c>
      <c r="E385" s="42" t="str">
        <f t="shared" si="15"/>
        <v>case 381: strcpy(AMP1_A,("Not Used")); strcpy(AMP1_B,("Not Used")); strcpy(AMP1_C,("Not Used")); strcpy(AMP1_D,("Not Used")); strcpy(AMP2_A,("Not Used")); strcpy(AMP2_B,("Not Used")); strcpy(AMP2_C,("Not Used")); strcpy(AMP2_D,("Not Used"));  break;</v>
      </c>
      <c r="F385" t="s">
        <v>893</v>
      </c>
      <c r="I385" t="s">
        <v>893</v>
      </c>
      <c r="J385" s="45" t="str">
        <f>VLOOKUP(S385,'AMP models AxeFxIII'!$D$2:$H$299,2,FALSE)</f>
        <v>Not Used</v>
      </c>
      <c r="K385" s="45" t="str">
        <f>VLOOKUP(T385,'AMP models AxeFxIII'!$D$2:$H$299,2,FALSE)</f>
        <v>Not Used</v>
      </c>
      <c r="L385" s="45" t="str">
        <f>VLOOKUP(U385,'AMP models AxeFxIII'!$D$2:$H$299,2,FALSE)</f>
        <v>Not Used</v>
      </c>
      <c r="M385" s="45" t="str">
        <f>VLOOKUP(V385,'AMP models AxeFxIII'!$D$2:$H$299,2,FALSE)</f>
        <v>Not Used</v>
      </c>
      <c r="N385" s="45" t="str">
        <f>VLOOKUP(W385,'AMP models AxeFxIII'!$D$2:$H$299,2,FALSE)</f>
        <v>Not Used</v>
      </c>
      <c r="O385" s="45" t="str">
        <f>VLOOKUP(X385,'AMP models AxeFxIII'!$D$2:$H$299,2,FALSE)</f>
        <v>Not Used</v>
      </c>
      <c r="P385" s="45" t="str">
        <f>VLOOKUP(Y385,'AMP models AxeFxIII'!$D$2:$H$299,2,FALSE)</f>
        <v>Not Used</v>
      </c>
      <c r="Q385" s="45" t="str">
        <f>VLOOKUP(Z385,'AMP models AxeFxIII'!$D$2:$H$299,2,FALSE)</f>
        <v>Not Used</v>
      </c>
      <c r="R385" s="4">
        <v>381</v>
      </c>
      <c r="S385" s="46" t="s">
        <v>555</v>
      </c>
      <c r="T385" s="46" t="s">
        <v>555</v>
      </c>
      <c r="U385" s="46" t="s">
        <v>555</v>
      </c>
      <c r="V385" s="46" t="s">
        <v>555</v>
      </c>
      <c r="W385" s="46" t="s">
        <v>555</v>
      </c>
      <c r="X385" s="46" t="s">
        <v>555</v>
      </c>
      <c r="Y385" s="46" t="s">
        <v>555</v>
      </c>
      <c r="Z385" s="46" t="s">
        <v>555</v>
      </c>
    </row>
    <row r="386" spans="1:26">
      <c r="A386" s="41">
        <f>preset_Names!A386</f>
        <v>382</v>
      </c>
      <c r="B386" t="str">
        <f t="shared" si="16"/>
        <v xml:space="preserve">strcpy(AMP1_A,("Not Used")); strcpy(AMP1_B,("Not Used")); strcpy(AMP1_C,("Not Used")); strcpy(AMP1_D,("Not Used")); </v>
      </c>
      <c r="C386" t="str">
        <f t="shared" si="17"/>
        <v xml:space="preserve">strcpy(AMP2_A,("Not Used")); strcpy(AMP2_B,("Not Used")); strcpy(AMP2_C,("Not Used")); strcpy(AMP2_D,("Not Used")); </v>
      </c>
      <c r="D386" s="31" t="s">
        <v>893</v>
      </c>
      <c r="E386" s="42" t="str">
        <f t="shared" si="15"/>
        <v>case 382: strcpy(AMP1_A,("Not Used")); strcpy(AMP1_B,("Not Used")); strcpy(AMP1_C,("Not Used")); strcpy(AMP1_D,("Not Used")); strcpy(AMP2_A,("Not Used")); strcpy(AMP2_B,("Not Used")); strcpy(AMP2_C,("Not Used")); strcpy(AMP2_D,("Not Used"));  break;</v>
      </c>
      <c r="F386" t="s">
        <v>893</v>
      </c>
      <c r="I386" t="s">
        <v>893</v>
      </c>
      <c r="J386" s="45" t="str">
        <f>VLOOKUP(S386,'AMP models AxeFxIII'!$D$2:$H$299,2,FALSE)</f>
        <v>Not Used</v>
      </c>
      <c r="K386" s="45" t="str">
        <f>VLOOKUP(T386,'AMP models AxeFxIII'!$D$2:$H$299,2,FALSE)</f>
        <v>Not Used</v>
      </c>
      <c r="L386" s="45" t="str">
        <f>VLOOKUP(U386,'AMP models AxeFxIII'!$D$2:$H$299,2,FALSE)</f>
        <v>Not Used</v>
      </c>
      <c r="M386" s="45" t="str">
        <f>VLOOKUP(V386,'AMP models AxeFxIII'!$D$2:$H$299,2,FALSE)</f>
        <v>Not Used</v>
      </c>
      <c r="N386" s="45" t="str">
        <f>VLOOKUP(W386,'AMP models AxeFxIII'!$D$2:$H$299,2,FALSE)</f>
        <v>Not Used</v>
      </c>
      <c r="O386" s="45" t="str">
        <f>VLOOKUP(X386,'AMP models AxeFxIII'!$D$2:$H$299,2,FALSE)</f>
        <v>Not Used</v>
      </c>
      <c r="P386" s="45" t="str">
        <f>VLOOKUP(Y386,'AMP models AxeFxIII'!$D$2:$H$299,2,FALSE)</f>
        <v>Not Used</v>
      </c>
      <c r="Q386" s="45" t="str">
        <f>VLOOKUP(Z386,'AMP models AxeFxIII'!$D$2:$H$299,2,FALSE)</f>
        <v>Not Used</v>
      </c>
      <c r="R386" s="4">
        <v>382</v>
      </c>
      <c r="S386" s="46" t="s">
        <v>555</v>
      </c>
      <c r="T386" s="46" t="s">
        <v>555</v>
      </c>
      <c r="U386" s="46" t="s">
        <v>555</v>
      </c>
      <c r="V386" s="46" t="s">
        <v>555</v>
      </c>
      <c r="W386" s="46" t="s">
        <v>555</v>
      </c>
      <c r="X386" s="46" t="s">
        <v>555</v>
      </c>
      <c r="Y386" s="46" t="s">
        <v>555</v>
      </c>
      <c r="Z386" s="46" t="s">
        <v>555</v>
      </c>
    </row>
    <row r="387" spans="1:26">
      <c r="A387" s="41">
        <f>preset_Names!A387</f>
        <v>383</v>
      </c>
      <c r="B387" t="str">
        <f t="shared" si="16"/>
        <v xml:space="preserve">strcpy(AMP1_A,("Not Used")); strcpy(AMP1_B,("Not Used")); strcpy(AMP1_C,("Not Used")); strcpy(AMP1_D,("Not Used")); </v>
      </c>
      <c r="C387" t="str">
        <f t="shared" si="17"/>
        <v xml:space="preserve">strcpy(AMP2_A,("Not Used")); strcpy(AMP2_B,("Not Used")); strcpy(AMP2_C,("Not Used")); strcpy(AMP2_D,("Not Used")); </v>
      </c>
      <c r="D387" s="31" t="s">
        <v>893</v>
      </c>
      <c r="E387" s="42" t="str">
        <f t="shared" si="15"/>
        <v>case 383: strcpy(AMP1_A,("Not Used")); strcpy(AMP1_B,("Not Used")); strcpy(AMP1_C,("Not Used")); strcpy(AMP1_D,("Not Used")); strcpy(AMP2_A,("Not Used")); strcpy(AMP2_B,("Not Used")); strcpy(AMP2_C,("Not Used")); strcpy(AMP2_D,("Not Used"));  break;</v>
      </c>
      <c r="F387" t="s">
        <v>893</v>
      </c>
      <c r="I387" t="s">
        <v>893</v>
      </c>
      <c r="J387" s="45" t="str">
        <f>VLOOKUP(S387,'AMP models AxeFxIII'!$D$2:$H$299,2,FALSE)</f>
        <v>Not Used</v>
      </c>
      <c r="K387" s="45" t="str">
        <f>VLOOKUP(T387,'AMP models AxeFxIII'!$D$2:$H$299,2,FALSE)</f>
        <v>Not Used</v>
      </c>
      <c r="L387" s="45" t="str">
        <f>VLOOKUP(U387,'AMP models AxeFxIII'!$D$2:$H$299,2,FALSE)</f>
        <v>Not Used</v>
      </c>
      <c r="M387" s="45" t="str">
        <f>VLOOKUP(V387,'AMP models AxeFxIII'!$D$2:$H$299,2,FALSE)</f>
        <v>Not Used</v>
      </c>
      <c r="N387" s="45" t="str">
        <f>VLOOKUP(W387,'AMP models AxeFxIII'!$D$2:$H$299,2,FALSE)</f>
        <v>Not Used</v>
      </c>
      <c r="O387" s="45" t="str">
        <f>VLOOKUP(X387,'AMP models AxeFxIII'!$D$2:$H$299,2,FALSE)</f>
        <v>Not Used</v>
      </c>
      <c r="P387" s="45" t="str">
        <f>VLOOKUP(Y387,'AMP models AxeFxIII'!$D$2:$H$299,2,FALSE)</f>
        <v>Not Used</v>
      </c>
      <c r="Q387" s="45" t="str">
        <f>VLOOKUP(Z387,'AMP models AxeFxIII'!$D$2:$H$299,2,FALSE)</f>
        <v>Not Used</v>
      </c>
      <c r="R387" s="4">
        <v>383</v>
      </c>
      <c r="S387" s="46" t="s">
        <v>555</v>
      </c>
      <c r="T387" s="46" t="s">
        <v>555</v>
      </c>
      <c r="U387" s="46" t="s">
        <v>555</v>
      </c>
      <c r="V387" s="46" t="s">
        <v>555</v>
      </c>
      <c r="W387" s="46" t="s">
        <v>555</v>
      </c>
      <c r="X387" s="46" t="s">
        <v>555</v>
      </c>
      <c r="Y387" s="46" t="s">
        <v>555</v>
      </c>
      <c r="Z387" s="46" t="s">
        <v>555</v>
      </c>
    </row>
    <row r="388" spans="1:26">
      <c r="A388" s="41">
        <f>preset_Names!A388</f>
        <v>384</v>
      </c>
      <c r="B388" t="str">
        <f t="shared" si="16"/>
        <v xml:space="preserve">strcpy(AMP1_A,("Not Used")); strcpy(AMP1_B,("Not Used")); strcpy(AMP1_C,("Not Used")); strcpy(AMP1_D,("Not Used")); </v>
      </c>
      <c r="C388" t="str">
        <f t="shared" si="17"/>
        <v xml:space="preserve">strcpy(AMP2_A,("Not Used")); strcpy(AMP2_B,("Not Used")); strcpy(AMP2_C,("Not Used")); strcpy(AMP2_D,("Not Used")); </v>
      </c>
      <c r="D388" s="31" t="s">
        <v>893</v>
      </c>
      <c r="E388" s="42" t="str">
        <f t="shared" si="15"/>
        <v>case 384: strcpy(AMP1_A,("Not Used")); strcpy(AMP1_B,("Not Used")); strcpy(AMP1_C,("Not Used")); strcpy(AMP1_D,("Not Used")); strcpy(AMP2_A,("Not Used")); strcpy(AMP2_B,("Not Used")); strcpy(AMP2_C,("Not Used")); strcpy(AMP2_D,("Not Used"));  break;</v>
      </c>
      <c r="F388" t="s">
        <v>893</v>
      </c>
      <c r="I388" t="s">
        <v>893</v>
      </c>
      <c r="J388" s="45" t="str">
        <f>VLOOKUP(S388,'AMP models AxeFxIII'!$D$2:$H$299,2,FALSE)</f>
        <v>Not Used</v>
      </c>
      <c r="K388" s="45" t="str">
        <f>VLOOKUP(T388,'AMP models AxeFxIII'!$D$2:$H$299,2,FALSE)</f>
        <v>Not Used</v>
      </c>
      <c r="L388" s="45" t="str">
        <f>VLOOKUP(U388,'AMP models AxeFxIII'!$D$2:$H$299,2,FALSE)</f>
        <v>Not Used</v>
      </c>
      <c r="M388" s="45" t="str">
        <f>VLOOKUP(V388,'AMP models AxeFxIII'!$D$2:$H$299,2,FALSE)</f>
        <v>Not Used</v>
      </c>
      <c r="N388" s="45" t="str">
        <f>VLOOKUP(W388,'AMP models AxeFxIII'!$D$2:$H$299,2,FALSE)</f>
        <v>Not Used</v>
      </c>
      <c r="O388" s="45" t="str">
        <f>VLOOKUP(X388,'AMP models AxeFxIII'!$D$2:$H$299,2,FALSE)</f>
        <v>Not Used</v>
      </c>
      <c r="P388" s="45" t="str">
        <f>VLOOKUP(Y388,'AMP models AxeFxIII'!$D$2:$H$299,2,FALSE)</f>
        <v>Not Used</v>
      </c>
      <c r="Q388" s="45" t="str">
        <f>VLOOKUP(Z388,'AMP models AxeFxIII'!$D$2:$H$299,2,FALSE)</f>
        <v>Not Used</v>
      </c>
      <c r="R388" s="4">
        <v>384</v>
      </c>
      <c r="S388" s="46" t="s">
        <v>555</v>
      </c>
      <c r="T388" s="46" t="s">
        <v>555</v>
      </c>
      <c r="U388" s="46" t="s">
        <v>555</v>
      </c>
      <c r="V388" s="46" t="s">
        <v>555</v>
      </c>
      <c r="W388" s="46" t="s">
        <v>555</v>
      </c>
      <c r="X388" s="46" t="s">
        <v>555</v>
      </c>
      <c r="Y388" s="46" t="s">
        <v>555</v>
      </c>
      <c r="Z388" s="46" t="s">
        <v>555</v>
      </c>
    </row>
    <row r="389" spans="1:26">
      <c r="A389" s="41">
        <f>preset_Names!A389</f>
        <v>385</v>
      </c>
      <c r="B389" t="str">
        <f t="shared" si="16"/>
        <v xml:space="preserve">strcpy(AMP1_A,("Not Used")); strcpy(AMP1_B,("Not Used")); strcpy(AMP1_C,("Not Used")); strcpy(AMP1_D,("Not Used")); </v>
      </c>
      <c r="C389" t="str">
        <f t="shared" si="17"/>
        <v xml:space="preserve">strcpy(AMP2_A,("Not Used")); strcpy(AMP2_B,("Not Used")); strcpy(AMP2_C,("Not Used")); strcpy(AMP2_D,("Not Used")); </v>
      </c>
      <c r="D389" s="31" t="s">
        <v>893</v>
      </c>
      <c r="E389" s="42" t="str">
        <f t="shared" ref="E389:E452" si="18" xml:space="preserve"> "case " &amp; A389 &amp; ": " &amp; B389 &amp; C389 &amp; " break;"</f>
        <v>case 385: strcpy(AMP1_A,("Not Used")); strcpy(AMP1_B,("Not Used")); strcpy(AMP1_C,("Not Used")); strcpy(AMP1_D,("Not Used")); strcpy(AMP2_A,("Not Used")); strcpy(AMP2_B,("Not Used")); strcpy(AMP2_C,("Not Used")); strcpy(AMP2_D,("Not Used"));  break;</v>
      </c>
      <c r="F389" t="s">
        <v>893</v>
      </c>
      <c r="I389" t="s">
        <v>893</v>
      </c>
      <c r="J389" s="45" t="str">
        <f>VLOOKUP(S389,'AMP models AxeFxIII'!$D$2:$H$299,2,FALSE)</f>
        <v>Not Used</v>
      </c>
      <c r="K389" s="45" t="str">
        <f>VLOOKUP(T389,'AMP models AxeFxIII'!$D$2:$H$299,2,FALSE)</f>
        <v>Not Used</v>
      </c>
      <c r="L389" s="45" t="str">
        <f>VLOOKUP(U389,'AMP models AxeFxIII'!$D$2:$H$299,2,FALSE)</f>
        <v>Not Used</v>
      </c>
      <c r="M389" s="45" t="str">
        <f>VLOOKUP(V389,'AMP models AxeFxIII'!$D$2:$H$299,2,FALSE)</f>
        <v>Not Used</v>
      </c>
      <c r="N389" s="45" t="str">
        <f>VLOOKUP(W389,'AMP models AxeFxIII'!$D$2:$H$299,2,FALSE)</f>
        <v>Not Used</v>
      </c>
      <c r="O389" s="45" t="str">
        <f>VLOOKUP(X389,'AMP models AxeFxIII'!$D$2:$H$299,2,FALSE)</f>
        <v>Not Used</v>
      </c>
      <c r="P389" s="45" t="str">
        <f>VLOOKUP(Y389,'AMP models AxeFxIII'!$D$2:$H$299,2,FALSE)</f>
        <v>Not Used</v>
      </c>
      <c r="Q389" s="45" t="str">
        <f>VLOOKUP(Z389,'AMP models AxeFxIII'!$D$2:$H$299,2,FALSE)</f>
        <v>Not Used</v>
      </c>
      <c r="R389" s="4">
        <v>385</v>
      </c>
      <c r="S389" s="46" t="s">
        <v>555</v>
      </c>
      <c r="T389" s="46" t="s">
        <v>555</v>
      </c>
      <c r="U389" s="46" t="s">
        <v>555</v>
      </c>
      <c r="V389" s="46" t="s">
        <v>555</v>
      </c>
      <c r="W389" s="46" t="s">
        <v>555</v>
      </c>
      <c r="X389" s="46" t="s">
        <v>555</v>
      </c>
      <c r="Y389" s="46" t="s">
        <v>555</v>
      </c>
      <c r="Z389" s="46" t="s">
        <v>555</v>
      </c>
    </row>
    <row r="390" spans="1:26">
      <c r="A390" s="41">
        <f>preset_Names!A390</f>
        <v>386</v>
      </c>
      <c r="B390" t="str">
        <f t="shared" ref="B390:B453" si="19">$F$4&amp;$J$3&amp;$G$4&amp;J390&amp;$H$4&amp;$F$4&amp;$K$3&amp;$G$4&amp;K390&amp;$H$4&amp;$F$4&amp;$L$3&amp;$G$4&amp;L390&amp;$H$4&amp;$F$4&amp;$M$3&amp;$G$4&amp;M390&amp;$H$4</f>
        <v xml:space="preserve">strcpy(AMP1_A,("Not Used")); strcpy(AMP1_B,("Not Used")); strcpy(AMP1_C,("Not Used")); strcpy(AMP1_D,("Not Used")); </v>
      </c>
      <c r="C390" t="str">
        <f t="shared" ref="C390:C453" si="20">$F$4&amp;$N$3&amp;$G$4&amp;N390&amp;$H$4&amp;$F$4&amp;$O$3&amp;$G$4&amp;O390&amp;$H$4&amp;$F$4&amp;$P$3&amp;$G$4&amp;P390&amp;$H$4&amp;$F$4&amp;$Q$3&amp;$G$4&amp;Q390&amp;$H$4</f>
        <v xml:space="preserve">strcpy(AMP2_A,("Not Used")); strcpy(AMP2_B,("Not Used")); strcpy(AMP2_C,("Not Used")); strcpy(AMP2_D,("Not Used")); </v>
      </c>
      <c r="D390" s="31" t="s">
        <v>893</v>
      </c>
      <c r="E390" s="42" t="str">
        <f t="shared" si="18"/>
        <v>case 386: strcpy(AMP1_A,("Not Used")); strcpy(AMP1_B,("Not Used")); strcpy(AMP1_C,("Not Used")); strcpy(AMP1_D,("Not Used")); strcpy(AMP2_A,("Not Used")); strcpy(AMP2_B,("Not Used")); strcpy(AMP2_C,("Not Used")); strcpy(AMP2_D,("Not Used"));  break;</v>
      </c>
      <c r="F390" t="s">
        <v>893</v>
      </c>
      <c r="I390" t="s">
        <v>893</v>
      </c>
      <c r="J390" s="45" t="str">
        <f>VLOOKUP(S390,'AMP models AxeFxIII'!$D$2:$H$299,2,FALSE)</f>
        <v>Not Used</v>
      </c>
      <c r="K390" s="45" t="str">
        <f>VLOOKUP(T390,'AMP models AxeFxIII'!$D$2:$H$299,2,FALSE)</f>
        <v>Not Used</v>
      </c>
      <c r="L390" s="45" t="str">
        <f>VLOOKUP(U390,'AMP models AxeFxIII'!$D$2:$H$299,2,FALSE)</f>
        <v>Not Used</v>
      </c>
      <c r="M390" s="45" t="str">
        <f>VLOOKUP(V390,'AMP models AxeFxIII'!$D$2:$H$299,2,FALSE)</f>
        <v>Not Used</v>
      </c>
      <c r="N390" s="45" t="str">
        <f>VLOOKUP(W390,'AMP models AxeFxIII'!$D$2:$H$299,2,FALSE)</f>
        <v>Not Used</v>
      </c>
      <c r="O390" s="45" t="str">
        <f>VLOOKUP(X390,'AMP models AxeFxIII'!$D$2:$H$299,2,FALSE)</f>
        <v>Not Used</v>
      </c>
      <c r="P390" s="45" t="str">
        <f>VLOOKUP(Y390,'AMP models AxeFxIII'!$D$2:$H$299,2,FALSE)</f>
        <v>Not Used</v>
      </c>
      <c r="Q390" s="45" t="str">
        <f>VLOOKUP(Z390,'AMP models AxeFxIII'!$D$2:$H$299,2,FALSE)</f>
        <v>Not Used</v>
      </c>
      <c r="R390" s="4">
        <v>386</v>
      </c>
      <c r="S390" s="46" t="s">
        <v>555</v>
      </c>
      <c r="T390" s="46" t="s">
        <v>555</v>
      </c>
      <c r="U390" s="46" t="s">
        <v>555</v>
      </c>
      <c r="V390" s="46" t="s">
        <v>555</v>
      </c>
      <c r="W390" s="46" t="s">
        <v>555</v>
      </c>
      <c r="X390" s="46" t="s">
        <v>555</v>
      </c>
      <c r="Y390" s="46" t="s">
        <v>555</v>
      </c>
      <c r="Z390" s="46" t="s">
        <v>555</v>
      </c>
    </row>
    <row r="391" spans="1:26">
      <c r="A391" s="41">
        <f>preset_Names!A391</f>
        <v>387</v>
      </c>
      <c r="B391" t="str">
        <f t="shared" si="19"/>
        <v xml:space="preserve">strcpy(AMP1_A,("Not Used")); strcpy(AMP1_B,("Not Used")); strcpy(AMP1_C,("Not Used")); strcpy(AMP1_D,("Not Used")); </v>
      </c>
      <c r="C391" t="str">
        <f t="shared" si="20"/>
        <v xml:space="preserve">strcpy(AMP2_A,("Not Used")); strcpy(AMP2_B,("Not Used")); strcpy(AMP2_C,("Not Used")); strcpy(AMP2_D,("Not Used")); </v>
      </c>
      <c r="D391" s="31" t="s">
        <v>893</v>
      </c>
      <c r="E391" s="42" t="str">
        <f t="shared" si="18"/>
        <v>case 387: strcpy(AMP1_A,("Not Used")); strcpy(AMP1_B,("Not Used")); strcpy(AMP1_C,("Not Used")); strcpy(AMP1_D,("Not Used")); strcpy(AMP2_A,("Not Used")); strcpy(AMP2_B,("Not Used")); strcpy(AMP2_C,("Not Used")); strcpy(AMP2_D,("Not Used"));  break;</v>
      </c>
      <c r="F391" t="s">
        <v>893</v>
      </c>
      <c r="I391" t="s">
        <v>893</v>
      </c>
      <c r="J391" s="45" t="str">
        <f>VLOOKUP(S391,'AMP models AxeFxIII'!$D$2:$H$299,2,FALSE)</f>
        <v>Not Used</v>
      </c>
      <c r="K391" s="45" t="str">
        <f>VLOOKUP(T391,'AMP models AxeFxIII'!$D$2:$H$299,2,FALSE)</f>
        <v>Not Used</v>
      </c>
      <c r="L391" s="45" t="str">
        <f>VLOOKUP(U391,'AMP models AxeFxIII'!$D$2:$H$299,2,FALSE)</f>
        <v>Not Used</v>
      </c>
      <c r="M391" s="45" t="str">
        <f>VLOOKUP(V391,'AMP models AxeFxIII'!$D$2:$H$299,2,FALSE)</f>
        <v>Not Used</v>
      </c>
      <c r="N391" s="45" t="str">
        <f>VLOOKUP(W391,'AMP models AxeFxIII'!$D$2:$H$299,2,FALSE)</f>
        <v>Not Used</v>
      </c>
      <c r="O391" s="45" t="str">
        <f>VLOOKUP(X391,'AMP models AxeFxIII'!$D$2:$H$299,2,FALSE)</f>
        <v>Not Used</v>
      </c>
      <c r="P391" s="45" t="str">
        <f>VLOOKUP(Y391,'AMP models AxeFxIII'!$D$2:$H$299,2,FALSE)</f>
        <v>Not Used</v>
      </c>
      <c r="Q391" s="45" t="str">
        <f>VLOOKUP(Z391,'AMP models AxeFxIII'!$D$2:$H$299,2,FALSE)</f>
        <v>Not Used</v>
      </c>
      <c r="R391" s="4">
        <v>387</v>
      </c>
      <c r="S391" s="46" t="s">
        <v>555</v>
      </c>
      <c r="T391" s="46" t="s">
        <v>555</v>
      </c>
      <c r="U391" s="46" t="s">
        <v>555</v>
      </c>
      <c r="V391" s="46" t="s">
        <v>555</v>
      </c>
      <c r="W391" s="46" t="s">
        <v>555</v>
      </c>
      <c r="X391" s="46" t="s">
        <v>555</v>
      </c>
      <c r="Y391" s="46" t="s">
        <v>555</v>
      </c>
      <c r="Z391" s="46" t="s">
        <v>555</v>
      </c>
    </row>
    <row r="392" spans="1:26">
      <c r="A392" s="41">
        <f>preset_Names!A392</f>
        <v>388</v>
      </c>
      <c r="B392" t="str">
        <f t="shared" si="19"/>
        <v xml:space="preserve">strcpy(AMP1_A,("Not Used")); strcpy(AMP1_B,("Not Used")); strcpy(AMP1_C,("Not Used")); strcpy(AMP1_D,("Not Used")); </v>
      </c>
      <c r="C392" t="str">
        <f t="shared" si="20"/>
        <v xml:space="preserve">strcpy(AMP2_A,("Not Used")); strcpy(AMP2_B,("Not Used")); strcpy(AMP2_C,("Not Used")); strcpy(AMP2_D,("Not Used")); </v>
      </c>
      <c r="D392" s="31" t="s">
        <v>893</v>
      </c>
      <c r="E392" s="42" t="str">
        <f t="shared" si="18"/>
        <v>case 388: strcpy(AMP1_A,("Not Used")); strcpy(AMP1_B,("Not Used")); strcpy(AMP1_C,("Not Used")); strcpy(AMP1_D,("Not Used")); strcpy(AMP2_A,("Not Used")); strcpy(AMP2_B,("Not Used")); strcpy(AMP2_C,("Not Used")); strcpy(AMP2_D,("Not Used"));  break;</v>
      </c>
      <c r="F392" t="s">
        <v>893</v>
      </c>
      <c r="I392" t="s">
        <v>893</v>
      </c>
      <c r="J392" s="45" t="str">
        <f>VLOOKUP(S392,'AMP models AxeFxIII'!$D$2:$H$299,2,FALSE)</f>
        <v>Not Used</v>
      </c>
      <c r="K392" s="45" t="str">
        <f>VLOOKUP(T392,'AMP models AxeFxIII'!$D$2:$H$299,2,FALSE)</f>
        <v>Not Used</v>
      </c>
      <c r="L392" s="45" t="str">
        <f>VLOOKUP(U392,'AMP models AxeFxIII'!$D$2:$H$299,2,FALSE)</f>
        <v>Not Used</v>
      </c>
      <c r="M392" s="45" t="str">
        <f>VLOOKUP(V392,'AMP models AxeFxIII'!$D$2:$H$299,2,FALSE)</f>
        <v>Not Used</v>
      </c>
      <c r="N392" s="45" t="str">
        <f>VLOOKUP(W392,'AMP models AxeFxIII'!$D$2:$H$299,2,FALSE)</f>
        <v>Not Used</v>
      </c>
      <c r="O392" s="45" t="str">
        <f>VLOOKUP(X392,'AMP models AxeFxIII'!$D$2:$H$299,2,FALSE)</f>
        <v>Not Used</v>
      </c>
      <c r="P392" s="45" t="str">
        <f>VLOOKUP(Y392,'AMP models AxeFxIII'!$D$2:$H$299,2,FALSE)</f>
        <v>Not Used</v>
      </c>
      <c r="Q392" s="45" t="str">
        <f>VLOOKUP(Z392,'AMP models AxeFxIII'!$D$2:$H$299,2,FALSE)</f>
        <v>Not Used</v>
      </c>
      <c r="R392" s="4">
        <v>388</v>
      </c>
      <c r="S392" s="46" t="s">
        <v>555</v>
      </c>
      <c r="T392" s="46" t="s">
        <v>555</v>
      </c>
      <c r="U392" s="46" t="s">
        <v>555</v>
      </c>
      <c r="V392" s="46" t="s">
        <v>555</v>
      </c>
      <c r="W392" s="46" t="s">
        <v>555</v>
      </c>
      <c r="X392" s="46" t="s">
        <v>555</v>
      </c>
      <c r="Y392" s="46" t="s">
        <v>555</v>
      </c>
      <c r="Z392" s="46" t="s">
        <v>555</v>
      </c>
    </row>
    <row r="393" spans="1:26">
      <c r="A393" s="41">
        <f>preset_Names!A393</f>
        <v>389</v>
      </c>
      <c r="B393" t="str">
        <f t="shared" si="19"/>
        <v xml:space="preserve">strcpy(AMP1_A,("Not Used")); strcpy(AMP1_B,("Not Used")); strcpy(AMP1_C,("Not Used")); strcpy(AMP1_D,("Not Used")); </v>
      </c>
      <c r="C393" t="str">
        <f t="shared" si="20"/>
        <v xml:space="preserve">strcpy(AMP2_A,("Not Used")); strcpy(AMP2_B,("Not Used")); strcpy(AMP2_C,("Not Used")); strcpy(AMP2_D,("Not Used")); </v>
      </c>
      <c r="D393" s="31" t="s">
        <v>893</v>
      </c>
      <c r="E393" s="42" t="str">
        <f t="shared" si="18"/>
        <v>case 389: strcpy(AMP1_A,("Not Used")); strcpy(AMP1_B,("Not Used")); strcpy(AMP1_C,("Not Used")); strcpy(AMP1_D,("Not Used")); strcpy(AMP2_A,("Not Used")); strcpy(AMP2_B,("Not Used")); strcpy(AMP2_C,("Not Used")); strcpy(AMP2_D,("Not Used"));  break;</v>
      </c>
      <c r="F393" t="s">
        <v>893</v>
      </c>
      <c r="I393" t="s">
        <v>893</v>
      </c>
      <c r="J393" s="45" t="str">
        <f>VLOOKUP(S393,'AMP models AxeFxIII'!$D$2:$H$299,2,FALSE)</f>
        <v>Not Used</v>
      </c>
      <c r="K393" s="45" t="str">
        <f>VLOOKUP(T393,'AMP models AxeFxIII'!$D$2:$H$299,2,FALSE)</f>
        <v>Not Used</v>
      </c>
      <c r="L393" s="45" t="str">
        <f>VLOOKUP(U393,'AMP models AxeFxIII'!$D$2:$H$299,2,FALSE)</f>
        <v>Not Used</v>
      </c>
      <c r="M393" s="45" t="str">
        <f>VLOOKUP(V393,'AMP models AxeFxIII'!$D$2:$H$299,2,FALSE)</f>
        <v>Not Used</v>
      </c>
      <c r="N393" s="45" t="str">
        <f>VLOOKUP(W393,'AMP models AxeFxIII'!$D$2:$H$299,2,FALSE)</f>
        <v>Not Used</v>
      </c>
      <c r="O393" s="45" t="str">
        <f>VLOOKUP(X393,'AMP models AxeFxIII'!$D$2:$H$299,2,FALSE)</f>
        <v>Not Used</v>
      </c>
      <c r="P393" s="45" t="str">
        <f>VLOOKUP(Y393,'AMP models AxeFxIII'!$D$2:$H$299,2,FALSE)</f>
        <v>Not Used</v>
      </c>
      <c r="Q393" s="45" t="str">
        <f>VLOOKUP(Z393,'AMP models AxeFxIII'!$D$2:$H$299,2,FALSE)</f>
        <v>Not Used</v>
      </c>
      <c r="R393" s="4">
        <v>389</v>
      </c>
      <c r="S393" s="46" t="s">
        <v>555</v>
      </c>
      <c r="T393" s="46" t="s">
        <v>555</v>
      </c>
      <c r="U393" s="46" t="s">
        <v>555</v>
      </c>
      <c r="V393" s="46" t="s">
        <v>555</v>
      </c>
      <c r="W393" s="46" t="s">
        <v>555</v>
      </c>
      <c r="X393" s="46" t="s">
        <v>555</v>
      </c>
      <c r="Y393" s="46" t="s">
        <v>555</v>
      </c>
      <c r="Z393" s="46" t="s">
        <v>555</v>
      </c>
    </row>
    <row r="394" spans="1:26">
      <c r="A394" s="41">
        <f>preset_Names!A394</f>
        <v>390</v>
      </c>
      <c r="B394" t="str">
        <f t="shared" si="19"/>
        <v xml:space="preserve">strcpy(AMP1_A,("Not Used")); strcpy(AMP1_B,("Not Used")); strcpy(AMP1_C,("Not Used")); strcpy(AMP1_D,("Not Used")); </v>
      </c>
      <c r="C394" t="str">
        <f t="shared" si="20"/>
        <v xml:space="preserve">strcpy(AMP2_A,("Not Used")); strcpy(AMP2_B,("Not Used")); strcpy(AMP2_C,("Not Used")); strcpy(AMP2_D,("Not Used")); </v>
      </c>
      <c r="D394" s="31" t="s">
        <v>893</v>
      </c>
      <c r="E394" s="42" t="str">
        <f t="shared" si="18"/>
        <v>case 390: strcpy(AMP1_A,("Not Used")); strcpy(AMP1_B,("Not Used")); strcpy(AMP1_C,("Not Used")); strcpy(AMP1_D,("Not Used")); strcpy(AMP2_A,("Not Used")); strcpy(AMP2_B,("Not Used")); strcpy(AMP2_C,("Not Used")); strcpy(AMP2_D,("Not Used"));  break;</v>
      </c>
      <c r="F394" t="s">
        <v>893</v>
      </c>
      <c r="I394" t="s">
        <v>893</v>
      </c>
      <c r="J394" s="45" t="str">
        <f>VLOOKUP(S394,'AMP models AxeFxIII'!$D$2:$H$299,2,FALSE)</f>
        <v>Not Used</v>
      </c>
      <c r="K394" s="45" t="str">
        <f>VLOOKUP(T394,'AMP models AxeFxIII'!$D$2:$H$299,2,FALSE)</f>
        <v>Not Used</v>
      </c>
      <c r="L394" s="45" t="str">
        <f>VLOOKUP(U394,'AMP models AxeFxIII'!$D$2:$H$299,2,FALSE)</f>
        <v>Not Used</v>
      </c>
      <c r="M394" s="45" t="str">
        <f>VLOOKUP(V394,'AMP models AxeFxIII'!$D$2:$H$299,2,FALSE)</f>
        <v>Not Used</v>
      </c>
      <c r="N394" s="45" t="str">
        <f>VLOOKUP(W394,'AMP models AxeFxIII'!$D$2:$H$299,2,FALSE)</f>
        <v>Not Used</v>
      </c>
      <c r="O394" s="45" t="str">
        <f>VLOOKUP(X394,'AMP models AxeFxIII'!$D$2:$H$299,2,FALSE)</f>
        <v>Not Used</v>
      </c>
      <c r="P394" s="45" t="str">
        <f>VLOOKUP(Y394,'AMP models AxeFxIII'!$D$2:$H$299,2,FALSE)</f>
        <v>Not Used</v>
      </c>
      <c r="Q394" s="45" t="str">
        <f>VLOOKUP(Z394,'AMP models AxeFxIII'!$D$2:$H$299,2,FALSE)</f>
        <v>Not Used</v>
      </c>
      <c r="R394" s="4">
        <v>390</v>
      </c>
      <c r="S394" s="46" t="s">
        <v>555</v>
      </c>
      <c r="T394" s="46" t="s">
        <v>555</v>
      </c>
      <c r="U394" s="46" t="s">
        <v>555</v>
      </c>
      <c r="V394" s="46" t="s">
        <v>555</v>
      </c>
      <c r="W394" s="46" t="s">
        <v>555</v>
      </c>
      <c r="X394" s="46" t="s">
        <v>555</v>
      </c>
      <c r="Y394" s="46" t="s">
        <v>555</v>
      </c>
      <c r="Z394" s="46" t="s">
        <v>555</v>
      </c>
    </row>
    <row r="395" spans="1:26">
      <c r="A395" s="41">
        <f>preset_Names!A395</f>
        <v>391</v>
      </c>
      <c r="B395" t="str">
        <f t="shared" si="19"/>
        <v xml:space="preserve">strcpy(AMP1_A,("Not Used")); strcpy(AMP1_B,("Not Used")); strcpy(AMP1_C,("Not Used")); strcpy(AMP1_D,("Not Used")); </v>
      </c>
      <c r="C395" t="str">
        <f t="shared" si="20"/>
        <v xml:space="preserve">strcpy(AMP2_A,("Not Used")); strcpy(AMP2_B,("Not Used")); strcpy(AMP2_C,("Not Used")); strcpy(AMP2_D,("Not Used")); </v>
      </c>
      <c r="D395" s="31" t="s">
        <v>893</v>
      </c>
      <c r="E395" s="42" t="str">
        <f t="shared" si="18"/>
        <v>case 391: strcpy(AMP1_A,("Not Used")); strcpy(AMP1_B,("Not Used")); strcpy(AMP1_C,("Not Used")); strcpy(AMP1_D,("Not Used")); strcpy(AMP2_A,("Not Used")); strcpy(AMP2_B,("Not Used")); strcpy(AMP2_C,("Not Used")); strcpy(AMP2_D,("Not Used"));  break;</v>
      </c>
      <c r="F395" t="s">
        <v>893</v>
      </c>
      <c r="I395" t="s">
        <v>893</v>
      </c>
      <c r="J395" s="45" t="str">
        <f>VLOOKUP(S395,'AMP models AxeFxIII'!$D$2:$H$299,2,FALSE)</f>
        <v>Not Used</v>
      </c>
      <c r="K395" s="45" t="str">
        <f>VLOOKUP(T395,'AMP models AxeFxIII'!$D$2:$H$299,2,FALSE)</f>
        <v>Not Used</v>
      </c>
      <c r="L395" s="45" t="str">
        <f>VLOOKUP(U395,'AMP models AxeFxIII'!$D$2:$H$299,2,FALSE)</f>
        <v>Not Used</v>
      </c>
      <c r="M395" s="45" t="str">
        <f>VLOOKUP(V395,'AMP models AxeFxIII'!$D$2:$H$299,2,FALSE)</f>
        <v>Not Used</v>
      </c>
      <c r="N395" s="45" t="str">
        <f>VLOOKUP(W395,'AMP models AxeFxIII'!$D$2:$H$299,2,FALSE)</f>
        <v>Not Used</v>
      </c>
      <c r="O395" s="45" t="str">
        <f>VLOOKUP(X395,'AMP models AxeFxIII'!$D$2:$H$299,2,FALSE)</f>
        <v>Not Used</v>
      </c>
      <c r="P395" s="45" t="str">
        <f>VLOOKUP(Y395,'AMP models AxeFxIII'!$D$2:$H$299,2,FALSE)</f>
        <v>Not Used</v>
      </c>
      <c r="Q395" s="45" t="str">
        <f>VLOOKUP(Z395,'AMP models AxeFxIII'!$D$2:$H$299,2,FALSE)</f>
        <v>Not Used</v>
      </c>
      <c r="R395" s="4">
        <v>391</v>
      </c>
      <c r="S395" s="46" t="s">
        <v>555</v>
      </c>
      <c r="T395" s="46" t="s">
        <v>555</v>
      </c>
      <c r="U395" s="46" t="s">
        <v>555</v>
      </c>
      <c r="V395" s="46" t="s">
        <v>555</v>
      </c>
      <c r="W395" s="46" t="s">
        <v>555</v>
      </c>
      <c r="X395" s="46" t="s">
        <v>555</v>
      </c>
      <c r="Y395" s="46" t="s">
        <v>555</v>
      </c>
      <c r="Z395" s="46" t="s">
        <v>555</v>
      </c>
    </row>
    <row r="396" spans="1:26">
      <c r="A396" s="41">
        <f>preset_Names!A396</f>
        <v>392</v>
      </c>
      <c r="B396" t="str">
        <f t="shared" si="19"/>
        <v xml:space="preserve">strcpy(AMP1_A,("Not Used")); strcpy(AMP1_B,("Not Used")); strcpy(AMP1_C,("Not Used")); strcpy(AMP1_D,("Not Used")); </v>
      </c>
      <c r="C396" t="str">
        <f t="shared" si="20"/>
        <v xml:space="preserve">strcpy(AMP2_A,("Not Used")); strcpy(AMP2_B,("Not Used")); strcpy(AMP2_C,("Not Used")); strcpy(AMP2_D,("Not Used")); </v>
      </c>
      <c r="D396" s="31" t="s">
        <v>893</v>
      </c>
      <c r="E396" s="42" t="str">
        <f t="shared" si="18"/>
        <v>case 392: strcpy(AMP1_A,("Not Used")); strcpy(AMP1_B,("Not Used")); strcpy(AMP1_C,("Not Used")); strcpy(AMP1_D,("Not Used")); strcpy(AMP2_A,("Not Used")); strcpy(AMP2_B,("Not Used")); strcpy(AMP2_C,("Not Used")); strcpy(AMP2_D,("Not Used"));  break;</v>
      </c>
      <c r="F396" t="s">
        <v>893</v>
      </c>
      <c r="I396" t="s">
        <v>893</v>
      </c>
      <c r="J396" s="45" t="str">
        <f>VLOOKUP(S396,'AMP models AxeFxIII'!$D$2:$H$299,2,FALSE)</f>
        <v>Not Used</v>
      </c>
      <c r="K396" s="45" t="str">
        <f>VLOOKUP(T396,'AMP models AxeFxIII'!$D$2:$H$299,2,FALSE)</f>
        <v>Not Used</v>
      </c>
      <c r="L396" s="45" t="str">
        <f>VLOOKUP(U396,'AMP models AxeFxIII'!$D$2:$H$299,2,FALSE)</f>
        <v>Not Used</v>
      </c>
      <c r="M396" s="45" t="str">
        <f>VLOOKUP(V396,'AMP models AxeFxIII'!$D$2:$H$299,2,FALSE)</f>
        <v>Not Used</v>
      </c>
      <c r="N396" s="45" t="str">
        <f>VLOOKUP(W396,'AMP models AxeFxIII'!$D$2:$H$299,2,FALSE)</f>
        <v>Not Used</v>
      </c>
      <c r="O396" s="45" t="str">
        <f>VLOOKUP(X396,'AMP models AxeFxIII'!$D$2:$H$299,2,FALSE)</f>
        <v>Not Used</v>
      </c>
      <c r="P396" s="45" t="str">
        <f>VLOOKUP(Y396,'AMP models AxeFxIII'!$D$2:$H$299,2,FALSE)</f>
        <v>Not Used</v>
      </c>
      <c r="Q396" s="45" t="str">
        <f>VLOOKUP(Z396,'AMP models AxeFxIII'!$D$2:$H$299,2,FALSE)</f>
        <v>Not Used</v>
      </c>
      <c r="R396" s="4">
        <v>392</v>
      </c>
      <c r="S396" s="46" t="s">
        <v>555</v>
      </c>
      <c r="T396" s="46" t="s">
        <v>555</v>
      </c>
      <c r="U396" s="46" t="s">
        <v>555</v>
      </c>
      <c r="V396" s="46" t="s">
        <v>555</v>
      </c>
      <c r="W396" s="46" t="s">
        <v>555</v>
      </c>
      <c r="X396" s="46" t="s">
        <v>555</v>
      </c>
      <c r="Y396" s="46" t="s">
        <v>555</v>
      </c>
      <c r="Z396" s="46" t="s">
        <v>555</v>
      </c>
    </row>
    <row r="397" spans="1:26">
      <c r="A397" s="41">
        <f>preset_Names!A397</f>
        <v>393</v>
      </c>
      <c r="B397" t="str">
        <f t="shared" si="19"/>
        <v xml:space="preserve">strcpy(AMP1_A,("Not Used")); strcpy(AMP1_B,("Not Used")); strcpy(AMP1_C,("Not Used")); strcpy(AMP1_D,("Not Used")); </v>
      </c>
      <c r="C397" t="str">
        <f t="shared" si="20"/>
        <v xml:space="preserve">strcpy(AMP2_A,("Not Used")); strcpy(AMP2_B,("Not Used")); strcpy(AMP2_C,("Not Used")); strcpy(AMP2_D,("Not Used")); </v>
      </c>
      <c r="D397" s="31" t="s">
        <v>893</v>
      </c>
      <c r="E397" s="42" t="str">
        <f t="shared" si="18"/>
        <v>case 393: strcpy(AMP1_A,("Not Used")); strcpy(AMP1_B,("Not Used")); strcpy(AMP1_C,("Not Used")); strcpy(AMP1_D,("Not Used")); strcpy(AMP2_A,("Not Used")); strcpy(AMP2_B,("Not Used")); strcpy(AMP2_C,("Not Used")); strcpy(AMP2_D,("Not Used"));  break;</v>
      </c>
      <c r="F397" t="s">
        <v>893</v>
      </c>
      <c r="I397" t="s">
        <v>893</v>
      </c>
      <c r="J397" s="45" t="str">
        <f>VLOOKUP(S397,'AMP models AxeFxIII'!$D$2:$H$299,2,FALSE)</f>
        <v>Not Used</v>
      </c>
      <c r="K397" s="45" t="str">
        <f>VLOOKUP(T397,'AMP models AxeFxIII'!$D$2:$H$299,2,FALSE)</f>
        <v>Not Used</v>
      </c>
      <c r="L397" s="45" t="str">
        <f>VLOOKUP(U397,'AMP models AxeFxIII'!$D$2:$H$299,2,FALSE)</f>
        <v>Not Used</v>
      </c>
      <c r="M397" s="45" t="str">
        <f>VLOOKUP(V397,'AMP models AxeFxIII'!$D$2:$H$299,2,FALSE)</f>
        <v>Not Used</v>
      </c>
      <c r="N397" s="45" t="str">
        <f>VLOOKUP(W397,'AMP models AxeFxIII'!$D$2:$H$299,2,FALSE)</f>
        <v>Not Used</v>
      </c>
      <c r="O397" s="45" t="str">
        <f>VLOOKUP(X397,'AMP models AxeFxIII'!$D$2:$H$299,2,FALSE)</f>
        <v>Not Used</v>
      </c>
      <c r="P397" s="45" t="str">
        <f>VLOOKUP(Y397,'AMP models AxeFxIII'!$D$2:$H$299,2,FALSE)</f>
        <v>Not Used</v>
      </c>
      <c r="Q397" s="45" t="str">
        <f>VLOOKUP(Z397,'AMP models AxeFxIII'!$D$2:$H$299,2,FALSE)</f>
        <v>Not Used</v>
      </c>
      <c r="R397" s="4">
        <v>393</v>
      </c>
      <c r="S397" s="46" t="s">
        <v>555</v>
      </c>
      <c r="T397" s="46" t="s">
        <v>555</v>
      </c>
      <c r="U397" s="46" t="s">
        <v>555</v>
      </c>
      <c r="V397" s="46" t="s">
        <v>555</v>
      </c>
      <c r="W397" s="46" t="s">
        <v>555</v>
      </c>
      <c r="X397" s="46" t="s">
        <v>555</v>
      </c>
      <c r="Y397" s="46" t="s">
        <v>555</v>
      </c>
      <c r="Z397" s="46" t="s">
        <v>555</v>
      </c>
    </row>
    <row r="398" spans="1:26">
      <c r="A398" s="41">
        <f>preset_Names!A398</f>
        <v>394</v>
      </c>
      <c r="B398" t="str">
        <f t="shared" si="19"/>
        <v xml:space="preserve">strcpy(AMP1_A,("Not Used")); strcpy(AMP1_B,("Not Used")); strcpy(AMP1_C,("Not Used")); strcpy(AMP1_D,("Not Used")); </v>
      </c>
      <c r="C398" t="str">
        <f t="shared" si="20"/>
        <v xml:space="preserve">strcpy(AMP2_A,("Not Used")); strcpy(AMP2_B,("Not Used")); strcpy(AMP2_C,("Not Used")); strcpy(AMP2_D,("Not Used")); </v>
      </c>
      <c r="D398" s="31" t="s">
        <v>893</v>
      </c>
      <c r="E398" s="42" t="str">
        <f t="shared" si="18"/>
        <v>case 394: strcpy(AMP1_A,("Not Used")); strcpy(AMP1_B,("Not Used")); strcpy(AMP1_C,("Not Used")); strcpy(AMP1_D,("Not Used")); strcpy(AMP2_A,("Not Used")); strcpy(AMP2_B,("Not Used")); strcpy(AMP2_C,("Not Used")); strcpy(AMP2_D,("Not Used"));  break;</v>
      </c>
      <c r="F398" t="s">
        <v>893</v>
      </c>
      <c r="I398" t="s">
        <v>893</v>
      </c>
      <c r="J398" s="45" t="str">
        <f>VLOOKUP(S398,'AMP models AxeFxIII'!$D$2:$H$299,2,FALSE)</f>
        <v>Not Used</v>
      </c>
      <c r="K398" s="45" t="str">
        <f>VLOOKUP(T398,'AMP models AxeFxIII'!$D$2:$H$299,2,FALSE)</f>
        <v>Not Used</v>
      </c>
      <c r="L398" s="45" t="str">
        <f>VLOOKUP(U398,'AMP models AxeFxIII'!$D$2:$H$299,2,FALSE)</f>
        <v>Not Used</v>
      </c>
      <c r="M398" s="45" t="str">
        <f>VLOOKUP(V398,'AMP models AxeFxIII'!$D$2:$H$299,2,FALSE)</f>
        <v>Not Used</v>
      </c>
      <c r="N398" s="45" t="str">
        <f>VLOOKUP(W398,'AMP models AxeFxIII'!$D$2:$H$299,2,FALSE)</f>
        <v>Not Used</v>
      </c>
      <c r="O398" s="45" t="str">
        <f>VLOOKUP(X398,'AMP models AxeFxIII'!$D$2:$H$299,2,FALSE)</f>
        <v>Not Used</v>
      </c>
      <c r="P398" s="45" t="str">
        <f>VLOOKUP(Y398,'AMP models AxeFxIII'!$D$2:$H$299,2,FALSE)</f>
        <v>Not Used</v>
      </c>
      <c r="Q398" s="45" t="str">
        <f>VLOOKUP(Z398,'AMP models AxeFxIII'!$D$2:$H$299,2,FALSE)</f>
        <v>Not Used</v>
      </c>
      <c r="R398" s="4">
        <v>394</v>
      </c>
      <c r="S398" s="46" t="s">
        <v>555</v>
      </c>
      <c r="T398" s="46" t="s">
        <v>555</v>
      </c>
      <c r="U398" s="46" t="s">
        <v>555</v>
      </c>
      <c r="V398" s="46" t="s">
        <v>555</v>
      </c>
      <c r="W398" s="46" t="s">
        <v>555</v>
      </c>
      <c r="X398" s="46" t="s">
        <v>555</v>
      </c>
      <c r="Y398" s="46" t="s">
        <v>555</v>
      </c>
      <c r="Z398" s="46" t="s">
        <v>555</v>
      </c>
    </row>
    <row r="399" spans="1:26">
      <c r="A399" s="41">
        <f>preset_Names!A399</f>
        <v>395</v>
      </c>
      <c r="B399" t="str">
        <f t="shared" si="19"/>
        <v xml:space="preserve">strcpy(AMP1_A,("Not Used")); strcpy(AMP1_B,("Not Used")); strcpy(AMP1_C,("Not Used")); strcpy(AMP1_D,("Not Used")); </v>
      </c>
      <c r="C399" t="str">
        <f t="shared" si="20"/>
        <v xml:space="preserve">strcpy(AMP2_A,("Not Used")); strcpy(AMP2_B,("Not Used")); strcpy(AMP2_C,("Not Used")); strcpy(AMP2_D,("Not Used")); </v>
      </c>
      <c r="D399" s="31" t="s">
        <v>893</v>
      </c>
      <c r="E399" s="42" t="str">
        <f t="shared" si="18"/>
        <v>case 395: strcpy(AMP1_A,("Not Used")); strcpy(AMP1_B,("Not Used")); strcpy(AMP1_C,("Not Used")); strcpy(AMP1_D,("Not Used")); strcpy(AMP2_A,("Not Used")); strcpy(AMP2_B,("Not Used")); strcpy(AMP2_C,("Not Used")); strcpy(AMP2_D,("Not Used"));  break;</v>
      </c>
      <c r="F399" t="s">
        <v>893</v>
      </c>
      <c r="I399" t="s">
        <v>893</v>
      </c>
      <c r="J399" s="45" t="str">
        <f>VLOOKUP(S399,'AMP models AxeFxIII'!$D$2:$H$299,2,FALSE)</f>
        <v>Not Used</v>
      </c>
      <c r="K399" s="45" t="str">
        <f>VLOOKUP(T399,'AMP models AxeFxIII'!$D$2:$H$299,2,FALSE)</f>
        <v>Not Used</v>
      </c>
      <c r="L399" s="45" t="str">
        <f>VLOOKUP(U399,'AMP models AxeFxIII'!$D$2:$H$299,2,FALSE)</f>
        <v>Not Used</v>
      </c>
      <c r="M399" s="45" t="str">
        <f>VLOOKUP(V399,'AMP models AxeFxIII'!$D$2:$H$299,2,FALSE)</f>
        <v>Not Used</v>
      </c>
      <c r="N399" s="45" t="str">
        <f>VLOOKUP(W399,'AMP models AxeFxIII'!$D$2:$H$299,2,FALSE)</f>
        <v>Not Used</v>
      </c>
      <c r="O399" s="45" t="str">
        <f>VLOOKUP(X399,'AMP models AxeFxIII'!$D$2:$H$299,2,FALSE)</f>
        <v>Not Used</v>
      </c>
      <c r="P399" s="45" t="str">
        <f>VLOOKUP(Y399,'AMP models AxeFxIII'!$D$2:$H$299,2,FALSE)</f>
        <v>Not Used</v>
      </c>
      <c r="Q399" s="45" t="str">
        <f>VLOOKUP(Z399,'AMP models AxeFxIII'!$D$2:$H$299,2,FALSE)</f>
        <v>Not Used</v>
      </c>
      <c r="R399" s="4">
        <v>395</v>
      </c>
      <c r="S399" s="46" t="s">
        <v>555</v>
      </c>
      <c r="T399" s="46" t="s">
        <v>555</v>
      </c>
      <c r="U399" s="46" t="s">
        <v>555</v>
      </c>
      <c r="V399" s="46" t="s">
        <v>555</v>
      </c>
      <c r="W399" s="46" t="s">
        <v>555</v>
      </c>
      <c r="X399" s="46" t="s">
        <v>555</v>
      </c>
      <c r="Y399" s="46" t="s">
        <v>555</v>
      </c>
      <c r="Z399" s="46" t="s">
        <v>555</v>
      </c>
    </row>
    <row r="400" spans="1:26">
      <c r="A400" s="41">
        <f>preset_Names!A400</f>
        <v>396</v>
      </c>
      <c r="B400" t="str">
        <f t="shared" si="19"/>
        <v xml:space="preserve">strcpy(AMP1_A,("Not Used")); strcpy(AMP1_B,("Not Used")); strcpy(AMP1_C,("Not Used")); strcpy(AMP1_D,("Not Used")); </v>
      </c>
      <c r="C400" t="str">
        <f t="shared" si="20"/>
        <v xml:space="preserve">strcpy(AMP2_A,("Not Used")); strcpy(AMP2_B,("Not Used")); strcpy(AMP2_C,("Not Used")); strcpy(AMP2_D,("Not Used")); </v>
      </c>
      <c r="D400" s="31" t="s">
        <v>893</v>
      </c>
      <c r="E400" s="42" t="str">
        <f t="shared" si="18"/>
        <v>case 396: strcpy(AMP1_A,("Not Used")); strcpy(AMP1_B,("Not Used")); strcpy(AMP1_C,("Not Used")); strcpy(AMP1_D,("Not Used")); strcpy(AMP2_A,("Not Used")); strcpy(AMP2_B,("Not Used")); strcpy(AMP2_C,("Not Used")); strcpy(AMP2_D,("Not Used"));  break;</v>
      </c>
      <c r="F400" t="s">
        <v>893</v>
      </c>
      <c r="I400" t="s">
        <v>893</v>
      </c>
      <c r="J400" s="45" t="str">
        <f>VLOOKUP(S400,'AMP models AxeFxIII'!$D$2:$H$299,2,FALSE)</f>
        <v>Not Used</v>
      </c>
      <c r="K400" s="45" t="str">
        <f>VLOOKUP(T400,'AMP models AxeFxIII'!$D$2:$H$299,2,FALSE)</f>
        <v>Not Used</v>
      </c>
      <c r="L400" s="45" t="str">
        <f>VLOOKUP(U400,'AMP models AxeFxIII'!$D$2:$H$299,2,FALSE)</f>
        <v>Not Used</v>
      </c>
      <c r="M400" s="45" t="str">
        <f>VLOOKUP(V400,'AMP models AxeFxIII'!$D$2:$H$299,2,FALSE)</f>
        <v>Not Used</v>
      </c>
      <c r="N400" s="45" t="str">
        <f>VLOOKUP(W400,'AMP models AxeFxIII'!$D$2:$H$299,2,FALSE)</f>
        <v>Not Used</v>
      </c>
      <c r="O400" s="45" t="str">
        <f>VLOOKUP(X400,'AMP models AxeFxIII'!$D$2:$H$299,2,FALSE)</f>
        <v>Not Used</v>
      </c>
      <c r="P400" s="45" t="str">
        <f>VLOOKUP(Y400,'AMP models AxeFxIII'!$D$2:$H$299,2,FALSE)</f>
        <v>Not Used</v>
      </c>
      <c r="Q400" s="45" t="str">
        <f>VLOOKUP(Z400,'AMP models AxeFxIII'!$D$2:$H$299,2,FALSE)</f>
        <v>Not Used</v>
      </c>
      <c r="R400" s="4">
        <v>396</v>
      </c>
      <c r="S400" s="46" t="s">
        <v>555</v>
      </c>
      <c r="T400" s="46" t="s">
        <v>555</v>
      </c>
      <c r="U400" s="46" t="s">
        <v>555</v>
      </c>
      <c r="V400" s="46" t="s">
        <v>555</v>
      </c>
      <c r="W400" s="46" t="s">
        <v>555</v>
      </c>
      <c r="X400" s="46" t="s">
        <v>555</v>
      </c>
      <c r="Y400" s="46" t="s">
        <v>555</v>
      </c>
      <c r="Z400" s="46" t="s">
        <v>555</v>
      </c>
    </row>
    <row r="401" spans="1:26">
      <c r="A401" s="41">
        <f>preset_Names!A401</f>
        <v>397</v>
      </c>
      <c r="B401" t="str">
        <f t="shared" si="19"/>
        <v xml:space="preserve">strcpy(AMP1_A,("Not Used")); strcpy(AMP1_B,("Not Used")); strcpy(AMP1_C,("Not Used")); strcpy(AMP1_D,("Not Used")); </v>
      </c>
      <c r="C401" t="str">
        <f t="shared" si="20"/>
        <v xml:space="preserve">strcpy(AMP2_A,("Not Used")); strcpy(AMP2_B,("Not Used")); strcpy(AMP2_C,("Not Used")); strcpy(AMP2_D,("Not Used")); </v>
      </c>
      <c r="D401" s="31" t="s">
        <v>893</v>
      </c>
      <c r="E401" s="42" t="str">
        <f t="shared" si="18"/>
        <v>case 397: strcpy(AMP1_A,("Not Used")); strcpy(AMP1_B,("Not Used")); strcpy(AMP1_C,("Not Used")); strcpy(AMP1_D,("Not Used")); strcpy(AMP2_A,("Not Used")); strcpy(AMP2_B,("Not Used")); strcpy(AMP2_C,("Not Used")); strcpy(AMP2_D,("Not Used"));  break;</v>
      </c>
      <c r="F401" t="s">
        <v>893</v>
      </c>
      <c r="I401" t="s">
        <v>893</v>
      </c>
      <c r="J401" s="45" t="str">
        <f>VLOOKUP(S401,'AMP models AxeFxIII'!$D$2:$H$299,2,FALSE)</f>
        <v>Not Used</v>
      </c>
      <c r="K401" s="45" t="str">
        <f>VLOOKUP(T401,'AMP models AxeFxIII'!$D$2:$H$299,2,FALSE)</f>
        <v>Not Used</v>
      </c>
      <c r="L401" s="45" t="str">
        <f>VLOOKUP(U401,'AMP models AxeFxIII'!$D$2:$H$299,2,FALSE)</f>
        <v>Not Used</v>
      </c>
      <c r="M401" s="45" t="str">
        <f>VLOOKUP(V401,'AMP models AxeFxIII'!$D$2:$H$299,2,FALSE)</f>
        <v>Not Used</v>
      </c>
      <c r="N401" s="45" t="str">
        <f>VLOOKUP(W401,'AMP models AxeFxIII'!$D$2:$H$299,2,FALSE)</f>
        <v>Not Used</v>
      </c>
      <c r="O401" s="45" t="str">
        <f>VLOOKUP(X401,'AMP models AxeFxIII'!$D$2:$H$299,2,FALSE)</f>
        <v>Not Used</v>
      </c>
      <c r="P401" s="45" t="str">
        <f>VLOOKUP(Y401,'AMP models AxeFxIII'!$D$2:$H$299,2,FALSE)</f>
        <v>Not Used</v>
      </c>
      <c r="Q401" s="45" t="str">
        <f>VLOOKUP(Z401,'AMP models AxeFxIII'!$D$2:$H$299,2,FALSE)</f>
        <v>Not Used</v>
      </c>
      <c r="R401" s="4">
        <v>397</v>
      </c>
      <c r="S401" s="46" t="s">
        <v>555</v>
      </c>
      <c r="T401" s="46" t="s">
        <v>555</v>
      </c>
      <c r="U401" s="46" t="s">
        <v>555</v>
      </c>
      <c r="V401" s="46" t="s">
        <v>555</v>
      </c>
      <c r="W401" s="46" t="s">
        <v>555</v>
      </c>
      <c r="X401" s="46" t="s">
        <v>555</v>
      </c>
      <c r="Y401" s="46" t="s">
        <v>555</v>
      </c>
      <c r="Z401" s="46" t="s">
        <v>555</v>
      </c>
    </row>
    <row r="402" spans="1:26">
      <c r="A402" s="41">
        <f>preset_Names!A402</f>
        <v>398</v>
      </c>
      <c r="B402" t="str">
        <f t="shared" si="19"/>
        <v xml:space="preserve">strcpy(AMP1_A,("Not Used")); strcpy(AMP1_B,("Not Used")); strcpy(AMP1_C,("Not Used")); strcpy(AMP1_D,("Not Used")); </v>
      </c>
      <c r="C402" t="str">
        <f t="shared" si="20"/>
        <v xml:space="preserve">strcpy(AMP2_A,("Not Used")); strcpy(AMP2_B,("Not Used")); strcpy(AMP2_C,("Not Used")); strcpy(AMP2_D,("Not Used")); </v>
      </c>
      <c r="D402" s="31" t="s">
        <v>893</v>
      </c>
      <c r="E402" s="42" t="str">
        <f t="shared" si="18"/>
        <v>case 398: strcpy(AMP1_A,("Not Used")); strcpy(AMP1_B,("Not Used")); strcpy(AMP1_C,("Not Used")); strcpy(AMP1_D,("Not Used")); strcpy(AMP2_A,("Not Used")); strcpy(AMP2_B,("Not Used")); strcpy(AMP2_C,("Not Used")); strcpy(AMP2_D,("Not Used"));  break;</v>
      </c>
      <c r="F402" t="s">
        <v>893</v>
      </c>
      <c r="I402" t="s">
        <v>893</v>
      </c>
      <c r="J402" s="45" t="str">
        <f>VLOOKUP(S402,'AMP models AxeFxIII'!$D$2:$H$299,2,FALSE)</f>
        <v>Not Used</v>
      </c>
      <c r="K402" s="45" t="str">
        <f>VLOOKUP(T402,'AMP models AxeFxIII'!$D$2:$H$299,2,FALSE)</f>
        <v>Not Used</v>
      </c>
      <c r="L402" s="45" t="str">
        <f>VLOOKUP(U402,'AMP models AxeFxIII'!$D$2:$H$299,2,FALSE)</f>
        <v>Not Used</v>
      </c>
      <c r="M402" s="45" t="str">
        <f>VLOOKUP(V402,'AMP models AxeFxIII'!$D$2:$H$299,2,FALSE)</f>
        <v>Not Used</v>
      </c>
      <c r="N402" s="45" t="str">
        <f>VLOOKUP(W402,'AMP models AxeFxIII'!$D$2:$H$299,2,FALSE)</f>
        <v>Not Used</v>
      </c>
      <c r="O402" s="45" t="str">
        <f>VLOOKUP(X402,'AMP models AxeFxIII'!$D$2:$H$299,2,FALSE)</f>
        <v>Not Used</v>
      </c>
      <c r="P402" s="45" t="str">
        <f>VLOOKUP(Y402,'AMP models AxeFxIII'!$D$2:$H$299,2,FALSE)</f>
        <v>Not Used</v>
      </c>
      <c r="Q402" s="45" t="str">
        <f>VLOOKUP(Z402,'AMP models AxeFxIII'!$D$2:$H$299,2,FALSE)</f>
        <v>Not Used</v>
      </c>
      <c r="R402" s="4">
        <v>398</v>
      </c>
      <c r="S402" s="46" t="s">
        <v>555</v>
      </c>
      <c r="T402" s="46" t="s">
        <v>555</v>
      </c>
      <c r="U402" s="46" t="s">
        <v>555</v>
      </c>
      <c r="V402" s="46" t="s">
        <v>555</v>
      </c>
      <c r="W402" s="46" t="s">
        <v>555</v>
      </c>
      <c r="X402" s="46" t="s">
        <v>555</v>
      </c>
      <c r="Y402" s="46" t="s">
        <v>555</v>
      </c>
      <c r="Z402" s="46" t="s">
        <v>555</v>
      </c>
    </row>
    <row r="403" spans="1:26">
      <c r="A403" s="41">
        <f>preset_Names!A403</f>
        <v>399</v>
      </c>
      <c r="B403" t="str">
        <f t="shared" si="19"/>
        <v xml:space="preserve">strcpy(AMP1_A,("Not Used")); strcpy(AMP1_B,("Not Used")); strcpy(AMP1_C,("Not Used")); strcpy(AMP1_D,("Not Used")); </v>
      </c>
      <c r="C403" t="str">
        <f t="shared" si="20"/>
        <v xml:space="preserve">strcpy(AMP2_A,("Not Used")); strcpy(AMP2_B,("Not Used")); strcpy(AMP2_C,("Not Used")); strcpy(AMP2_D,("Not Used")); </v>
      </c>
      <c r="D403" s="31" t="s">
        <v>893</v>
      </c>
      <c r="E403" s="42" t="str">
        <f t="shared" si="18"/>
        <v>case 399: strcpy(AMP1_A,("Not Used")); strcpy(AMP1_B,("Not Used")); strcpy(AMP1_C,("Not Used")); strcpy(AMP1_D,("Not Used")); strcpy(AMP2_A,("Not Used")); strcpy(AMP2_B,("Not Used")); strcpy(AMP2_C,("Not Used")); strcpy(AMP2_D,("Not Used"));  break;</v>
      </c>
      <c r="F403" t="s">
        <v>893</v>
      </c>
      <c r="I403" t="s">
        <v>893</v>
      </c>
      <c r="J403" s="45" t="str">
        <f>VLOOKUP(S403,'AMP models AxeFxIII'!$D$2:$H$299,2,FALSE)</f>
        <v>Not Used</v>
      </c>
      <c r="K403" s="45" t="str">
        <f>VLOOKUP(T403,'AMP models AxeFxIII'!$D$2:$H$299,2,FALSE)</f>
        <v>Not Used</v>
      </c>
      <c r="L403" s="45" t="str">
        <f>VLOOKUP(U403,'AMP models AxeFxIII'!$D$2:$H$299,2,FALSE)</f>
        <v>Not Used</v>
      </c>
      <c r="M403" s="45" t="str">
        <f>VLOOKUP(V403,'AMP models AxeFxIII'!$D$2:$H$299,2,FALSE)</f>
        <v>Not Used</v>
      </c>
      <c r="N403" s="45" t="str">
        <f>VLOOKUP(W403,'AMP models AxeFxIII'!$D$2:$H$299,2,FALSE)</f>
        <v>Not Used</v>
      </c>
      <c r="O403" s="45" t="str">
        <f>VLOOKUP(X403,'AMP models AxeFxIII'!$D$2:$H$299,2,FALSE)</f>
        <v>Not Used</v>
      </c>
      <c r="P403" s="45" t="str">
        <f>VLOOKUP(Y403,'AMP models AxeFxIII'!$D$2:$H$299,2,FALSE)</f>
        <v>Not Used</v>
      </c>
      <c r="Q403" s="45" t="str">
        <f>VLOOKUP(Z403,'AMP models AxeFxIII'!$D$2:$H$299,2,FALSE)</f>
        <v>Not Used</v>
      </c>
      <c r="R403" s="4">
        <v>399</v>
      </c>
      <c r="S403" s="46" t="s">
        <v>555</v>
      </c>
      <c r="T403" s="46" t="s">
        <v>555</v>
      </c>
      <c r="U403" s="46" t="s">
        <v>555</v>
      </c>
      <c r="V403" s="46" t="s">
        <v>555</v>
      </c>
      <c r="W403" s="46" t="s">
        <v>555</v>
      </c>
      <c r="X403" s="46" t="s">
        <v>555</v>
      </c>
      <c r="Y403" s="46" t="s">
        <v>555</v>
      </c>
      <c r="Z403" s="46" t="s">
        <v>555</v>
      </c>
    </row>
    <row r="404" spans="1:26">
      <c r="A404" s="41">
        <f>preset_Names!A404</f>
        <v>400</v>
      </c>
      <c r="B404" t="str">
        <f t="shared" si="19"/>
        <v xml:space="preserve">strcpy(AMP1_A,("Not Used")); strcpy(AMP1_B,("Not Used")); strcpy(AMP1_C,("Not Used")); strcpy(AMP1_D,("Not Used")); </v>
      </c>
      <c r="C404" t="str">
        <f t="shared" si="20"/>
        <v xml:space="preserve">strcpy(AMP2_A,("Not Used")); strcpy(AMP2_B,("Not Used")); strcpy(AMP2_C,("Not Used")); strcpy(AMP2_D,("Not Used")); </v>
      </c>
      <c r="D404" s="31" t="s">
        <v>893</v>
      </c>
      <c r="E404" s="42" t="str">
        <f t="shared" si="18"/>
        <v>case 400: strcpy(AMP1_A,("Not Used")); strcpy(AMP1_B,("Not Used")); strcpy(AMP1_C,("Not Used")); strcpy(AMP1_D,("Not Used")); strcpy(AMP2_A,("Not Used")); strcpy(AMP2_B,("Not Used")); strcpy(AMP2_C,("Not Used")); strcpy(AMP2_D,("Not Used"));  break;</v>
      </c>
      <c r="F404" t="s">
        <v>893</v>
      </c>
      <c r="I404" t="s">
        <v>893</v>
      </c>
      <c r="J404" s="45" t="str">
        <f>VLOOKUP(S404,'AMP models AxeFxIII'!$D$2:$H$299,2,FALSE)</f>
        <v>Not Used</v>
      </c>
      <c r="K404" s="45" t="str">
        <f>VLOOKUP(T404,'AMP models AxeFxIII'!$D$2:$H$299,2,FALSE)</f>
        <v>Not Used</v>
      </c>
      <c r="L404" s="45" t="str">
        <f>VLOOKUP(U404,'AMP models AxeFxIII'!$D$2:$H$299,2,FALSE)</f>
        <v>Not Used</v>
      </c>
      <c r="M404" s="45" t="str">
        <f>VLOOKUP(V404,'AMP models AxeFxIII'!$D$2:$H$299,2,FALSE)</f>
        <v>Not Used</v>
      </c>
      <c r="N404" s="45" t="str">
        <f>VLOOKUP(W404,'AMP models AxeFxIII'!$D$2:$H$299,2,FALSE)</f>
        <v>Not Used</v>
      </c>
      <c r="O404" s="45" t="str">
        <f>VLOOKUP(X404,'AMP models AxeFxIII'!$D$2:$H$299,2,FALSE)</f>
        <v>Not Used</v>
      </c>
      <c r="P404" s="45" t="str">
        <f>VLOOKUP(Y404,'AMP models AxeFxIII'!$D$2:$H$299,2,FALSE)</f>
        <v>Not Used</v>
      </c>
      <c r="Q404" s="45" t="str">
        <f>VLOOKUP(Z404,'AMP models AxeFxIII'!$D$2:$H$299,2,FALSE)</f>
        <v>Not Used</v>
      </c>
      <c r="R404" s="4">
        <v>400</v>
      </c>
      <c r="S404" s="46" t="s">
        <v>555</v>
      </c>
      <c r="T404" s="46" t="s">
        <v>555</v>
      </c>
      <c r="U404" s="46" t="s">
        <v>555</v>
      </c>
      <c r="V404" s="46" t="s">
        <v>555</v>
      </c>
      <c r="W404" s="46" t="s">
        <v>555</v>
      </c>
      <c r="X404" s="46" t="s">
        <v>555</v>
      </c>
      <c r="Y404" s="46" t="s">
        <v>555</v>
      </c>
      <c r="Z404" s="46" t="s">
        <v>555</v>
      </c>
    </row>
    <row r="405" spans="1:26">
      <c r="A405" s="41">
        <f>preset_Names!A405</f>
        <v>401</v>
      </c>
      <c r="B405" t="str">
        <f t="shared" si="19"/>
        <v xml:space="preserve">strcpy(AMP1_A,("Not Used")); strcpy(AMP1_B,("Not Used")); strcpy(AMP1_C,("Not Used")); strcpy(AMP1_D,("Not Used")); </v>
      </c>
      <c r="C405" t="str">
        <f t="shared" si="20"/>
        <v xml:space="preserve">strcpy(AMP2_A,("Not Used")); strcpy(AMP2_B,("Not Used")); strcpy(AMP2_C,("Not Used")); strcpy(AMP2_D,("Not Used")); </v>
      </c>
      <c r="D405" s="31" t="s">
        <v>893</v>
      </c>
      <c r="E405" s="42" t="str">
        <f t="shared" si="18"/>
        <v>case 401: strcpy(AMP1_A,("Not Used")); strcpy(AMP1_B,("Not Used")); strcpy(AMP1_C,("Not Used")); strcpy(AMP1_D,("Not Used")); strcpy(AMP2_A,("Not Used")); strcpy(AMP2_B,("Not Used")); strcpy(AMP2_C,("Not Used")); strcpy(AMP2_D,("Not Used"));  break;</v>
      </c>
      <c r="F405" t="s">
        <v>893</v>
      </c>
      <c r="I405" t="s">
        <v>893</v>
      </c>
      <c r="J405" s="45" t="str">
        <f>VLOOKUP(S405,'AMP models AxeFxIII'!$D$2:$H$299,2,FALSE)</f>
        <v>Not Used</v>
      </c>
      <c r="K405" s="45" t="str">
        <f>VLOOKUP(T405,'AMP models AxeFxIII'!$D$2:$H$299,2,FALSE)</f>
        <v>Not Used</v>
      </c>
      <c r="L405" s="45" t="str">
        <f>VLOOKUP(U405,'AMP models AxeFxIII'!$D$2:$H$299,2,FALSE)</f>
        <v>Not Used</v>
      </c>
      <c r="M405" s="45" t="str">
        <f>VLOOKUP(V405,'AMP models AxeFxIII'!$D$2:$H$299,2,FALSE)</f>
        <v>Not Used</v>
      </c>
      <c r="N405" s="45" t="str">
        <f>VLOOKUP(W405,'AMP models AxeFxIII'!$D$2:$H$299,2,FALSE)</f>
        <v>Not Used</v>
      </c>
      <c r="O405" s="45" t="str">
        <f>VLOOKUP(X405,'AMP models AxeFxIII'!$D$2:$H$299,2,FALSE)</f>
        <v>Not Used</v>
      </c>
      <c r="P405" s="45" t="str">
        <f>VLOOKUP(Y405,'AMP models AxeFxIII'!$D$2:$H$299,2,FALSE)</f>
        <v>Not Used</v>
      </c>
      <c r="Q405" s="45" t="str">
        <f>VLOOKUP(Z405,'AMP models AxeFxIII'!$D$2:$H$299,2,FALSE)</f>
        <v>Not Used</v>
      </c>
      <c r="R405" s="4">
        <v>401</v>
      </c>
      <c r="S405" s="46" t="s">
        <v>555</v>
      </c>
      <c r="T405" s="46" t="s">
        <v>555</v>
      </c>
      <c r="U405" s="46" t="s">
        <v>555</v>
      </c>
      <c r="V405" s="46" t="s">
        <v>555</v>
      </c>
      <c r="W405" s="46" t="s">
        <v>555</v>
      </c>
      <c r="X405" s="46" t="s">
        <v>555</v>
      </c>
      <c r="Y405" s="46" t="s">
        <v>555</v>
      </c>
      <c r="Z405" s="46" t="s">
        <v>555</v>
      </c>
    </row>
    <row r="406" spans="1:26">
      <c r="A406" s="41">
        <f>preset_Names!A406</f>
        <v>402</v>
      </c>
      <c r="B406" t="str">
        <f t="shared" si="19"/>
        <v xml:space="preserve">strcpy(AMP1_A,("Not Used")); strcpy(AMP1_B,("Not Used")); strcpy(AMP1_C,("Not Used")); strcpy(AMP1_D,("Not Used")); </v>
      </c>
      <c r="C406" t="str">
        <f t="shared" si="20"/>
        <v xml:space="preserve">strcpy(AMP2_A,("Not Used")); strcpy(AMP2_B,("Not Used")); strcpy(AMP2_C,("Not Used")); strcpy(AMP2_D,("Not Used")); </v>
      </c>
      <c r="D406" s="31" t="s">
        <v>893</v>
      </c>
      <c r="E406" s="42" t="str">
        <f t="shared" si="18"/>
        <v>case 402: strcpy(AMP1_A,("Not Used")); strcpy(AMP1_B,("Not Used")); strcpy(AMP1_C,("Not Used")); strcpy(AMP1_D,("Not Used")); strcpy(AMP2_A,("Not Used")); strcpy(AMP2_B,("Not Used")); strcpy(AMP2_C,("Not Used")); strcpy(AMP2_D,("Not Used"));  break;</v>
      </c>
      <c r="F406" t="s">
        <v>893</v>
      </c>
      <c r="I406" t="s">
        <v>893</v>
      </c>
      <c r="J406" s="45" t="str">
        <f>VLOOKUP(S406,'AMP models AxeFxIII'!$D$2:$H$299,2,FALSE)</f>
        <v>Not Used</v>
      </c>
      <c r="K406" s="45" t="str">
        <f>VLOOKUP(T406,'AMP models AxeFxIII'!$D$2:$H$299,2,FALSE)</f>
        <v>Not Used</v>
      </c>
      <c r="L406" s="45" t="str">
        <f>VLOOKUP(U406,'AMP models AxeFxIII'!$D$2:$H$299,2,FALSE)</f>
        <v>Not Used</v>
      </c>
      <c r="M406" s="45" t="str">
        <f>VLOOKUP(V406,'AMP models AxeFxIII'!$D$2:$H$299,2,FALSE)</f>
        <v>Not Used</v>
      </c>
      <c r="N406" s="45" t="str">
        <f>VLOOKUP(W406,'AMP models AxeFxIII'!$D$2:$H$299,2,FALSE)</f>
        <v>Not Used</v>
      </c>
      <c r="O406" s="45" t="str">
        <f>VLOOKUP(X406,'AMP models AxeFxIII'!$D$2:$H$299,2,FALSE)</f>
        <v>Not Used</v>
      </c>
      <c r="P406" s="45" t="str">
        <f>VLOOKUP(Y406,'AMP models AxeFxIII'!$D$2:$H$299,2,FALSE)</f>
        <v>Not Used</v>
      </c>
      <c r="Q406" s="45" t="str">
        <f>VLOOKUP(Z406,'AMP models AxeFxIII'!$D$2:$H$299,2,FALSE)</f>
        <v>Not Used</v>
      </c>
      <c r="R406" s="4">
        <v>402</v>
      </c>
      <c r="S406" s="46" t="s">
        <v>555</v>
      </c>
      <c r="T406" s="46" t="s">
        <v>555</v>
      </c>
      <c r="U406" s="46" t="s">
        <v>555</v>
      </c>
      <c r="V406" s="46" t="s">
        <v>555</v>
      </c>
      <c r="W406" s="46" t="s">
        <v>555</v>
      </c>
      <c r="X406" s="46" t="s">
        <v>555</v>
      </c>
      <c r="Y406" s="46" t="s">
        <v>555</v>
      </c>
      <c r="Z406" s="46" t="s">
        <v>555</v>
      </c>
    </row>
    <row r="407" spans="1:26">
      <c r="A407" s="41">
        <f>preset_Names!A407</f>
        <v>403</v>
      </c>
      <c r="B407" t="str">
        <f t="shared" si="19"/>
        <v xml:space="preserve">strcpy(AMP1_A,("Not Used")); strcpy(AMP1_B,("Not Used")); strcpy(AMP1_C,("Not Used")); strcpy(AMP1_D,("Not Used")); </v>
      </c>
      <c r="C407" t="str">
        <f t="shared" si="20"/>
        <v xml:space="preserve">strcpy(AMP2_A,("Not Used")); strcpy(AMP2_B,("Not Used")); strcpy(AMP2_C,("Not Used")); strcpy(AMP2_D,("Not Used")); </v>
      </c>
      <c r="D407" s="31" t="s">
        <v>893</v>
      </c>
      <c r="E407" s="42" t="str">
        <f t="shared" si="18"/>
        <v>case 403: strcpy(AMP1_A,("Not Used")); strcpy(AMP1_B,("Not Used")); strcpy(AMP1_C,("Not Used")); strcpy(AMP1_D,("Not Used")); strcpy(AMP2_A,("Not Used")); strcpy(AMP2_B,("Not Used")); strcpy(AMP2_C,("Not Used")); strcpy(AMP2_D,("Not Used"));  break;</v>
      </c>
      <c r="F407" t="s">
        <v>893</v>
      </c>
      <c r="I407" t="s">
        <v>893</v>
      </c>
      <c r="J407" s="45" t="str">
        <f>VLOOKUP(S407,'AMP models AxeFxIII'!$D$2:$H$299,2,FALSE)</f>
        <v>Not Used</v>
      </c>
      <c r="K407" s="45" t="str">
        <f>VLOOKUP(T407,'AMP models AxeFxIII'!$D$2:$H$299,2,FALSE)</f>
        <v>Not Used</v>
      </c>
      <c r="L407" s="45" t="str">
        <f>VLOOKUP(U407,'AMP models AxeFxIII'!$D$2:$H$299,2,FALSE)</f>
        <v>Not Used</v>
      </c>
      <c r="M407" s="45" t="str">
        <f>VLOOKUP(V407,'AMP models AxeFxIII'!$D$2:$H$299,2,FALSE)</f>
        <v>Not Used</v>
      </c>
      <c r="N407" s="45" t="str">
        <f>VLOOKUP(W407,'AMP models AxeFxIII'!$D$2:$H$299,2,FALSE)</f>
        <v>Not Used</v>
      </c>
      <c r="O407" s="45" t="str">
        <f>VLOOKUP(X407,'AMP models AxeFxIII'!$D$2:$H$299,2,FALSE)</f>
        <v>Not Used</v>
      </c>
      <c r="P407" s="45" t="str">
        <f>VLOOKUP(Y407,'AMP models AxeFxIII'!$D$2:$H$299,2,FALSE)</f>
        <v>Not Used</v>
      </c>
      <c r="Q407" s="45" t="str">
        <f>VLOOKUP(Z407,'AMP models AxeFxIII'!$D$2:$H$299,2,FALSE)</f>
        <v>Not Used</v>
      </c>
      <c r="R407" s="4">
        <v>403</v>
      </c>
      <c r="S407" s="46" t="s">
        <v>555</v>
      </c>
      <c r="T407" s="46" t="s">
        <v>555</v>
      </c>
      <c r="U407" s="46" t="s">
        <v>555</v>
      </c>
      <c r="V407" s="46" t="s">
        <v>555</v>
      </c>
      <c r="W407" s="46" t="s">
        <v>555</v>
      </c>
      <c r="X407" s="46" t="s">
        <v>555</v>
      </c>
      <c r="Y407" s="46" t="s">
        <v>555</v>
      </c>
      <c r="Z407" s="46" t="s">
        <v>555</v>
      </c>
    </row>
    <row r="408" spans="1:26">
      <c r="A408" s="41">
        <f>preset_Names!A408</f>
        <v>404</v>
      </c>
      <c r="B408" t="str">
        <f t="shared" si="19"/>
        <v xml:space="preserve">strcpy(AMP1_A,("Not Used")); strcpy(AMP1_B,("Not Used")); strcpy(AMP1_C,("Not Used")); strcpy(AMP1_D,("Not Used")); </v>
      </c>
      <c r="C408" t="str">
        <f t="shared" si="20"/>
        <v xml:space="preserve">strcpy(AMP2_A,("Not Used")); strcpy(AMP2_B,("Not Used")); strcpy(AMP2_C,("Not Used")); strcpy(AMP2_D,("Not Used")); </v>
      </c>
      <c r="D408" s="31" t="s">
        <v>893</v>
      </c>
      <c r="E408" s="42" t="str">
        <f t="shared" si="18"/>
        <v>case 404: strcpy(AMP1_A,("Not Used")); strcpy(AMP1_B,("Not Used")); strcpy(AMP1_C,("Not Used")); strcpy(AMP1_D,("Not Used")); strcpy(AMP2_A,("Not Used")); strcpy(AMP2_B,("Not Used")); strcpy(AMP2_C,("Not Used")); strcpy(AMP2_D,("Not Used"));  break;</v>
      </c>
      <c r="F408" t="s">
        <v>893</v>
      </c>
      <c r="I408" t="s">
        <v>893</v>
      </c>
      <c r="J408" s="45" t="str">
        <f>VLOOKUP(S408,'AMP models AxeFxIII'!$D$2:$H$299,2,FALSE)</f>
        <v>Not Used</v>
      </c>
      <c r="K408" s="45" t="str">
        <f>VLOOKUP(T408,'AMP models AxeFxIII'!$D$2:$H$299,2,FALSE)</f>
        <v>Not Used</v>
      </c>
      <c r="L408" s="45" t="str">
        <f>VLOOKUP(U408,'AMP models AxeFxIII'!$D$2:$H$299,2,FALSE)</f>
        <v>Not Used</v>
      </c>
      <c r="M408" s="45" t="str">
        <f>VLOOKUP(V408,'AMP models AxeFxIII'!$D$2:$H$299,2,FALSE)</f>
        <v>Not Used</v>
      </c>
      <c r="N408" s="45" t="str">
        <f>VLOOKUP(W408,'AMP models AxeFxIII'!$D$2:$H$299,2,FALSE)</f>
        <v>Not Used</v>
      </c>
      <c r="O408" s="45" t="str">
        <f>VLOOKUP(X408,'AMP models AxeFxIII'!$D$2:$H$299,2,FALSE)</f>
        <v>Not Used</v>
      </c>
      <c r="P408" s="45" t="str">
        <f>VLOOKUP(Y408,'AMP models AxeFxIII'!$D$2:$H$299,2,FALSE)</f>
        <v>Not Used</v>
      </c>
      <c r="Q408" s="45" t="str">
        <f>VLOOKUP(Z408,'AMP models AxeFxIII'!$D$2:$H$299,2,FALSE)</f>
        <v>Not Used</v>
      </c>
      <c r="R408" s="4">
        <v>404</v>
      </c>
      <c r="S408" s="46" t="s">
        <v>555</v>
      </c>
      <c r="T408" s="46" t="s">
        <v>555</v>
      </c>
      <c r="U408" s="46" t="s">
        <v>555</v>
      </c>
      <c r="V408" s="46" t="s">
        <v>555</v>
      </c>
      <c r="W408" s="46" t="s">
        <v>555</v>
      </c>
      <c r="X408" s="46" t="s">
        <v>555</v>
      </c>
      <c r="Y408" s="46" t="s">
        <v>555</v>
      </c>
      <c r="Z408" s="46" t="s">
        <v>555</v>
      </c>
    </row>
    <row r="409" spans="1:26">
      <c r="A409" s="41">
        <f>preset_Names!A409</f>
        <v>405</v>
      </c>
      <c r="B409" t="str">
        <f t="shared" si="19"/>
        <v xml:space="preserve">strcpy(AMP1_A,("Not Used")); strcpy(AMP1_B,("Not Used")); strcpy(AMP1_C,("Not Used")); strcpy(AMP1_D,("Not Used")); </v>
      </c>
      <c r="C409" t="str">
        <f t="shared" si="20"/>
        <v xml:space="preserve">strcpy(AMP2_A,("Not Used")); strcpy(AMP2_B,("Not Used")); strcpy(AMP2_C,("Not Used")); strcpy(AMP2_D,("Not Used")); </v>
      </c>
      <c r="D409" s="31" t="s">
        <v>893</v>
      </c>
      <c r="E409" s="42" t="str">
        <f t="shared" si="18"/>
        <v>case 405: strcpy(AMP1_A,("Not Used")); strcpy(AMP1_B,("Not Used")); strcpy(AMP1_C,("Not Used")); strcpy(AMP1_D,("Not Used")); strcpy(AMP2_A,("Not Used")); strcpy(AMP2_B,("Not Used")); strcpy(AMP2_C,("Not Used")); strcpy(AMP2_D,("Not Used"));  break;</v>
      </c>
      <c r="F409" t="s">
        <v>893</v>
      </c>
      <c r="I409" t="s">
        <v>893</v>
      </c>
      <c r="J409" s="45" t="str">
        <f>VLOOKUP(S409,'AMP models AxeFxIII'!$D$2:$H$299,2,FALSE)</f>
        <v>Not Used</v>
      </c>
      <c r="K409" s="45" t="str">
        <f>VLOOKUP(T409,'AMP models AxeFxIII'!$D$2:$H$299,2,FALSE)</f>
        <v>Not Used</v>
      </c>
      <c r="L409" s="45" t="str">
        <f>VLOOKUP(U409,'AMP models AxeFxIII'!$D$2:$H$299,2,FALSE)</f>
        <v>Not Used</v>
      </c>
      <c r="M409" s="45" t="str">
        <f>VLOOKUP(V409,'AMP models AxeFxIII'!$D$2:$H$299,2,FALSE)</f>
        <v>Not Used</v>
      </c>
      <c r="N409" s="45" t="str">
        <f>VLOOKUP(W409,'AMP models AxeFxIII'!$D$2:$H$299,2,FALSE)</f>
        <v>Not Used</v>
      </c>
      <c r="O409" s="45" t="str">
        <f>VLOOKUP(X409,'AMP models AxeFxIII'!$D$2:$H$299,2,FALSE)</f>
        <v>Not Used</v>
      </c>
      <c r="P409" s="45" t="str">
        <f>VLOOKUP(Y409,'AMP models AxeFxIII'!$D$2:$H$299,2,FALSE)</f>
        <v>Not Used</v>
      </c>
      <c r="Q409" s="45" t="str">
        <f>VLOOKUP(Z409,'AMP models AxeFxIII'!$D$2:$H$299,2,FALSE)</f>
        <v>Not Used</v>
      </c>
      <c r="R409" s="4">
        <v>405</v>
      </c>
      <c r="S409" s="46" t="s">
        <v>555</v>
      </c>
      <c r="T409" s="46" t="s">
        <v>555</v>
      </c>
      <c r="U409" s="46" t="s">
        <v>555</v>
      </c>
      <c r="V409" s="46" t="s">
        <v>555</v>
      </c>
      <c r="W409" s="46" t="s">
        <v>555</v>
      </c>
      <c r="X409" s="46" t="s">
        <v>555</v>
      </c>
      <c r="Y409" s="46" t="s">
        <v>555</v>
      </c>
      <c r="Z409" s="46" t="s">
        <v>555</v>
      </c>
    </row>
    <row r="410" spans="1:26">
      <c r="A410" s="41">
        <f>preset_Names!A410</f>
        <v>406</v>
      </c>
      <c r="B410" t="str">
        <f t="shared" si="19"/>
        <v xml:space="preserve">strcpy(AMP1_A,("Not Used")); strcpy(AMP1_B,("Not Used")); strcpy(AMP1_C,("Not Used")); strcpy(AMP1_D,("Not Used")); </v>
      </c>
      <c r="C410" t="str">
        <f t="shared" si="20"/>
        <v xml:space="preserve">strcpy(AMP2_A,("Not Used")); strcpy(AMP2_B,("Not Used")); strcpy(AMP2_C,("Not Used")); strcpy(AMP2_D,("Not Used")); </v>
      </c>
      <c r="D410" s="31" t="s">
        <v>893</v>
      </c>
      <c r="E410" s="42" t="str">
        <f t="shared" si="18"/>
        <v>case 406: strcpy(AMP1_A,("Not Used")); strcpy(AMP1_B,("Not Used")); strcpy(AMP1_C,("Not Used")); strcpy(AMP1_D,("Not Used")); strcpy(AMP2_A,("Not Used")); strcpy(AMP2_B,("Not Used")); strcpy(AMP2_C,("Not Used")); strcpy(AMP2_D,("Not Used"));  break;</v>
      </c>
      <c r="F410" t="s">
        <v>893</v>
      </c>
      <c r="I410" t="s">
        <v>893</v>
      </c>
      <c r="J410" s="45" t="str">
        <f>VLOOKUP(S410,'AMP models AxeFxIII'!$D$2:$H$299,2,FALSE)</f>
        <v>Not Used</v>
      </c>
      <c r="K410" s="45" t="str">
        <f>VLOOKUP(T410,'AMP models AxeFxIII'!$D$2:$H$299,2,FALSE)</f>
        <v>Not Used</v>
      </c>
      <c r="L410" s="45" t="str">
        <f>VLOOKUP(U410,'AMP models AxeFxIII'!$D$2:$H$299,2,FALSE)</f>
        <v>Not Used</v>
      </c>
      <c r="M410" s="45" t="str">
        <f>VLOOKUP(V410,'AMP models AxeFxIII'!$D$2:$H$299,2,FALSE)</f>
        <v>Not Used</v>
      </c>
      <c r="N410" s="45" t="str">
        <f>VLOOKUP(W410,'AMP models AxeFxIII'!$D$2:$H$299,2,FALSE)</f>
        <v>Not Used</v>
      </c>
      <c r="O410" s="45" t="str">
        <f>VLOOKUP(X410,'AMP models AxeFxIII'!$D$2:$H$299,2,FALSE)</f>
        <v>Not Used</v>
      </c>
      <c r="P410" s="45" t="str">
        <f>VLOOKUP(Y410,'AMP models AxeFxIII'!$D$2:$H$299,2,FALSE)</f>
        <v>Not Used</v>
      </c>
      <c r="Q410" s="45" t="str">
        <f>VLOOKUP(Z410,'AMP models AxeFxIII'!$D$2:$H$299,2,FALSE)</f>
        <v>Not Used</v>
      </c>
      <c r="R410" s="4">
        <v>406</v>
      </c>
      <c r="S410" s="46" t="s">
        <v>555</v>
      </c>
      <c r="T410" s="46" t="s">
        <v>555</v>
      </c>
      <c r="U410" s="46" t="s">
        <v>555</v>
      </c>
      <c r="V410" s="46" t="s">
        <v>555</v>
      </c>
      <c r="W410" s="46" t="s">
        <v>555</v>
      </c>
      <c r="X410" s="46" t="s">
        <v>555</v>
      </c>
      <c r="Y410" s="46" t="s">
        <v>555</v>
      </c>
      <c r="Z410" s="46" t="s">
        <v>555</v>
      </c>
    </row>
    <row r="411" spans="1:26">
      <c r="A411" s="41">
        <f>preset_Names!A411</f>
        <v>407</v>
      </c>
      <c r="B411" t="str">
        <f t="shared" si="19"/>
        <v xml:space="preserve">strcpy(AMP1_A,("Not Used")); strcpy(AMP1_B,("Not Used")); strcpy(AMP1_C,("Not Used")); strcpy(AMP1_D,("Not Used")); </v>
      </c>
      <c r="C411" t="str">
        <f t="shared" si="20"/>
        <v xml:space="preserve">strcpy(AMP2_A,("Not Used")); strcpy(AMP2_B,("Not Used")); strcpy(AMP2_C,("Not Used")); strcpy(AMP2_D,("Not Used")); </v>
      </c>
      <c r="D411" s="31" t="s">
        <v>893</v>
      </c>
      <c r="E411" s="42" t="str">
        <f t="shared" si="18"/>
        <v>case 407: strcpy(AMP1_A,("Not Used")); strcpy(AMP1_B,("Not Used")); strcpy(AMP1_C,("Not Used")); strcpy(AMP1_D,("Not Used")); strcpy(AMP2_A,("Not Used")); strcpy(AMP2_B,("Not Used")); strcpy(AMP2_C,("Not Used")); strcpy(AMP2_D,("Not Used"));  break;</v>
      </c>
      <c r="F411" t="s">
        <v>893</v>
      </c>
      <c r="I411" t="s">
        <v>893</v>
      </c>
      <c r="J411" s="45" t="str">
        <f>VLOOKUP(S411,'AMP models AxeFxIII'!$D$2:$H$299,2,FALSE)</f>
        <v>Not Used</v>
      </c>
      <c r="K411" s="45" t="str">
        <f>VLOOKUP(T411,'AMP models AxeFxIII'!$D$2:$H$299,2,FALSE)</f>
        <v>Not Used</v>
      </c>
      <c r="L411" s="45" t="str">
        <f>VLOOKUP(U411,'AMP models AxeFxIII'!$D$2:$H$299,2,FALSE)</f>
        <v>Not Used</v>
      </c>
      <c r="M411" s="45" t="str">
        <f>VLOOKUP(V411,'AMP models AxeFxIII'!$D$2:$H$299,2,FALSE)</f>
        <v>Not Used</v>
      </c>
      <c r="N411" s="45" t="str">
        <f>VLOOKUP(W411,'AMP models AxeFxIII'!$D$2:$H$299,2,FALSE)</f>
        <v>Not Used</v>
      </c>
      <c r="O411" s="45" t="str">
        <f>VLOOKUP(X411,'AMP models AxeFxIII'!$D$2:$H$299,2,FALSE)</f>
        <v>Not Used</v>
      </c>
      <c r="P411" s="45" t="str">
        <f>VLOOKUP(Y411,'AMP models AxeFxIII'!$D$2:$H$299,2,FALSE)</f>
        <v>Not Used</v>
      </c>
      <c r="Q411" s="45" t="str">
        <f>VLOOKUP(Z411,'AMP models AxeFxIII'!$D$2:$H$299,2,FALSE)</f>
        <v>Not Used</v>
      </c>
      <c r="R411" s="4">
        <v>407</v>
      </c>
      <c r="S411" s="46" t="s">
        <v>555</v>
      </c>
      <c r="T411" s="46" t="s">
        <v>555</v>
      </c>
      <c r="U411" s="46" t="s">
        <v>555</v>
      </c>
      <c r="V411" s="46" t="s">
        <v>555</v>
      </c>
      <c r="W411" s="46" t="s">
        <v>555</v>
      </c>
      <c r="X411" s="46" t="s">
        <v>555</v>
      </c>
      <c r="Y411" s="46" t="s">
        <v>555</v>
      </c>
      <c r="Z411" s="46" t="s">
        <v>555</v>
      </c>
    </row>
    <row r="412" spans="1:26">
      <c r="A412" s="41">
        <f>preset_Names!A412</f>
        <v>408</v>
      </c>
      <c r="B412" t="str">
        <f t="shared" si="19"/>
        <v xml:space="preserve">strcpy(AMP1_A,("Not Used")); strcpy(AMP1_B,("Not Used")); strcpy(AMP1_C,("Not Used")); strcpy(AMP1_D,("Not Used")); </v>
      </c>
      <c r="C412" t="str">
        <f t="shared" si="20"/>
        <v xml:space="preserve">strcpy(AMP2_A,("Not Used")); strcpy(AMP2_B,("Not Used")); strcpy(AMP2_C,("Not Used")); strcpy(AMP2_D,("Not Used")); </v>
      </c>
      <c r="D412" s="31" t="s">
        <v>893</v>
      </c>
      <c r="E412" s="42" t="str">
        <f t="shared" si="18"/>
        <v>case 408: strcpy(AMP1_A,("Not Used")); strcpy(AMP1_B,("Not Used")); strcpy(AMP1_C,("Not Used")); strcpy(AMP1_D,("Not Used")); strcpy(AMP2_A,("Not Used")); strcpy(AMP2_B,("Not Used")); strcpy(AMP2_C,("Not Used")); strcpy(AMP2_D,("Not Used"));  break;</v>
      </c>
      <c r="F412" t="s">
        <v>893</v>
      </c>
      <c r="I412" t="s">
        <v>893</v>
      </c>
      <c r="J412" s="45" t="str">
        <f>VLOOKUP(S412,'AMP models AxeFxIII'!$D$2:$H$299,2,FALSE)</f>
        <v>Not Used</v>
      </c>
      <c r="K412" s="45" t="str">
        <f>VLOOKUP(T412,'AMP models AxeFxIII'!$D$2:$H$299,2,FALSE)</f>
        <v>Not Used</v>
      </c>
      <c r="L412" s="45" t="str">
        <f>VLOOKUP(U412,'AMP models AxeFxIII'!$D$2:$H$299,2,FALSE)</f>
        <v>Not Used</v>
      </c>
      <c r="M412" s="45" t="str">
        <f>VLOOKUP(V412,'AMP models AxeFxIII'!$D$2:$H$299,2,FALSE)</f>
        <v>Not Used</v>
      </c>
      <c r="N412" s="45" t="str">
        <f>VLOOKUP(W412,'AMP models AxeFxIII'!$D$2:$H$299,2,FALSE)</f>
        <v>Not Used</v>
      </c>
      <c r="O412" s="45" t="str">
        <f>VLOOKUP(X412,'AMP models AxeFxIII'!$D$2:$H$299,2,FALSE)</f>
        <v>Not Used</v>
      </c>
      <c r="P412" s="45" t="str">
        <f>VLOOKUP(Y412,'AMP models AxeFxIII'!$D$2:$H$299,2,FALSE)</f>
        <v>Not Used</v>
      </c>
      <c r="Q412" s="45" t="str">
        <f>VLOOKUP(Z412,'AMP models AxeFxIII'!$D$2:$H$299,2,FALSE)</f>
        <v>Not Used</v>
      </c>
      <c r="R412" s="4">
        <v>408</v>
      </c>
      <c r="S412" s="46" t="s">
        <v>555</v>
      </c>
      <c r="T412" s="46" t="s">
        <v>555</v>
      </c>
      <c r="U412" s="46" t="s">
        <v>555</v>
      </c>
      <c r="V412" s="46" t="s">
        <v>555</v>
      </c>
      <c r="W412" s="46" t="s">
        <v>555</v>
      </c>
      <c r="X412" s="46" t="s">
        <v>555</v>
      </c>
      <c r="Y412" s="46" t="s">
        <v>555</v>
      </c>
      <c r="Z412" s="46" t="s">
        <v>555</v>
      </c>
    </row>
    <row r="413" spans="1:26">
      <c r="A413" s="41">
        <f>preset_Names!A413</f>
        <v>409</v>
      </c>
      <c r="B413" t="str">
        <f t="shared" si="19"/>
        <v xml:space="preserve">strcpy(AMP1_A,("Not Used")); strcpy(AMP1_B,("Not Used")); strcpy(AMP1_C,("Not Used")); strcpy(AMP1_D,("Not Used")); </v>
      </c>
      <c r="C413" t="str">
        <f t="shared" si="20"/>
        <v xml:space="preserve">strcpy(AMP2_A,("Not Used")); strcpy(AMP2_B,("Not Used")); strcpy(AMP2_C,("Not Used")); strcpy(AMP2_D,("Not Used")); </v>
      </c>
      <c r="D413" s="31" t="s">
        <v>893</v>
      </c>
      <c r="E413" s="42" t="str">
        <f t="shared" si="18"/>
        <v>case 409: strcpy(AMP1_A,("Not Used")); strcpy(AMP1_B,("Not Used")); strcpy(AMP1_C,("Not Used")); strcpy(AMP1_D,("Not Used")); strcpy(AMP2_A,("Not Used")); strcpy(AMP2_B,("Not Used")); strcpy(AMP2_C,("Not Used")); strcpy(AMP2_D,("Not Used"));  break;</v>
      </c>
      <c r="F413" t="s">
        <v>893</v>
      </c>
      <c r="I413" t="s">
        <v>893</v>
      </c>
      <c r="J413" s="45" t="str">
        <f>VLOOKUP(S413,'AMP models AxeFxIII'!$D$2:$H$299,2,FALSE)</f>
        <v>Not Used</v>
      </c>
      <c r="K413" s="45" t="str">
        <f>VLOOKUP(T413,'AMP models AxeFxIII'!$D$2:$H$299,2,FALSE)</f>
        <v>Not Used</v>
      </c>
      <c r="L413" s="45" t="str">
        <f>VLOOKUP(U413,'AMP models AxeFxIII'!$D$2:$H$299,2,FALSE)</f>
        <v>Not Used</v>
      </c>
      <c r="M413" s="45" t="str">
        <f>VLOOKUP(V413,'AMP models AxeFxIII'!$D$2:$H$299,2,FALSE)</f>
        <v>Not Used</v>
      </c>
      <c r="N413" s="45" t="str">
        <f>VLOOKUP(W413,'AMP models AxeFxIII'!$D$2:$H$299,2,FALSE)</f>
        <v>Not Used</v>
      </c>
      <c r="O413" s="45" t="str">
        <f>VLOOKUP(X413,'AMP models AxeFxIII'!$D$2:$H$299,2,FALSE)</f>
        <v>Not Used</v>
      </c>
      <c r="P413" s="45" t="str">
        <f>VLOOKUP(Y413,'AMP models AxeFxIII'!$D$2:$H$299,2,FALSE)</f>
        <v>Not Used</v>
      </c>
      <c r="Q413" s="45" t="str">
        <f>VLOOKUP(Z413,'AMP models AxeFxIII'!$D$2:$H$299,2,FALSE)</f>
        <v>Not Used</v>
      </c>
      <c r="R413" s="4">
        <v>409</v>
      </c>
      <c r="S413" s="46" t="s">
        <v>555</v>
      </c>
      <c r="T413" s="46" t="s">
        <v>555</v>
      </c>
      <c r="U413" s="46" t="s">
        <v>555</v>
      </c>
      <c r="V413" s="46" t="s">
        <v>555</v>
      </c>
      <c r="W413" s="46" t="s">
        <v>555</v>
      </c>
      <c r="X413" s="46" t="s">
        <v>555</v>
      </c>
      <c r="Y413" s="46" t="s">
        <v>555</v>
      </c>
      <c r="Z413" s="46" t="s">
        <v>555</v>
      </c>
    </row>
    <row r="414" spans="1:26">
      <c r="A414" s="41">
        <f>preset_Names!A414</f>
        <v>410</v>
      </c>
      <c r="B414" t="str">
        <f t="shared" si="19"/>
        <v xml:space="preserve">strcpy(AMP1_A,("Not Used")); strcpy(AMP1_B,("Not Used")); strcpy(AMP1_C,("Not Used")); strcpy(AMP1_D,("Not Used")); </v>
      </c>
      <c r="C414" t="str">
        <f t="shared" si="20"/>
        <v xml:space="preserve">strcpy(AMP2_A,("Not Used")); strcpy(AMP2_B,("Not Used")); strcpy(AMP2_C,("Not Used")); strcpy(AMP2_D,("Not Used")); </v>
      </c>
      <c r="D414" s="31" t="s">
        <v>893</v>
      </c>
      <c r="E414" s="42" t="str">
        <f t="shared" si="18"/>
        <v>case 410: strcpy(AMP1_A,("Not Used")); strcpy(AMP1_B,("Not Used")); strcpy(AMP1_C,("Not Used")); strcpy(AMP1_D,("Not Used")); strcpy(AMP2_A,("Not Used")); strcpy(AMP2_B,("Not Used")); strcpy(AMP2_C,("Not Used")); strcpy(AMP2_D,("Not Used"));  break;</v>
      </c>
      <c r="F414" t="s">
        <v>893</v>
      </c>
      <c r="I414" t="s">
        <v>893</v>
      </c>
      <c r="J414" s="45" t="str">
        <f>VLOOKUP(S414,'AMP models AxeFxIII'!$D$2:$H$299,2,FALSE)</f>
        <v>Not Used</v>
      </c>
      <c r="K414" s="45" t="str">
        <f>VLOOKUP(T414,'AMP models AxeFxIII'!$D$2:$H$299,2,FALSE)</f>
        <v>Not Used</v>
      </c>
      <c r="L414" s="45" t="str">
        <f>VLOOKUP(U414,'AMP models AxeFxIII'!$D$2:$H$299,2,FALSE)</f>
        <v>Not Used</v>
      </c>
      <c r="M414" s="45" t="str">
        <f>VLOOKUP(V414,'AMP models AxeFxIII'!$D$2:$H$299,2,FALSE)</f>
        <v>Not Used</v>
      </c>
      <c r="N414" s="45" t="str">
        <f>VLOOKUP(W414,'AMP models AxeFxIII'!$D$2:$H$299,2,FALSE)</f>
        <v>Not Used</v>
      </c>
      <c r="O414" s="45" t="str">
        <f>VLOOKUP(X414,'AMP models AxeFxIII'!$D$2:$H$299,2,FALSE)</f>
        <v>Not Used</v>
      </c>
      <c r="P414" s="45" t="str">
        <f>VLOOKUP(Y414,'AMP models AxeFxIII'!$D$2:$H$299,2,FALSE)</f>
        <v>Not Used</v>
      </c>
      <c r="Q414" s="45" t="str">
        <f>VLOOKUP(Z414,'AMP models AxeFxIII'!$D$2:$H$299,2,FALSE)</f>
        <v>Not Used</v>
      </c>
      <c r="R414" s="4">
        <v>410</v>
      </c>
      <c r="S414" s="46" t="s">
        <v>555</v>
      </c>
      <c r="T414" s="46" t="s">
        <v>555</v>
      </c>
      <c r="U414" s="46" t="s">
        <v>555</v>
      </c>
      <c r="V414" s="46" t="s">
        <v>555</v>
      </c>
      <c r="W414" s="46" t="s">
        <v>555</v>
      </c>
      <c r="X414" s="46" t="s">
        <v>555</v>
      </c>
      <c r="Y414" s="46" t="s">
        <v>555</v>
      </c>
      <c r="Z414" s="46" t="s">
        <v>555</v>
      </c>
    </row>
    <row r="415" spans="1:26">
      <c r="A415" s="41">
        <f>preset_Names!A415</f>
        <v>411</v>
      </c>
      <c r="B415" t="str">
        <f t="shared" si="19"/>
        <v xml:space="preserve">strcpy(AMP1_A,("Not Used")); strcpy(AMP1_B,("Not Used")); strcpy(AMP1_C,("Not Used")); strcpy(AMP1_D,("Not Used")); </v>
      </c>
      <c r="C415" t="str">
        <f t="shared" si="20"/>
        <v xml:space="preserve">strcpy(AMP2_A,("Not Used")); strcpy(AMP2_B,("Not Used")); strcpy(AMP2_C,("Not Used")); strcpy(AMP2_D,("Not Used")); </v>
      </c>
      <c r="D415" s="31" t="s">
        <v>893</v>
      </c>
      <c r="E415" s="42" t="str">
        <f t="shared" si="18"/>
        <v>case 411: strcpy(AMP1_A,("Not Used")); strcpy(AMP1_B,("Not Used")); strcpy(AMP1_C,("Not Used")); strcpy(AMP1_D,("Not Used")); strcpy(AMP2_A,("Not Used")); strcpy(AMP2_B,("Not Used")); strcpy(AMP2_C,("Not Used")); strcpy(AMP2_D,("Not Used"));  break;</v>
      </c>
      <c r="F415" t="s">
        <v>893</v>
      </c>
      <c r="I415" t="s">
        <v>893</v>
      </c>
      <c r="J415" s="45" t="str">
        <f>VLOOKUP(S415,'AMP models AxeFxIII'!$D$2:$H$299,2,FALSE)</f>
        <v>Not Used</v>
      </c>
      <c r="K415" s="45" t="str">
        <f>VLOOKUP(T415,'AMP models AxeFxIII'!$D$2:$H$299,2,FALSE)</f>
        <v>Not Used</v>
      </c>
      <c r="L415" s="45" t="str">
        <f>VLOOKUP(U415,'AMP models AxeFxIII'!$D$2:$H$299,2,FALSE)</f>
        <v>Not Used</v>
      </c>
      <c r="M415" s="45" t="str">
        <f>VLOOKUP(V415,'AMP models AxeFxIII'!$D$2:$H$299,2,FALSE)</f>
        <v>Not Used</v>
      </c>
      <c r="N415" s="45" t="str">
        <f>VLOOKUP(W415,'AMP models AxeFxIII'!$D$2:$H$299,2,FALSE)</f>
        <v>Not Used</v>
      </c>
      <c r="O415" s="45" t="str">
        <f>VLOOKUP(X415,'AMP models AxeFxIII'!$D$2:$H$299,2,FALSE)</f>
        <v>Not Used</v>
      </c>
      <c r="P415" s="45" t="str">
        <f>VLOOKUP(Y415,'AMP models AxeFxIII'!$D$2:$H$299,2,FALSE)</f>
        <v>Not Used</v>
      </c>
      <c r="Q415" s="45" t="str">
        <f>VLOOKUP(Z415,'AMP models AxeFxIII'!$D$2:$H$299,2,FALSE)</f>
        <v>Not Used</v>
      </c>
      <c r="R415" s="4">
        <v>411</v>
      </c>
      <c r="S415" s="46" t="s">
        <v>555</v>
      </c>
      <c r="T415" s="46" t="s">
        <v>555</v>
      </c>
      <c r="U415" s="46" t="s">
        <v>555</v>
      </c>
      <c r="V415" s="46" t="s">
        <v>555</v>
      </c>
      <c r="W415" s="46" t="s">
        <v>555</v>
      </c>
      <c r="X415" s="46" t="s">
        <v>555</v>
      </c>
      <c r="Y415" s="46" t="s">
        <v>555</v>
      </c>
      <c r="Z415" s="46" t="s">
        <v>555</v>
      </c>
    </row>
    <row r="416" spans="1:26">
      <c r="A416" s="41">
        <f>preset_Names!A416</f>
        <v>412</v>
      </c>
      <c r="B416" t="str">
        <f t="shared" si="19"/>
        <v xml:space="preserve">strcpy(AMP1_A,("Not Used")); strcpy(AMP1_B,("Not Used")); strcpy(AMP1_C,("Not Used")); strcpy(AMP1_D,("Not Used")); </v>
      </c>
      <c r="C416" t="str">
        <f t="shared" si="20"/>
        <v xml:space="preserve">strcpy(AMP2_A,("Not Used")); strcpy(AMP2_B,("Not Used")); strcpy(AMP2_C,("Not Used")); strcpy(AMP2_D,("Not Used")); </v>
      </c>
      <c r="D416" s="31" t="s">
        <v>893</v>
      </c>
      <c r="E416" s="42" t="str">
        <f t="shared" si="18"/>
        <v>case 412: strcpy(AMP1_A,("Not Used")); strcpy(AMP1_B,("Not Used")); strcpy(AMP1_C,("Not Used")); strcpy(AMP1_D,("Not Used")); strcpy(AMP2_A,("Not Used")); strcpy(AMP2_B,("Not Used")); strcpy(AMP2_C,("Not Used")); strcpy(AMP2_D,("Not Used"));  break;</v>
      </c>
      <c r="F416" t="s">
        <v>893</v>
      </c>
      <c r="I416" t="s">
        <v>893</v>
      </c>
      <c r="J416" s="45" t="str">
        <f>VLOOKUP(S416,'AMP models AxeFxIII'!$D$2:$H$299,2,FALSE)</f>
        <v>Not Used</v>
      </c>
      <c r="K416" s="45" t="str">
        <f>VLOOKUP(T416,'AMP models AxeFxIII'!$D$2:$H$299,2,FALSE)</f>
        <v>Not Used</v>
      </c>
      <c r="L416" s="45" t="str">
        <f>VLOOKUP(U416,'AMP models AxeFxIII'!$D$2:$H$299,2,FALSE)</f>
        <v>Not Used</v>
      </c>
      <c r="M416" s="45" t="str">
        <f>VLOOKUP(V416,'AMP models AxeFxIII'!$D$2:$H$299,2,FALSE)</f>
        <v>Not Used</v>
      </c>
      <c r="N416" s="45" t="str">
        <f>VLOOKUP(W416,'AMP models AxeFxIII'!$D$2:$H$299,2,FALSE)</f>
        <v>Not Used</v>
      </c>
      <c r="O416" s="45" t="str">
        <f>VLOOKUP(X416,'AMP models AxeFxIII'!$D$2:$H$299,2,FALSE)</f>
        <v>Not Used</v>
      </c>
      <c r="P416" s="45" t="str">
        <f>VLOOKUP(Y416,'AMP models AxeFxIII'!$D$2:$H$299,2,FALSE)</f>
        <v>Not Used</v>
      </c>
      <c r="Q416" s="45" t="str">
        <f>VLOOKUP(Z416,'AMP models AxeFxIII'!$D$2:$H$299,2,FALSE)</f>
        <v>Not Used</v>
      </c>
      <c r="R416" s="4">
        <v>412</v>
      </c>
      <c r="S416" s="46" t="s">
        <v>555</v>
      </c>
      <c r="T416" s="46" t="s">
        <v>555</v>
      </c>
      <c r="U416" s="46" t="s">
        <v>555</v>
      </c>
      <c r="V416" s="46" t="s">
        <v>555</v>
      </c>
      <c r="W416" s="46" t="s">
        <v>555</v>
      </c>
      <c r="X416" s="46" t="s">
        <v>555</v>
      </c>
      <c r="Y416" s="46" t="s">
        <v>555</v>
      </c>
      <c r="Z416" s="46" t="s">
        <v>555</v>
      </c>
    </row>
    <row r="417" spans="1:26">
      <c r="A417" s="41">
        <f>preset_Names!A417</f>
        <v>413</v>
      </c>
      <c r="B417" t="str">
        <f t="shared" si="19"/>
        <v xml:space="preserve">strcpy(AMP1_A,("Not Used")); strcpy(AMP1_B,("Not Used")); strcpy(AMP1_C,("Not Used")); strcpy(AMP1_D,("Not Used")); </v>
      </c>
      <c r="C417" t="str">
        <f t="shared" si="20"/>
        <v xml:space="preserve">strcpy(AMP2_A,("Not Used")); strcpy(AMP2_B,("Not Used")); strcpy(AMP2_C,("Not Used")); strcpy(AMP2_D,("Not Used")); </v>
      </c>
      <c r="D417" s="31" t="s">
        <v>893</v>
      </c>
      <c r="E417" s="42" t="str">
        <f t="shared" si="18"/>
        <v>case 413: strcpy(AMP1_A,("Not Used")); strcpy(AMP1_B,("Not Used")); strcpy(AMP1_C,("Not Used")); strcpy(AMP1_D,("Not Used")); strcpy(AMP2_A,("Not Used")); strcpy(AMP2_B,("Not Used")); strcpy(AMP2_C,("Not Used")); strcpy(AMP2_D,("Not Used"));  break;</v>
      </c>
      <c r="F417" t="s">
        <v>893</v>
      </c>
      <c r="I417" t="s">
        <v>893</v>
      </c>
      <c r="J417" s="45" t="str">
        <f>VLOOKUP(S417,'AMP models AxeFxIII'!$D$2:$H$299,2,FALSE)</f>
        <v>Not Used</v>
      </c>
      <c r="K417" s="45" t="str">
        <f>VLOOKUP(T417,'AMP models AxeFxIII'!$D$2:$H$299,2,FALSE)</f>
        <v>Not Used</v>
      </c>
      <c r="L417" s="45" t="str">
        <f>VLOOKUP(U417,'AMP models AxeFxIII'!$D$2:$H$299,2,FALSE)</f>
        <v>Not Used</v>
      </c>
      <c r="M417" s="45" t="str">
        <f>VLOOKUP(V417,'AMP models AxeFxIII'!$D$2:$H$299,2,FALSE)</f>
        <v>Not Used</v>
      </c>
      <c r="N417" s="45" t="str">
        <f>VLOOKUP(W417,'AMP models AxeFxIII'!$D$2:$H$299,2,FALSE)</f>
        <v>Not Used</v>
      </c>
      <c r="O417" s="45" t="str">
        <f>VLOOKUP(X417,'AMP models AxeFxIII'!$D$2:$H$299,2,FALSE)</f>
        <v>Not Used</v>
      </c>
      <c r="P417" s="45" t="str">
        <f>VLOOKUP(Y417,'AMP models AxeFxIII'!$D$2:$H$299,2,FALSE)</f>
        <v>Not Used</v>
      </c>
      <c r="Q417" s="45" t="str">
        <f>VLOOKUP(Z417,'AMP models AxeFxIII'!$D$2:$H$299,2,FALSE)</f>
        <v>Not Used</v>
      </c>
      <c r="R417" s="4">
        <v>413</v>
      </c>
      <c r="S417" s="46" t="s">
        <v>555</v>
      </c>
      <c r="T417" s="46" t="s">
        <v>555</v>
      </c>
      <c r="U417" s="46" t="s">
        <v>555</v>
      </c>
      <c r="V417" s="46" t="s">
        <v>555</v>
      </c>
      <c r="W417" s="46" t="s">
        <v>555</v>
      </c>
      <c r="X417" s="46" t="s">
        <v>555</v>
      </c>
      <c r="Y417" s="46" t="s">
        <v>555</v>
      </c>
      <c r="Z417" s="46" t="s">
        <v>555</v>
      </c>
    </row>
    <row r="418" spans="1:26">
      <c r="A418" s="41">
        <f>preset_Names!A418</f>
        <v>414</v>
      </c>
      <c r="B418" t="str">
        <f t="shared" si="19"/>
        <v xml:space="preserve">strcpy(AMP1_A,("Not Used")); strcpy(AMP1_B,("Not Used")); strcpy(AMP1_C,("Not Used")); strcpy(AMP1_D,("Not Used")); </v>
      </c>
      <c r="C418" t="str">
        <f t="shared" si="20"/>
        <v xml:space="preserve">strcpy(AMP2_A,("Not Used")); strcpy(AMP2_B,("Not Used")); strcpy(AMP2_C,("Not Used")); strcpy(AMP2_D,("Not Used")); </v>
      </c>
      <c r="D418" s="31" t="s">
        <v>893</v>
      </c>
      <c r="E418" s="42" t="str">
        <f t="shared" si="18"/>
        <v>case 414: strcpy(AMP1_A,("Not Used")); strcpy(AMP1_B,("Not Used")); strcpy(AMP1_C,("Not Used")); strcpy(AMP1_D,("Not Used")); strcpy(AMP2_A,("Not Used")); strcpy(AMP2_B,("Not Used")); strcpy(AMP2_C,("Not Used")); strcpy(AMP2_D,("Not Used"));  break;</v>
      </c>
      <c r="F418" t="s">
        <v>893</v>
      </c>
      <c r="I418" t="s">
        <v>893</v>
      </c>
      <c r="J418" s="45" t="str">
        <f>VLOOKUP(S418,'AMP models AxeFxIII'!$D$2:$H$299,2,FALSE)</f>
        <v>Not Used</v>
      </c>
      <c r="K418" s="45" t="str">
        <f>VLOOKUP(T418,'AMP models AxeFxIII'!$D$2:$H$299,2,FALSE)</f>
        <v>Not Used</v>
      </c>
      <c r="L418" s="45" t="str">
        <f>VLOOKUP(U418,'AMP models AxeFxIII'!$D$2:$H$299,2,FALSE)</f>
        <v>Not Used</v>
      </c>
      <c r="M418" s="45" t="str">
        <f>VLOOKUP(V418,'AMP models AxeFxIII'!$D$2:$H$299,2,FALSE)</f>
        <v>Not Used</v>
      </c>
      <c r="N418" s="45" t="str">
        <f>VLOOKUP(W418,'AMP models AxeFxIII'!$D$2:$H$299,2,FALSE)</f>
        <v>Not Used</v>
      </c>
      <c r="O418" s="45" t="str">
        <f>VLOOKUP(X418,'AMP models AxeFxIII'!$D$2:$H$299,2,FALSE)</f>
        <v>Not Used</v>
      </c>
      <c r="P418" s="45" t="str">
        <f>VLOOKUP(Y418,'AMP models AxeFxIII'!$D$2:$H$299,2,FALSE)</f>
        <v>Not Used</v>
      </c>
      <c r="Q418" s="45" t="str">
        <f>VLOOKUP(Z418,'AMP models AxeFxIII'!$D$2:$H$299,2,FALSE)</f>
        <v>Not Used</v>
      </c>
      <c r="R418" s="4">
        <v>414</v>
      </c>
      <c r="S418" s="46" t="s">
        <v>555</v>
      </c>
      <c r="T418" s="46" t="s">
        <v>555</v>
      </c>
      <c r="U418" s="46" t="s">
        <v>555</v>
      </c>
      <c r="V418" s="46" t="s">
        <v>555</v>
      </c>
      <c r="W418" s="46" t="s">
        <v>555</v>
      </c>
      <c r="X418" s="46" t="s">
        <v>555</v>
      </c>
      <c r="Y418" s="46" t="s">
        <v>555</v>
      </c>
      <c r="Z418" s="46" t="s">
        <v>555</v>
      </c>
    </row>
    <row r="419" spans="1:26">
      <c r="A419" s="41">
        <f>preset_Names!A419</f>
        <v>415</v>
      </c>
      <c r="B419" t="str">
        <f t="shared" si="19"/>
        <v xml:space="preserve">strcpy(AMP1_A,("Not Used")); strcpy(AMP1_B,("Not Used")); strcpy(AMP1_C,("Not Used")); strcpy(AMP1_D,("Not Used")); </v>
      </c>
      <c r="C419" t="str">
        <f t="shared" si="20"/>
        <v xml:space="preserve">strcpy(AMP2_A,("Not Used")); strcpy(AMP2_B,("Not Used")); strcpy(AMP2_C,("Not Used")); strcpy(AMP2_D,("Not Used")); </v>
      </c>
      <c r="D419" s="31" t="s">
        <v>893</v>
      </c>
      <c r="E419" s="42" t="str">
        <f t="shared" si="18"/>
        <v>case 415: strcpy(AMP1_A,("Not Used")); strcpy(AMP1_B,("Not Used")); strcpy(AMP1_C,("Not Used")); strcpy(AMP1_D,("Not Used")); strcpy(AMP2_A,("Not Used")); strcpy(AMP2_B,("Not Used")); strcpy(AMP2_C,("Not Used")); strcpy(AMP2_D,("Not Used"));  break;</v>
      </c>
      <c r="F419" t="s">
        <v>893</v>
      </c>
      <c r="I419" t="s">
        <v>893</v>
      </c>
      <c r="J419" s="45" t="str">
        <f>VLOOKUP(S419,'AMP models AxeFxIII'!$D$2:$H$299,2,FALSE)</f>
        <v>Not Used</v>
      </c>
      <c r="K419" s="45" t="str">
        <f>VLOOKUP(T419,'AMP models AxeFxIII'!$D$2:$H$299,2,FALSE)</f>
        <v>Not Used</v>
      </c>
      <c r="L419" s="45" t="str">
        <f>VLOOKUP(U419,'AMP models AxeFxIII'!$D$2:$H$299,2,FALSE)</f>
        <v>Not Used</v>
      </c>
      <c r="M419" s="45" t="str">
        <f>VLOOKUP(V419,'AMP models AxeFxIII'!$D$2:$H$299,2,FALSE)</f>
        <v>Not Used</v>
      </c>
      <c r="N419" s="45" t="str">
        <f>VLOOKUP(W419,'AMP models AxeFxIII'!$D$2:$H$299,2,FALSE)</f>
        <v>Not Used</v>
      </c>
      <c r="O419" s="45" t="str">
        <f>VLOOKUP(X419,'AMP models AxeFxIII'!$D$2:$H$299,2,FALSE)</f>
        <v>Not Used</v>
      </c>
      <c r="P419" s="45" t="str">
        <f>VLOOKUP(Y419,'AMP models AxeFxIII'!$D$2:$H$299,2,FALSE)</f>
        <v>Not Used</v>
      </c>
      <c r="Q419" s="45" t="str">
        <f>VLOOKUP(Z419,'AMP models AxeFxIII'!$D$2:$H$299,2,FALSE)</f>
        <v>Not Used</v>
      </c>
      <c r="R419" s="4">
        <v>415</v>
      </c>
      <c r="S419" s="46" t="s">
        <v>555</v>
      </c>
      <c r="T419" s="46" t="s">
        <v>555</v>
      </c>
      <c r="U419" s="46" t="s">
        <v>555</v>
      </c>
      <c r="V419" s="46" t="s">
        <v>555</v>
      </c>
      <c r="W419" s="46" t="s">
        <v>555</v>
      </c>
      <c r="X419" s="46" t="s">
        <v>555</v>
      </c>
      <c r="Y419" s="46" t="s">
        <v>555</v>
      </c>
      <c r="Z419" s="46" t="s">
        <v>555</v>
      </c>
    </row>
    <row r="420" spans="1:26">
      <c r="A420" s="41">
        <f>preset_Names!A420</f>
        <v>416</v>
      </c>
      <c r="B420" t="str">
        <f t="shared" si="19"/>
        <v xml:space="preserve">strcpy(AMP1_A,("Not Used")); strcpy(AMP1_B,("Not Used")); strcpy(AMP1_C,("Not Used")); strcpy(AMP1_D,("Not Used")); </v>
      </c>
      <c r="C420" t="str">
        <f t="shared" si="20"/>
        <v xml:space="preserve">strcpy(AMP2_A,("Not Used")); strcpy(AMP2_B,("Not Used")); strcpy(AMP2_C,("Not Used")); strcpy(AMP2_D,("Not Used")); </v>
      </c>
      <c r="D420" s="31" t="s">
        <v>893</v>
      </c>
      <c r="E420" s="42" t="str">
        <f t="shared" si="18"/>
        <v>case 416: strcpy(AMP1_A,("Not Used")); strcpy(AMP1_B,("Not Used")); strcpy(AMP1_C,("Not Used")); strcpy(AMP1_D,("Not Used")); strcpy(AMP2_A,("Not Used")); strcpy(AMP2_B,("Not Used")); strcpy(AMP2_C,("Not Used")); strcpy(AMP2_D,("Not Used"));  break;</v>
      </c>
      <c r="F420" t="s">
        <v>893</v>
      </c>
      <c r="I420" t="s">
        <v>893</v>
      </c>
      <c r="J420" s="45" t="str">
        <f>VLOOKUP(S420,'AMP models AxeFxIII'!$D$2:$H$299,2,FALSE)</f>
        <v>Not Used</v>
      </c>
      <c r="K420" s="45" t="str">
        <f>VLOOKUP(T420,'AMP models AxeFxIII'!$D$2:$H$299,2,FALSE)</f>
        <v>Not Used</v>
      </c>
      <c r="L420" s="45" t="str">
        <f>VLOOKUP(U420,'AMP models AxeFxIII'!$D$2:$H$299,2,FALSE)</f>
        <v>Not Used</v>
      </c>
      <c r="M420" s="45" t="str">
        <f>VLOOKUP(V420,'AMP models AxeFxIII'!$D$2:$H$299,2,FALSE)</f>
        <v>Not Used</v>
      </c>
      <c r="N420" s="45" t="str">
        <f>VLOOKUP(W420,'AMP models AxeFxIII'!$D$2:$H$299,2,FALSE)</f>
        <v>Not Used</v>
      </c>
      <c r="O420" s="45" t="str">
        <f>VLOOKUP(X420,'AMP models AxeFxIII'!$D$2:$H$299,2,FALSE)</f>
        <v>Not Used</v>
      </c>
      <c r="P420" s="45" t="str">
        <f>VLOOKUP(Y420,'AMP models AxeFxIII'!$D$2:$H$299,2,FALSE)</f>
        <v>Not Used</v>
      </c>
      <c r="Q420" s="45" t="str">
        <f>VLOOKUP(Z420,'AMP models AxeFxIII'!$D$2:$H$299,2,FALSE)</f>
        <v>Not Used</v>
      </c>
      <c r="R420" s="4">
        <v>416</v>
      </c>
      <c r="S420" s="46" t="s">
        <v>555</v>
      </c>
      <c r="T420" s="46" t="s">
        <v>555</v>
      </c>
      <c r="U420" s="46" t="s">
        <v>555</v>
      </c>
      <c r="V420" s="46" t="s">
        <v>555</v>
      </c>
      <c r="W420" s="46" t="s">
        <v>555</v>
      </c>
      <c r="X420" s="46" t="s">
        <v>555</v>
      </c>
      <c r="Y420" s="46" t="s">
        <v>555</v>
      </c>
      <c r="Z420" s="46" t="s">
        <v>555</v>
      </c>
    </row>
    <row r="421" spans="1:26">
      <c r="A421" s="41">
        <f>preset_Names!A421</f>
        <v>417</v>
      </c>
      <c r="B421" t="str">
        <f t="shared" si="19"/>
        <v xml:space="preserve">strcpy(AMP1_A,("Not Used")); strcpy(AMP1_B,("Not Used")); strcpy(AMP1_C,("Not Used")); strcpy(AMP1_D,("Not Used")); </v>
      </c>
      <c r="C421" t="str">
        <f t="shared" si="20"/>
        <v xml:space="preserve">strcpy(AMP2_A,("Not Used")); strcpy(AMP2_B,("Not Used")); strcpy(AMP2_C,("Not Used")); strcpy(AMP2_D,("Not Used")); </v>
      </c>
      <c r="D421" s="31" t="s">
        <v>893</v>
      </c>
      <c r="E421" s="42" t="str">
        <f t="shared" si="18"/>
        <v>case 417: strcpy(AMP1_A,("Not Used")); strcpy(AMP1_B,("Not Used")); strcpy(AMP1_C,("Not Used")); strcpy(AMP1_D,("Not Used")); strcpy(AMP2_A,("Not Used")); strcpy(AMP2_B,("Not Used")); strcpy(AMP2_C,("Not Used")); strcpy(AMP2_D,("Not Used"));  break;</v>
      </c>
      <c r="F421" t="s">
        <v>893</v>
      </c>
      <c r="I421" t="s">
        <v>893</v>
      </c>
      <c r="J421" s="45" t="str">
        <f>VLOOKUP(S421,'AMP models AxeFxIII'!$D$2:$H$299,2,FALSE)</f>
        <v>Not Used</v>
      </c>
      <c r="K421" s="45" t="str">
        <f>VLOOKUP(T421,'AMP models AxeFxIII'!$D$2:$H$299,2,FALSE)</f>
        <v>Not Used</v>
      </c>
      <c r="L421" s="45" t="str">
        <f>VLOOKUP(U421,'AMP models AxeFxIII'!$D$2:$H$299,2,FALSE)</f>
        <v>Not Used</v>
      </c>
      <c r="M421" s="45" t="str">
        <f>VLOOKUP(V421,'AMP models AxeFxIII'!$D$2:$H$299,2,FALSE)</f>
        <v>Not Used</v>
      </c>
      <c r="N421" s="45" t="str">
        <f>VLOOKUP(W421,'AMP models AxeFxIII'!$D$2:$H$299,2,FALSE)</f>
        <v>Not Used</v>
      </c>
      <c r="O421" s="45" t="str">
        <f>VLOOKUP(X421,'AMP models AxeFxIII'!$D$2:$H$299,2,FALSE)</f>
        <v>Not Used</v>
      </c>
      <c r="P421" s="45" t="str">
        <f>VLOOKUP(Y421,'AMP models AxeFxIII'!$D$2:$H$299,2,FALSE)</f>
        <v>Not Used</v>
      </c>
      <c r="Q421" s="45" t="str">
        <f>VLOOKUP(Z421,'AMP models AxeFxIII'!$D$2:$H$299,2,FALSE)</f>
        <v>Not Used</v>
      </c>
      <c r="R421" s="4">
        <v>417</v>
      </c>
      <c r="S421" s="46" t="s">
        <v>555</v>
      </c>
      <c r="T421" s="46" t="s">
        <v>555</v>
      </c>
      <c r="U421" s="46" t="s">
        <v>555</v>
      </c>
      <c r="V421" s="46" t="s">
        <v>555</v>
      </c>
      <c r="W421" s="46" t="s">
        <v>555</v>
      </c>
      <c r="X421" s="46" t="s">
        <v>555</v>
      </c>
      <c r="Y421" s="46" t="s">
        <v>555</v>
      </c>
      <c r="Z421" s="46" t="s">
        <v>555</v>
      </c>
    </row>
    <row r="422" spans="1:26">
      <c r="A422" s="41">
        <f>preset_Names!A422</f>
        <v>418</v>
      </c>
      <c r="B422" t="str">
        <f t="shared" si="19"/>
        <v xml:space="preserve">strcpy(AMP1_A,("Not Used")); strcpy(AMP1_B,("Not Used")); strcpy(AMP1_C,("Not Used")); strcpy(AMP1_D,("Not Used")); </v>
      </c>
      <c r="C422" t="str">
        <f t="shared" si="20"/>
        <v xml:space="preserve">strcpy(AMP2_A,("Not Used")); strcpy(AMP2_B,("Not Used")); strcpy(AMP2_C,("Not Used")); strcpy(AMP2_D,("Not Used")); </v>
      </c>
      <c r="D422" s="31" t="s">
        <v>893</v>
      </c>
      <c r="E422" s="42" t="str">
        <f t="shared" si="18"/>
        <v>case 418: strcpy(AMP1_A,("Not Used")); strcpy(AMP1_B,("Not Used")); strcpy(AMP1_C,("Not Used")); strcpy(AMP1_D,("Not Used")); strcpy(AMP2_A,("Not Used")); strcpy(AMP2_B,("Not Used")); strcpy(AMP2_C,("Not Used")); strcpy(AMP2_D,("Not Used"));  break;</v>
      </c>
      <c r="F422" t="s">
        <v>893</v>
      </c>
      <c r="I422" t="s">
        <v>893</v>
      </c>
      <c r="J422" s="45" t="str">
        <f>VLOOKUP(S422,'AMP models AxeFxIII'!$D$2:$H$299,2,FALSE)</f>
        <v>Not Used</v>
      </c>
      <c r="K422" s="45" t="str">
        <f>VLOOKUP(T422,'AMP models AxeFxIII'!$D$2:$H$299,2,FALSE)</f>
        <v>Not Used</v>
      </c>
      <c r="L422" s="45" t="str">
        <f>VLOOKUP(U422,'AMP models AxeFxIII'!$D$2:$H$299,2,FALSE)</f>
        <v>Not Used</v>
      </c>
      <c r="M422" s="45" t="str">
        <f>VLOOKUP(V422,'AMP models AxeFxIII'!$D$2:$H$299,2,FALSE)</f>
        <v>Not Used</v>
      </c>
      <c r="N422" s="45" t="str">
        <f>VLOOKUP(W422,'AMP models AxeFxIII'!$D$2:$H$299,2,FALSE)</f>
        <v>Not Used</v>
      </c>
      <c r="O422" s="45" t="str">
        <f>VLOOKUP(X422,'AMP models AxeFxIII'!$D$2:$H$299,2,FALSE)</f>
        <v>Not Used</v>
      </c>
      <c r="P422" s="45" t="str">
        <f>VLOOKUP(Y422,'AMP models AxeFxIII'!$D$2:$H$299,2,FALSE)</f>
        <v>Not Used</v>
      </c>
      <c r="Q422" s="45" t="str">
        <f>VLOOKUP(Z422,'AMP models AxeFxIII'!$D$2:$H$299,2,FALSE)</f>
        <v>Not Used</v>
      </c>
      <c r="R422" s="4">
        <v>418</v>
      </c>
      <c r="S422" s="46" t="s">
        <v>555</v>
      </c>
      <c r="T422" s="46" t="s">
        <v>555</v>
      </c>
      <c r="U422" s="46" t="s">
        <v>555</v>
      </c>
      <c r="V422" s="46" t="s">
        <v>555</v>
      </c>
      <c r="W422" s="46" t="s">
        <v>555</v>
      </c>
      <c r="X422" s="46" t="s">
        <v>555</v>
      </c>
      <c r="Y422" s="46" t="s">
        <v>555</v>
      </c>
      <c r="Z422" s="46" t="s">
        <v>555</v>
      </c>
    </row>
    <row r="423" spans="1:26">
      <c r="A423" s="41">
        <f>preset_Names!A423</f>
        <v>419</v>
      </c>
      <c r="B423" t="str">
        <f t="shared" si="19"/>
        <v xml:space="preserve">strcpy(AMP1_A,("Not Used")); strcpy(AMP1_B,("Not Used")); strcpy(AMP1_C,("Not Used")); strcpy(AMP1_D,("Not Used")); </v>
      </c>
      <c r="C423" t="str">
        <f t="shared" si="20"/>
        <v xml:space="preserve">strcpy(AMP2_A,("Not Used")); strcpy(AMP2_B,("Not Used")); strcpy(AMP2_C,("Not Used")); strcpy(AMP2_D,("Not Used")); </v>
      </c>
      <c r="D423" s="31" t="s">
        <v>893</v>
      </c>
      <c r="E423" s="42" t="str">
        <f t="shared" si="18"/>
        <v>case 419: strcpy(AMP1_A,("Not Used")); strcpy(AMP1_B,("Not Used")); strcpy(AMP1_C,("Not Used")); strcpy(AMP1_D,("Not Used")); strcpy(AMP2_A,("Not Used")); strcpy(AMP2_B,("Not Used")); strcpy(AMP2_C,("Not Used")); strcpy(AMP2_D,("Not Used"));  break;</v>
      </c>
      <c r="F423" t="s">
        <v>893</v>
      </c>
      <c r="I423" t="s">
        <v>893</v>
      </c>
      <c r="J423" s="45" t="str">
        <f>VLOOKUP(S423,'AMP models AxeFxIII'!$D$2:$H$299,2,FALSE)</f>
        <v>Not Used</v>
      </c>
      <c r="K423" s="45" t="str">
        <f>VLOOKUP(T423,'AMP models AxeFxIII'!$D$2:$H$299,2,FALSE)</f>
        <v>Not Used</v>
      </c>
      <c r="L423" s="45" t="str">
        <f>VLOOKUP(U423,'AMP models AxeFxIII'!$D$2:$H$299,2,FALSE)</f>
        <v>Not Used</v>
      </c>
      <c r="M423" s="45" t="str">
        <f>VLOOKUP(V423,'AMP models AxeFxIII'!$D$2:$H$299,2,FALSE)</f>
        <v>Not Used</v>
      </c>
      <c r="N423" s="45" t="str">
        <f>VLOOKUP(W423,'AMP models AxeFxIII'!$D$2:$H$299,2,FALSE)</f>
        <v>Not Used</v>
      </c>
      <c r="O423" s="45" t="str">
        <f>VLOOKUP(X423,'AMP models AxeFxIII'!$D$2:$H$299,2,FALSE)</f>
        <v>Not Used</v>
      </c>
      <c r="P423" s="45" t="str">
        <f>VLOOKUP(Y423,'AMP models AxeFxIII'!$D$2:$H$299,2,FALSE)</f>
        <v>Not Used</v>
      </c>
      <c r="Q423" s="45" t="str">
        <f>VLOOKUP(Z423,'AMP models AxeFxIII'!$D$2:$H$299,2,FALSE)</f>
        <v>Not Used</v>
      </c>
      <c r="R423" s="4">
        <v>419</v>
      </c>
      <c r="S423" s="46" t="s">
        <v>555</v>
      </c>
      <c r="T423" s="46" t="s">
        <v>555</v>
      </c>
      <c r="U423" s="46" t="s">
        <v>555</v>
      </c>
      <c r="V423" s="46" t="s">
        <v>555</v>
      </c>
      <c r="W423" s="46" t="s">
        <v>555</v>
      </c>
      <c r="X423" s="46" t="s">
        <v>555</v>
      </c>
      <c r="Y423" s="46" t="s">
        <v>555</v>
      </c>
      <c r="Z423" s="46" t="s">
        <v>555</v>
      </c>
    </row>
    <row r="424" spans="1:26">
      <c r="A424" s="41">
        <f>preset_Names!A424</f>
        <v>420</v>
      </c>
      <c r="B424" t="str">
        <f t="shared" si="19"/>
        <v xml:space="preserve">strcpy(AMP1_A,("Not Used")); strcpy(AMP1_B,("Not Used")); strcpy(AMP1_C,("Not Used")); strcpy(AMP1_D,("Not Used")); </v>
      </c>
      <c r="C424" t="str">
        <f t="shared" si="20"/>
        <v xml:space="preserve">strcpy(AMP2_A,("Not Used")); strcpy(AMP2_B,("Not Used")); strcpy(AMP2_C,("Not Used")); strcpy(AMP2_D,("Not Used")); </v>
      </c>
      <c r="D424" s="31" t="s">
        <v>893</v>
      </c>
      <c r="E424" s="42" t="str">
        <f t="shared" si="18"/>
        <v>case 420: strcpy(AMP1_A,("Not Used")); strcpy(AMP1_B,("Not Used")); strcpy(AMP1_C,("Not Used")); strcpy(AMP1_D,("Not Used")); strcpy(AMP2_A,("Not Used")); strcpy(AMP2_B,("Not Used")); strcpy(AMP2_C,("Not Used")); strcpy(AMP2_D,("Not Used"));  break;</v>
      </c>
      <c r="F424" t="s">
        <v>893</v>
      </c>
      <c r="I424" t="s">
        <v>893</v>
      </c>
      <c r="J424" s="45" t="str">
        <f>VLOOKUP(S424,'AMP models AxeFxIII'!$D$2:$H$299,2,FALSE)</f>
        <v>Not Used</v>
      </c>
      <c r="K424" s="45" t="str">
        <f>VLOOKUP(T424,'AMP models AxeFxIII'!$D$2:$H$299,2,FALSE)</f>
        <v>Not Used</v>
      </c>
      <c r="L424" s="45" t="str">
        <f>VLOOKUP(U424,'AMP models AxeFxIII'!$D$2:$H$299,2,FALSE)</f>
        <v>Not Used</v>
      </c>
      <c r="M424" s="45" t="str">
        <f>VLOOKUP(V424,'AMP models AxeFxIII'!$D$2:$H$299,2,FALSE)</f>
        <v>Not Used</v>
      </c>
      <c r="N424" s="45" t="str">
        <f>VLOOKUP(W424,'AMP models AxeFxIII'!$D$2:$H$299,2,FALSE)</f>
        <v>Not Used</v>
      </c>
      <c r="O424" s="45" t="str">
        <f>VLOOKUP(X424,'AMP models AxeFxIII'!$D$2:$H$299,2,FALSE)</f>
        <v>Not Used</v>
      </c>
      <c r="P424" s="45" t="str">
        <f>VLOOKUP(Y424,'AMP models AxeFxIII'!$D$2:$H$299,2,FALSE)</f>
        <v>Not Used</v>
      </c>
      <c r="Q424" s="45" t="str">
        <f>VLOOKUP(Z424,'AMP models AxeFxIII'!$D$2:$H$299,2,FALSE)</f>
        <v>Not Used</v>
      </c>
      <c r="R424" s="4">
        <v>420</v>
      </c>
      <c r="S424" s="46" t="s">
        <v>555</v>
      </c>
      <c r="T424" s="46" t="s">
        <v>555</v>
      </c>
      <c r="U424" s="46" t="s">
        <v>555</v>
      </c>
      <c r="V424" s="46" t="s">
        <v>555</v>
      </c>
      <c r="W424" s="46" t="s">
        <v>555</v>
      </c>
      <c r="X424" s="46" t="s">
        <v>555</v>
      </c>
      <c r="Y424" s="46" t="s">
        <v>555</v>
      </c>
      <c r="Z424" s="46" t="s">
        <v>555</v>
      </c>
    </row>
    <row r="425" spans="1:26">
      <c r="A425" s="41">
        <f>preset_Names!A425</f>
        <v>421</v>
      </c>
      <c r="B425" t="str">
        <f t="shared" si="19"/>
        <v xml:space="preserve">strcpy(AMP1_A,("Not Used")); strcpy(AMP1_B,("Not Used")); strcpy(AMP1_C,("Not Used")); strcpy(AMP1_D,("Not Used")); </v>
      </c>
      <c r="C425" t="str">
        <f t="shared" si="20"/>
        <v xml:space="preserve">strcpy(AMP2_A,("Not Used")); strcpy(AMP2_B,("Not Used")); strcpy(AMP2_C,("Not Used")); strcpy(AMP2_D,("Not Used")); </v>
      </c>
      <c r="D425" s="31" t="s">
        <v>893</v>
      </c>
      <c r="E425" s="42" t="str">
        <f t="shared" si="18"/>
        <v>case 421: strcpy(AMP1_A,("Not Used")); strcpy(AMP1_B,("Not Used")); strcpy(AMP1_C,("Not Used")); strcpy(AMP1_D,("Not Used")); strcpy(AMP2_A,("Not Used")); strcpy(AMP2_B,("Not Used")); strcpy(AMP2_C,("Not Used")); strcpy(AMP2_D,("Not Used"));  break;</v>
      </c>
      <c r="F425" t="s">
        <v>893</v>
      </c>
      <c r="I425" t="s">
        <v>893</v>
      </c>
      <c r="J425" s="45" t="str">
        <f>VLOOKUP(S425,'AMP models AxeFxIII'!$D$2:$H$299,2,FALSE)</f>
        <v>Not Used</v>
      </c>
      <c r="K425" s="45" t="str">
        <f>VLOOKUP(T425,'AMP models AxeFxIII'!$D$2:$H$299,2,FALSE)</f>
        <v>Not Used</v>
      </c>
      <c r="L425" s="45" t="str">
        <f>VLOOKUP(U425,'AMP models AxeFxIII'!$D$2:$H$299,2,FALSE)</f>
        <v>Not Used</v>
      </c>
      <c r="M425" s="45" t="str">
        <f>VLOOKUP(V425,'AMP models AxeFxIII'!$D$2:$H$299,2,FALSE)</f>
        <v>Not Used</v>
      </c>
      <c r="N425" s="45" t="str">
        <f>VLOOKUP(W425,'AMP models AxeFxIII'!$D$2:$H$299,2,FALSE)</f>
        <v>Not Used</v>
      </c>
      <c r="O425" s="45" t="str">
        <f>VLOOKUP(X425,'AMP models AxeFxIII'!$D$2:$H$299,2,FALSE)</f>
        <v>Not Used</v>
      </c>
      <c r="P425" s="45" t="str">
        <f>VLOOKUP(Y425,'AMP models AxeFxIII'!$D$2:$H$299,2,FALSE)</f>
        <v>Not Used</v>
      </c>
      <c r="Q425" s="45" t="str">
        <f>VLOOKUP(Z425,'AMP models AxeFxIII'!$D$2:$H$299,2,FALSE)</f>
        <v>Not Used</v>
      </c>
      <c r="R425" s="4">
        <v>421</v>
      </c>
      <c r="S425" s="46" t="s">
        <v>555</v>
      </c>
      <c r="T425" s="46" t="s">
        <v>555</v>
      </c>
      <c r="U425" s="46" t="s">
        <v>555</v>
      </c>
      <c r="V425" s="46" t="s">
        <v>555</v>
      </c>
      <c r="W425" s="46" t="s">
        <v>555</v>
      </c>
      <c r="X425" s="46" t="s">
        <v>555</v>
      </c>
      <c r="Y425" s="46" t="s">
        <v>555</v>
      </c>
      <c r="Z425" s="46" t="s">
        <v>555</v>
      </c>
    </row>
    <row r="426" spans="1:26">
      <c r="A426" s="41">
        <f>preset_Names!A426</f>
        <v>422</v>
      </c>
      <c r="B426" t="str">
        <f t="shared" si="19"/>
        <v xml:space="preserve">strcpy(AMP1_A,("Not Used")); strcpy(AMP1_B,("Not Used")); strcpy(AMP1_C,("Not Used")); strcpy(AMP1_D,("Not Used")); </v>
      </c>
      <c r="C426" t="str">
        <f t="shared" si="20"/>
        <v xml:space="preserve">strcpy(AMP2_A,("Not Used")); strcpy(AMP2_B,("Not Used")); strcpy(AMP2_C,("Not Used")); strcpy(AMP2_D,("Not Used")); </v>
      </c>
      <c r="D426" s="31" t="s">
        <v>893</v>
      </c>
      <c r="E426" s="42" t="str">
        <f t="shared" si="18"/>
        <v>case 422: strcpy(AMP1_A,("Not Used")); strcpy(AMP1_B,("Not Used")); strcpy(AMP1_C,("Not Used")); strcpy(AMP1_D,("Not Used")); strcpy(AMP2_A,("Not Used")); strcpy(AMP2_B,("Not Used")); strcpy(AMP2_C,("Not Used")); strcpy(AMP2_D,("Not Used"));  break;</v>
      </c>
      <c r="F426" t="s">
        <v>893</v>
      </c>
      <c r="I426" t="s">
        <v>893</v>
      </c>
      <c r="J426" s="45" t="str">
        <f>VLOOKUP(S426,'AMP models AxeFxIII'!$D$2:$H$299,2,FALSE)</f>
        <v>Not Used</v>
      </c>
      <c r="K426" s="45" t="str">
        <f>VLOOKUP(T426,'AMP models AxeFxIII'!$D$2:$H$299,2,FALSE)</f>
        <v>Not Used</v>
      </c>
      <c r="L426" s="45" t="str">
        <f>VLOOKUP(U426,'AMP models AxeFxIII'!$D$2:$H$299,2,FALSE)</f>
        <v>Not Used</v>
      </c>
      <c r="M426" s="45" t="str">
        <f>VLOOKUP(V426,'AMP models AxeFxIII'!$D$2:$H$299,2,FALSE)</f>
        <v>Not Used</v>
      </c>
      <c r="N426" s="45" t="str">
        <f>VLOOKUP(W426,'AMP models AxeFxIII'!$D$2:$H$299,2,FALSE)</f>
        <v>Not Used</v>
      </c>
      <c r="O426" s="45" t="str">
        <f>VLOOKUP(X426,'AMP models AxeFxIII'!$D$2:$H$299,2,FALSE)</f>
        <v>Not Used</v>
      </c>
      <c r="P426" s="45" t="str">
        <f>VLOOKUP(Y426,'AMP models AxeFxIII'!$D$2:$H$299,2,FALSE)</f>
        <v>Not Used</v>
      </c>
      <c r="Q426" s="45" t="str">
        <f>VLOOKUP(Z426,'AMP models AxeFxIII'!$D$2:$H$299,2,FALSE)</f>
        <v>Not Used</v>
      </c>
      <c r="R426" s="4">
        <v>422</v>
      </c>
      <c r="S426" s="46" t="s">
        <v>555</v>
      </c>
      <c r="T426" s="46" t="s">
        <v>555</v>
      </c>
      <c r="U426" s="46" t="s">
        <v>555</v>
      </c>
      <c r="V426" s="46" t="s">
        <v>555</v>
      </c>
      <c r="W426" s="46" t="s">
        <v>555</v>
      </c>
      <c r="X426" s="46" t="s">
        <v>555</v>
      </c>
      <c r="Y426" s="46" t="s">
        <v>555</v>
      </c>
      <c r="Z426" s="46" t="s">
        <v>555</v>
      </c>
    </row>
    <row r="427" spans="1:26">
      <c r="A427" s="41">
        <f>preset_Names!A427</f>
        <v>423</v>
      </c>
      <c r="B427" t="str">
        <f t="shared" si="19"/>
        <v xml:space="preserve">strcpy(AMP1_A,("Not Used")); strcpy(AMP1_B,("Not Used")); strcpy(AMP1_C,("Not Used")); strcpy(AMP1_D,("Not Used")); </v>
      </c>
      <c r="C427" t="str">
        <f t="shared" si="20"/>
        <v xml:space="preserve">strcpy(AMP2_A,("Not Used")); strcpy(AMP2_B,("Not Used")); strcpy(AMP2_C,("Not Used")); strcpy(AMP2_D,("Not Used")); </v>
      </c>
      <c r="D427" s="31" t="s">
        <v>893</v>
      </c>
      <c r="E427" s="42" t="str">
        <f t="shared" si="18"/>
        <v>case 423: strcpy(AMP1_A,("Not Used")); strcpy(AMP1_B,("Not Used")); strcpy(AMP1_C,("Not Used")); strcpy(AMP1_D,("Not Used")); strcpy(AMP2_A,("Not Used")); strcpy(AMP2_B,("Not Used")); strcpy(AMP2_C,("Not Used")); strcpy(AMP2_D,("Not Used"));  break;</v>
      </c>
      <c r="F427" t="s">
        <v>893</v>
      </c>
      <c r="I427" t="s">
        <v>893</v>
      </c>
      <c r="J427" s="45" t="str">
        <f>VLOOKUP(S427,'AMP models AxeFxIII'!$D$2:$H$299,2,FALSE)</f>
        <v>Not Used</v>
      </c>
      <c r="K427" s="45" t="str">
        <f>VLOOKUP(T427,'AMP models AxeFxIII'!$D$2:$H$299,2,FALSE)</f>
        <v>Not Used</v>
      </c>
      <c r="L427" s="45" t="str">
        <f>VLOOKUP(U427,'AMP models AxeFxIII'!$D$2:$H$299,2,FALSE)</f>
        <v>Not Used</v>
      </c>
      <c r="M427" s="45" t="str">
        <f>VLOOKUP(V427,'AMP models AxeFxIII'!$D$2:$H$299,2,FALSE)</f>
        <v>Not Used</v>
      </c>
      <c r="N427" s="45" t="str">
        <f>VLOOKUP(W427,'AMP models AxeFxIII'!$D$2:$H$299,2,FALSE)</f>
        <v>Not Used</v>
      </c>
      <c r="O427" s="45" t="str">
        <f>VLOOKUP(X427,'AMP models AxeFxIII'!$D$2:$H$299,2,FALSE)</f>
        <v>Not Used</v>
      </c>
      <c r="P427" s="45" t="str">
        <f>VLOOKUP(Y427,'AMP models AxeFxIII'!$D$2:$H$299,2,FALSE)</f>
        <v>Not Used</v>
      </c>
      <c r="Q427" s="45" t="str">
        <f>VLOOKUP(Z427,'AMP models AxeFxIII'!$D$2:$H$299,2,FALSE)</f>
        <v>Not Used</v>
      </c>
      <c r="R427" s="4">
        <v>423</v>
      </c>
      <c r="S427" s="46" t="s">
        <v>555</v>
      </c>
      <c r="T427" s="46" t="s">
        <v>555</v>
      </c>
      <c r="U427" s="46" t="s">
        <v>555</v>
      </c>
      <c r="V427" s="46" t="s">
        <v>555</v>
      </c>
      <c r="W427" s="46" t="s">
        <v>555</v>
      </c>
      <c r="X427" s="46" t="s">
        <v>555</v>
      </c>
      <c r="Y427" s="46" t="s">
        <v>555</v>
      </c>
      <c r="Z427" s="46" t="s">
        <v>555</v>
      </c>
    </row>
    <row r="428" spans="1:26">
      <c r="A428" s="41">
        <f>preset_Names!A428</f>
        <v>424</v>
      </c>
      <c r="B428" t="str">
        <f t="shared" si="19"/>
        <v xml:space="preserve">strcpy(AMP1_A,("Not Used")); strcpy(AMP1_B,("Not Used")); strcpy(AMP1_C,("Not Used")); strcpy(AMP1_D,("Not Used")); </v>
      </c>
      <c r="C428" t="str">
        <f t="shared" si="20"/>
        <v xml:space="preserve">strcpy(AMP2_A,("Not Used")); strcpy(AMP2_B,("Not Used")); strcpy(AMP2_C,("Not Used")); strcpy(AMP2_D,("Not Used")); </v>
      </c>
      <c r="D428" s="31" t="s">
        <v>893</v>
      </c>
      <c r="E428" s="42" t="str">
        <f t="shared" si="18"/>
        <v>case 424: strcpy(AMP1_A,("Not Used")); strcpy(AMP1_B,("Not Used")); strcpy(AMP1_C,("Not Used")); strcpy(AMP1_D,("Not Used")); strcpy(AMP2_A,("Not Used")); strcpy(AMP2_B,("Not Used")); strcpy(AMP2_C,("Not Used")); strcpy(AMP2_D,("Not Used"));  break;</v>
      </c>
      <c r="F428" t="s">
        <v>893</v>
      </c>
      <c r="I428" t="s">
        <v>893</v>
      </c>
      <c r="J428" s="45" t="str">
        <f>VLOOKUP(S428,'AMP models AxeFxIII'!$D$2:$H$299,2,FALSE)</f>
        <v>Not Used</v>
      </c>
      <c r="K428" s="45" t="str">
        <f>VLOOKUP(T428,'AMP models AxeFxIII'!$D$2:$H$299,2,FALSE)</f>
        <v>Not Used</v>
      </c>
      <c r="L428" s="45" t="str">
        <f>VLOOKUP(U428,'AMP models AxeFxIII'!$D$2:$H$299,2,FALSE)</f>
        <v>Not Used</v>
      </c>
      <c r="M428" s="45" t="str">
        <f>VLOOKUP(V428,'AMP models AxeFxIII'!$D$2:$H$299,2,FALSE)</f>
        <v>Not Used</v>
      </c>
      <c r="N428" s="45" t="str">
        <f>VLOOKUP(W428,'AMP models AxeFxIII'!$D$2:$H$299,2,FALSE)</f>
        <v>Not Used</v>
      </c>
      <c r="O428" s="45" t="str">
        <f>VLOOKUP(X428,'AMP models AxeFxIII'!$D$2:$H$299,2,FALSE)</f>
        <v>Not Used</v>
      </c>
      <c r="P428" s="45" t="str">
        <f>VLOOKUP(Y428,'AMP models AxeFxIII'!$D$2:$H$299,2,FALSE)</f>
        <v>Not Used</v>
      </c>
      <c r="Q428" s="45" t="str">
        <f>VLOOKUP(Z428,'AMP models AxeFxIII'!$D$2:$H$299,2,FALSE)</f>
        <v>Not Used</v>
      </c>
      <c r="R428" s="4">
        <v>424</v>
      </c>
      <c r="S428" s="46" t="s">
        <v>555</v>
      </c>
      <c r="T428" s="46" t="s">
        <v>555</v>
      </c>
      <c r="U428" s="46" t="s">
        <v>555</v>
      </c>
      <c r="V428" s="46" t="s">
        <v>555</v>
      </c>
      <c r="W428" s="46" t="s">
        <v>555</v>
      </c>
      <c r="X428" s="46" t="s">
        <v>555</v>
      </c>
      <c r="Y428" s="46" t="s">
        <v>555</v>
      </c>
      <c r="Z428" s="46" t="s">
        <v>555</v>
      </c>
    </row>
    <row r="429" spans="1:26">
      <c r="A429" s="41">
        <f>preset_Names!A429</f>
        <v>425</v>
      </c>
      <c r="B429" t="str">
        <f t="shared" si="19"/>
        <v xml:space="preserve">strcpy(AMP1_A,("Not Used")); strcpy(AMP1_B,("Not Used")); strcpy(AMP1_C,("Not Used")); strcpy(AMP1_D,("Not Used")); </v>
      </c>
      <c r="C429" t="str">
        <f t="shared" si="20"/>
        <v xml:space="preserve">strcpy(AMP2_A,("Not Used")); strcpy(AMP2_B,("Not Used")); strcpy(AMP2_C,("Not Used")); strcpy(AMP2_D,("Not Used")); </v>
      </c>
      <c r="D429" s="31" t="s">
        <v>893</v>
      </c>
      <c r="E429" s="42" t="str">
        <f t="shared" si="18"/>
        <v>case 425: strcpy(AMP1_A,("Not Used")); strcpy(AMP1_B,("Not Used")); strcpy(AMP1_C,("Not Used")); strcpy(AMP1_D,("Not Used")); strcpy(AMP2_A,("Not Used")); strcpy(AMP2_B,("Not Used")); strcpy(AMP2_C,("Not Used")); strcpy(AMP2_D,("Not Used"));  break;</v>
      </c>
      <c r="F429" t="s">
        <v>893</v>
      </c>
      <c r="I429" t="s">
        <v>893</v>
      </c>
      <c r="J429" s="45" t="str">
        <f>VLOOKUP(S429,'AMP models AxeFxIII'!$D$2:$H$299,2,FALSE)</f>
        <v>Not Used</v>
      </c>
      <c r="K429" s="45" t="str">
        <f>VLOOKUP(T429,'AMP models AxeFxIII'!$D$2:$H$299,2,FALSE)</f>
        <v>Not Used</v>
      </c>
      <c r="L429" s="45" t="str">
        <f>VLOOKUP(U429,'AMP models AxeFxIII'!$D$2:$H$299,2,FALSE)</f>
        <v>Not Used</v>
      </c>
      <c r="M429" s="45" t="str">
        <f>VLOOKUP(V429,'AMP models AxeFxIII'!$D$2:$H$299,2,FALSE)</f>
        <v>Not Used</v>
      </c>
      <c r="N429" s="45" t="str">
        <f>VLOOKUP(W429,'AMP models AxeFxIII'!$D$2:$H$299,2,FALSE)</f>
        <v>Not Used</v>
      </c>
      <c r="O429" s="45" t="str">
        <f>VLOOKUP(X429,'AMP models AxeFxIII'!$D$2:$H$299,2,FALSE)</f>
        <v>Not Used</v>
      </c>
      <c r="P429" s="45" t="str">
        <f>VLOOKUP(Y429,'AMP models AxeFxIII'!$D$2:$H$299,2,FALSE)</f>
        <v>Not Used</v>
      </c>
      <c r="Q429" s="45" t="str">
        <f>VLOOKUP(Z429,'AMP models AxeFxIII'!$D$2:$H$299,2,FALSE)</f>
        <v>Not Used</v>
      </c>
      <c r="R429" s="4">
        <v>425</v>
      </c>
      <c r="S429" s="46" t="s">
        <v>555</v>
      </c>
      <c r="T429" s="46" t="s">
        <v>555</v>
      </c>
      <c r="U429" s="46" t="s">
        <v>555</v>
      </c>
      <c r="V429" s="46" t="s">
        <v>555</v>
      </c>
      <c r="W429" s="46" t="s">
        <v>555</v>
      </c>
      <c r="X429" s="46" t="s">
        <v>555</v>
      </c>
      <c r="Y429" s="46" t="s">
        <v>555</v>
      </c>
      <c r="Z429" s="46" t="s">
        <v>555</v>
      </c>
    </row>
    <row r="430" spans="1:26">
      <c r="A430" s="41">
        <f>preset_Names!A430</f>
        <v>426</v>
      </c>
      <c r="B430" t="str">
        <f t="shared" si="19"/>
        <v xml:space="preserve">strcpy(AMP1_A,("Not Used")); strcpy(AMP1_B,("Not Used")); strcpy(AMP1_C,("Not Used")); strcpy(AMP1_D,("Not Used")); </v>
      </c>
      <c r="C430" t="str">
        <f t="shared" si="20"/>
        <v xml:space="preserve">strcpy(AMP2_A,("Not Used")); strcpy(AMP2_B,("Not Used")); strcpy(AMP2_C,("Not Used")); strcpy(AMP2_D,("Not Used")); </v>
      </c>
      <c r="D430" s="31" t="s">
        <v>893</v>
      </c>
      <c r="E430" s="42" t="str">
        <f t="shared" si="18"/>
        <v>case 426: strcpy(AMP1_A,("Not Used")); strcpy(AMP1_B,("Not Used")); strcpy(AMP1_C,("Not Used")); strcpy(AMP1_D,("Not Used")); strcpy(AMP2_A,("Not Used")); strcpy(AMP2_B,("Not Used")); strcpy(AMP2_C,("Not Used")); strcpy(AMP2_D,("Not Used"));  break;</v>
      </c>
      <c r="F430" t="s">
        <v>893</v>
      </c>
      <c r="I430" t="s">
        <v>893</v>
      </c>
      <c r="J430" s="45" t="str">
        <f>VLOOKUP(S430,'AMP models AxeFxIII'!$D$2:$H$299,2,FALSE)</f>
        <v>Not Used</v>
      </c>
      <c r="K430" s="45" t="str">
        <f>VLOOKUP(T430,'AMP models AxeFxIII'!$D$2:$H$299,2,FALSE)</f>
        <v>Not Used</v>
      </c>
      <c r="L430" s="45" t="str">
        <f>VLOOKUP(U430,'AMP models AxeFxIII'!$D$2:$H$299,2,FALSE)</f>
        <v>Not Used</v>
      </c>
      <c r="M430" s="45" t="str">
        <f>VLOOKUP(V430,'AMP models AxeFxIII'!$D$2:$H$299,2,FALSE)</f>
        <v>Not Used</v>
      </c>
      <c r="N430" s="45" t="str">
        <f>VLOOKUP(W430,'AMP models AxeFxIII'!$D$2:$H$299,2,FALSE)</f>
        <v>Not Used</v>
      </c>
      <c r="O430" s="45" t="str">
        <f>VLOOKUP(X430,'AMP models AxeFxIII'!$D$2:$H$299,2,FALSE)</f>
        <v>Not Used</v>
      </c>
      <c r="P430" s="45" t="str">
        <f>VLOOKUP(Y430,'AMP models AxeFxIII'!$D$2:$H$299,2,FALSE)</f>
        <v>Not Used</v>
      </c>
      <c r="Q430" s="45" t="str">
        <f>VLOOKUP(Z430,'AMP models AxeFxIII'!$D$2:$H$299,2,FALSE)</f>
        <v>Not Used</v>
      </c>
      <c r="R430" s="4">
        <v>426</v>
      </c>
      <c r="S430" s="46" t="s">
        <v>555</v>
      </c>
      <c r="T430" s="46" t="s">
        <v>555</v>
      </c>
      <c r="U430" s="46" t="s">
        <v>555</v>
      </c>
      <c r="V430" s="46" t="s">
        <v>555</v>
      </c>
      <c r="W430" s="46" t="s">
        <v>555</v>
      </c>
      <c r="X430" s="46" t="s">
        <v>555</v>
      </c>
      <c r="Y430" s="46" t="s">
        <v>555</v>
      </c>
      <c r="Z430" s="46" t="s">
        <v>555</v>
      </c>
    </row>
    <row r="431" spans="1:26">
      <c r="A431" s="41">
        <f>preset_Names!A431</f>
        <v>427</v>
      </c>
      <c r="B431" t="str">
        <f t="shared" si="19"/>
        <v xml:space="preserve">strcpy(AMP1_A,("Not Used")); strcpy(AMP1_B,("Not Used")); strcpy(AMP1_C,("Not Used")); strcpy(AMP1_D,("Not Used")); </v>
      </c>
      <c r="C431" t="str">
        <f t="shared" si="20"/>
        <v xml:space="preserve">strcpy(AMP2_A,("Not Used")); strcpy(AMP2_B,("Not Used")); strcpy(AMP2_C,("Not Used")); strcpy(AMP2_D,("Not Used")); </v>
      </c>
      <c r="D431" s="31" t="s">
        <v>893</v>
      </c>
      <c r="E431" s="42" t="str">
        <f t="shared" si="18"/>
        <v>case 427: strcpy(AMP1_A,("Not Used")); strcpy(AMP1_B,("Not Used")); strcpy(AMP1_C,("Not Used")); strcpy(AMP1_D,("Not Used")); strcpy(AMP2_A,("Not Used")); strcpy(AMP2_B,("Not Used")); strcpy(AMP2_C,("Not Used")); strcpy(AMP2_D,("Not Used"));  break;</v>
      </c>
      <c r="F431" t="s">
        <v>893</v>
      </c>
      <c r="I431" t="s">
        <v>893</v>
      </c>
      <c r="J431" s="45" t="str">
        <f>VLOOKUP(S431,'AMP models AxeFxIII'!$D$2:$H$299,2,FALSE)</f>
        <v>Not Used</v>
      </c>
      <c r="K431" s="45" t="str">
        <f>VLOOKUP(T431,'AMP models AxeFxIII'!$D$2:$H$299,2,FALSE)</f>
        <v>Not Used</v>
      </c>
      <c r="L431" s="45" t="str">
        <f>VLOOKUP(U431,'AMP models AxeFxIII'!$D$2:$H$299,2,FALSE)</f>
        <v>Not Used</v>
      </c>
      <c r="M431" s="45" t="str">
        <f>VLOOKUP(V431,'AMP models AxeFxIII'!$D$2:$H$299,2,FALSE)</f>
        <v>Not Used</v>
      </c>
      <c r="N431" s="45" t="str">
        <f>VLOOKUP(W431,'AMP models AxeFxIII'!$D$2:$H$299,2,FALSE)</f>
        <v>Not Used</v>
      </c>
      <c r="O431" s="45" t="str">
        <f>VLOOKUP(X431,'AMP models AxeFxIII'!$D$2:$H$299,2,FALSE)</f>
        <v>Not Used</v>
      </c>
      <c r="P431" s="45" t="str">
        <f>VLOOKUP(Y431,'AMP models AxeFxIII'!$D$2:$H$299,2,FALSE)</f>
        <v>Not Used</v>
      </c>
      <c r="Q431" s="45" t="str">
        <f>VLOOKUP(Z431,'AMP models AxeFxIII'!$D$2:$H$299,2,FALSE)</f>
        <v>Not Used</v>
      </c>
      <c r="R431" s="4">
        <v>427</v>
      </c>
      <c r="S431" s="46" t="s">
        <v>555</v>
      </c>
      <c r="T431" s="46" t="s">
        <v>555</v>
      </c>
      <c r="U431" s="46" t="s">
        <v>555</v>
      </c>
      <c r="V431" s="46" t="s">
        <v>555</v>
      </c>
      <c r="W431" s="46" t="s">
        <v>555</v>
      </c>
      <c r="X431" s="46" t="s">
        <v>555</v>
      </c>
      <c r="Y431" s="46" t="s">
        <v>555</v>
      </c>
      <c r="Z431" s="46" t="s">
        <v>555</v>
      </c>
    </row>
    <row r="432" spans="1:26">
      <c r="A432" s="41">
        <f>preset_Names!A432</f>
        <v>428</v>
      </c>
      <c r="B432" t="str">
        <f t="shared" si="19"/>
        <v xml:space="preserve">strcpy(AMP1_A,("Not Used")); strcpy(AMP1_B,("Not Used")); strcpy(AMP1_C,("Not Used")); strcpy(AMP1_D,("Not Used")); </v>
      </c>
      <c r="C432" t="str">
        <f t="shared" si="20"/>
        <v xml:space="preserve">strcpy(AMP2_A,("Not Used")); strcpy(AMP2_B,("Not Used")); strcpy(AMP2_C,("Not Used")); strcpy(AMP2_D,("Not Used")); </v>
      </c>
      <c r="D432" s="31" t="s">
        <v>893</v>
      </c>
      <c r="E432" s="42" t="str">
        <f t="shared" si="18"/>
        <v>case 428: strcpy(AMP1_A,("Not Used")); strcpy(AMP1_B,("Not Used")); strcpy(AMP1_C,("Not Used")); strcpy(AMP1_D,("Not Used")); strcpy(AMP2_A,("Not Used")); strcpy(AMP2_B,("Not Used")); strcpy(AMP2_C,("Not Used")); strcpy(AMP2_D,("Not Used"));  break;</v>
      </c>
      <c r="F432" t="s">
        <v>893</v>
      </c>
      <c r="I432" t="s">
        <v>893</v>
      </c>
      <c r="J432" s="45" t="str">
        <f>VLOOKUP(S432,'AMP models AxeFxIII'!$D$2:$H$299,2,FALSE)</f>
        <v>Not Used</v>
      </c>
      <c r="K432" s="45" t="str">
        <f>VLOOKUP(T432,'AMP models AxeFxIII'!$D$2:$H$299,2,FALSE)</f>
        <v>Not Used</v>
      </c>
      <c r="L432" s="45" t="str">
        <f>VLOOKUP(U432,'AMP models AxeFxIII'!$D$2:$H$299,2,FALSE)</f>
        <v>Not Used</v>
      </c>
      <c r="M432" s="45" t="str">
        <f>VLOOKUP(V432,'AMP models AxeFxIII'!$D$2:$H$299,2,FALSE)</f>
        <v>Not Used</v>
      </c>
      <c r="N432" s="45" t="str">
        <f>VLOOKUP(W432,'AMP models AxeFxIII'!$D$2:$H$299,2,FALSE)</f>
        <v>Not Used</v>
      </c>
      <c r="O432" s="45" t="str">
        <f>VLOOKUP(X432,'AMP models AxeFxIII'!$D$2:$H$299,2,FALSE)</f>
        <v>Not Used</v>
      </c>
      <c r="P432" s="45" t="str">
        <f>VLOOKUP(Y432,'AMP models AxeFxIII'!$D$2:$H$299,2,FALSE)</f>
        <v>Not Used</v>
      </c>
      <c r="Q432" s="45" t="str">
        <f>VLOOKUP(Z432,'AMP models AxeFxIII'!$D$2:$H$299,2,FALSE)</f>
        <v>Not Used</v>
      </c>
      <c r="R432" s="4">
        <v>428</v>
      </c>
      <c r="S432" s="46" t="s">
        <v>555</v>
      </c>
      <c r="T432" s="46" t="s">
        <v>555</v>
      </c>
      <c r="U432" s="46" t="s">
        <v>555</v>
      </c>
      <c r="V432" s="46" t="s">
        <v>555</v>
      </c>
      <c r="W432" s="46" t="s">
        <v>555</v>
      </c>
      <c r="X432" s="46" t="s">
        <v>555</v>
      </c>
      <c r="Y432" s="46" t="s">
        <v>555</v>
      </c>
      <c r="Z432" s="46" t="s">
        <v>555</v>
      </c>
    </row>
    <row r="433" spans="1:26">
      <c r="A433" s="41">
        <f>preset_Names!A433</f>
        <v>429</v>
      </c>
      <c r="B433" t="str">
        <f t="shared" si="19"/>
        <v xml:space="preserve">strcpy(AMP1_A,("Not Used")); strcpy(AMP1_B,("Not Used")); strcpy(AMP1_C,("Not Used")); strcpy(AMP1_D,("Not Used")); </v>
      </c>
      <c r="C433" t="str">
        <f t="shared" si="20"/>
        <v xml:space="preserve">strcpy(AMP2_A,("Not Used")); strcpy(AMP2_B,("Not Used")); strcpy(AMP2_C,("Not Used")); strcpy(AMP2_D,("Not Used")); </v>
      </c>
      <c r="D433" s="31" t="s">
        <v>893</v>
      </c>
      <c r="E433" s="42" t="str">
        <f t="shared" si="18"/>
        <v>case 429: strcpy(AMP1_A,("Not Used")); strcpy(AMP1_B,("Not Used")); strcpy(AMP1_C,("Not Used")); strcpy(AMP1_D,("Not Used")); strcpy(AMP2_A,("Not Used")); strcpy(AMP2_B,("Not Used")); strcpy(AMP2_C,("Not Used")); strcpy(AMP2_D,("Not Used"));  break;</v>
      </c>
      <c r="F433" t="s">
        <v>893</v>
      </c>
      <c r="I433" t="s">
        <v>893</v>
      </c>
      <c r="J433" s="45" t="str">
        <f>VLOOKUP(S433,'AMP models AxeFxIII'!$D$2:$H$299,2,FALSE)</f>
        <v>Not Used</v>
      </c>
      <c r="K433" s="45" t="str">
        <f>VLOOKUP(T433,'AMP models AxeFxIII'!$D$2:$H$299,2,FALSE)</f>
        <v>Not Used</v>
      </c>
      <c r="L433" s="45" t="str">
        <f>VLOOKUP(U433,'AMP models AxeFxIII'!$D$2:$H$299,2,FALSE)</f>
        <v>Not Used</v>
      </c>
      <c r="M433" s="45" t="str">
        <f>VLOOKUP(V433,'AMP models AxeFxIII'!$D$2:$H$299,2,FALSE)</f>
        <v>Not Used</v>
      </c>
      <c r="N433" s="45" t="str">
        <f>VLOOKUP(W433,'AMP models AxeFxIII'!$D$2:$H$299,2,FALSE)</f>
        <v>Not Used</v>
      </c>
      <c r="O433" s="45" t="str">
        <f>VLOOKUP(X433,'AMP models AxeFxIII'!$D$2:$H$299,2,FALSE)</f>
        <v>Not Used</v>
      </c>
      <c r="P433" s="45" t="str">
        <f>VLOOKUP(Y433,'AMP models AxeFxIII'!$D$2:$H$299,2,FALSE)</f>
        <v>Not Used</v>
      </c>
      <c r="Q433" s="45" t="str">
        <f>VLOOKUP(Z433,'AMP models AxeFxIII'!$D$2:$H$299,2,FALSE)</f>
        <v>Not Used</v>
      </c>
      <c r="R433" s="4">
        <v>429</v>
      </c>
      <c r="S433" s="46" t="s">
        <v>555</v>
      </c>
      <c r="T433" s="46" t="s">
        <v>555</v>
      </c>
      <c r="U433" s="46" t="s">
        <v>555</v>
      </c>
      <c r="V433" s="46" t="s">
        <v>555</v>
      </c>
      <c r="W433" s="46" t="s">
        <v>555</v>
      </c>
      <c r="X433" s="46" t="s">
        <v>555</v>
      </c>
      <c r="Y433" s="46" t="s">
        <v>555</v>
      </c>
      <c r="Z433" s="46" t="s">
        <v>555</v>
      </c>
    </row>
    <row r="434" spans="1:26">
      <c r="A434" s="41">
        <f>preset_Names!A434</f>
        <v>430</v>
      </c>
      <c r="B434" t="str">
        <f t="shared" si="19"/>
        <v xml:space="preserve">strcpy(AMP1_A,("Not Used")); strcpy(AMP1_B,("Not Used")); strcpy(AMP1_C,("Not Used")); strcpy(AMP1_D,("Not Used")); </v>
      </c>
      <c r="C434" t="str">
        <f t="shared" si="20"/>
        <v xml:space="preserve">strcpy(AMP2_A,("Not Used")); strcpy(AMP2_B,("Not Used")); strcpy(AMP2_C,("Not Used")); strcpy(AMP2_D,("Not Used")); </v>
      </c>
      <c r="D434" s="31" t="s">
        <v>893</v>
      </c>
      <c r="E434" s="42" t="str">
        <f t="shared" si="18"/>
        <v>case 430: strcpy(AMP1_A,("Not Used")); strcpy(AMP1_B,("Not Used")); strcpy(AMP1_C,("Not Used")); strcpy(AMP1_D,("Not Used")); strcpy(AMP2_A,("Not Used")); strcpy(AMP2_B,("Not Used")); strcpy(AMP2_C,("Not Used")); strcpy(AMP2_D,("Not Used"));  break;</v>
      </c>
      <c r="F434" t="s">
        <v>893</v>
      </c>
      <c r="I434" t="s">
        <v>893</v>
      </c>
      <c r="J434" s="45" t="str">
        <f>VLOOKUP(S434,'AMP models AxeFxIII'!$D$2:$H$299,2,FALSE)</f>
        <v>Not Used</v>
      </c>
      <c r="K434" s="45" t="str">
        <f>VLOOKUP(T434,'AMP models AxeFxIII'!$D$2:$H$299,2,FALSE)</f>
        <v>Not Used</v>
      </c>
      <c r="L434" s="45" t="str">
        <f>VLOOKUP(U434,'AMP models AxeFxIII'!$D$2:$H$299,2,FALSE)</f>
        <v>Not Used</v>
      </c>
      <c r="M434" s="45" t="str">
        <f>VLOOKUP(V434,'AMP models AxeFxIII'!$D$2:$H$299,2,FALSE)</f>
        <v>Not Used</v>
      </c>
      <c r="N434" s="45" t="str">
        <f>VLOOKUP(W434,'AMP models AxeFxIII'!$D$2:$H$299,2,FALSE)</f>
        <v>Not Used</v>
      </c>
      <c r="O434" s="45" t="str">
        <f>VLOOKUP(X434,'AMP models AxeFxIII'!$D$2:$H$299,2,FALSE)</f>
        <v>Not Used</v>
      </c>
      <c r="P434" s="45" t="str">
        <f>VLOOKUP(Y434,'AMP models AxeFxIII'!$D$2:$H$299,2,FALSE)</f>
        <v>Not Used</v>
      </c>
      <c r="Q434" s="45" t="str">
        <f>VLOOKUP(Z434,'AMP models AxeFxIII'!$D$2:$H$299,2,FALSE)</f>
        <v>Not Used</v>
      </c>
      <c r="R434" s="4">
        <v>430</v>
      </c>
      <c r="S434" s="46" t="s">
        <v>555</v>
      </c>
      <c r="T434" s="46" t="s">
        <v>555</v>
      </c>
      <c r="U434" s="46" t="s">
        <v>555</v>
      </c>
      <c r="V434" s="46" t="s">
        <v>555</v>
      </c>
      <c r="W434" s="46" t="s">
        <v>555</v>
      </c>
      <c r="X434" s="46" t="s">
        <v>555</v>
      </c>
      <c r="Y434" s="46" t="s">
        <v>555</v>
      </c>
      <c r="Z434" s="46" t="s">
        <v>555</v>
      </c>
    </row>
    <row r="435" spans="1:26">
      <c r="A435" s="41">
        <f>preset_Names!A435</f>
        <v>431</v>
      </c>
      <c r="B435" t="str">
        <f t="shared" si="19"/>
        <v xml:space="preserve">strcpy(AMP1_A,("Not Used")); strcpy(AMP1_B,("Not Used")); strcpy(AMP1_C,("Not Used")); strcpy(AMP1_D,("Not Used")); </v>
      </c>
      <c r="C435" t="str">
        <f t="shared" si="20"/>
        <v xml:space="preserve">strcpy(AMP2_A,("Not Used")); strcpy(AMP2_B,("Not Used")); strcpy(AMP2_C,("Not Used")); strcpy(AMP2_D,("Not Used")); </v>
      </c>
      <c r="D435" s="31" t="s">
        <v>893</v>
      </c>
      <c r="E435" s="42" t="str">
        <f t="shared" si="18"/>
        <v>case 431: strcpy(AMP1_A,("Not Used")); strcpy(AMP1_B,("Not Used")); strcpy(AMP1_C,("Not Used")); strcpy(AMP1_D,("Not Used")); strcpy(AMP2_A,("Not Used")); strcpy(AMP2_B,("Not Used")); strcpy(AMP2_C,("Not Used")); strcpy(AMP2_D,("Not Used"));  break;</v>
      </c>
      <c r="F435" t="s">
        <v>893</v>
      </c>
      <c r="I435" t="s">
        <v>893</v>
      </c>
      <c r="J435" s="45" t="str">
        <f>VLOOKUP(S435,'AMP models AxeFxIII'!$D$2:$H$299,2,FALSE)</f>
        <v>Not Used</v>
      </c>
      <c r="K435" s="45" t="str">
        <f>VLOOKUP(T435,'AMP models AxeFxIII'!$D$2:$H$299,2,FALSE)</f>
        <v>Not Used</v>
      </c>
      <c r="L435" s="45" t="str">
        <f>VLOOKUP(U435,'AMP models AxeFxIII'!$D$2:$H$299,2,FALSE)</f>
        <v>Not Used</v>
      </c>
      <c r="M435" s="45" t="str">
        <f>VLOOKUP(V435,'AMP models AxeFxIII'!$D$2:$H$299,2,FALSE)</f>
        <v>Not Used</v>
      </c>
      <c r="N435" s="45" t="str">
        <f>VLOOKUP(W435,'AMP models AxeFxIII'!$D$2:$H$299,2,FALSE)</f>
        <v>Not Used</v>
      </c>
      <c r="O435" s="45" t="str">
        <f>VLOOKUP(X435,'AMP models AxeFxIII'!$D$2:$H$299,2,FALSE)</f>
        <v>Not Used</v>
      </c>
      <c r="P435" s="45" t="str">
        <f>VLOOKUP(Y435,'AMP models AxeFxIII'!$D$2:$H$299,2,FALSE)</f>
        <v>Not Used</v>
      </c>
      <c r="Q435" s="45" t="str">
        <f>VLOOKUP(Z435,'AMP models AxeFxIII'!$D$2:$H$299,2,FALSE)</f>
        <v>Not Used</v>
      </c>
      <c r="R435" s="4">
        <v>431</v>
      </c>
      <c r="S435" s="46" t="s">
        <v>555</v>
      </c>
      <c r="T435" s="46" t="s">
        <v>555</v>
      </c>
      <c r="U435" s="46" t="s">
        <v>555</v>
      </c>
      <c r="V435" s="46" t="s">
        <v>555</v>
      </c>
      <c r="W435" s="46" t="s">
        <v>555</v>
      </c>
      <c r="X435" s="46" t="s">
        <v>555</v>
      </c>
      <c r="Y435" s="46" t="s">
        <v>555</v>
      </c>
      <c r="Z435" s="46" t="s">
        <v>555</v>
      </c>
    </row>
    <row r="436" spans="1:26">
      <c r="A436" s="41">
        <f>preset_Names!A436</f>
        <v>432</v>
      </c>
      <c r="B436" t="str">
        <f t="shared" si="19"/>
        <v xml:space="preserve">strcpy(AMP1_A,("Not Used")); strcpy(AMP1_B,("Not Used")); strcpy(AMP1_C,("Not Used")); strcpy(AMP1_D,("Not Used")); </v>
      </c>
      <c r="C436" t="str">
        <f t="shared" si="20"/>
        <v xml:space="preserve">strcpy(AMP2_A,("Not Used")); strcpy(AMP2_B,("Not Used")); strcpy(AMP2_C,("Not Used")); strcpy(AMP2_D,("Not Used")); </v>
      </c>
      <c r="D436" s="31" t="s">
        <v>893</v>
      </c>
      <c r="E436" s="42" t="str">
        <f t="shared" si="18"/>
        <v>case 432: strcpy(AMP1_A,("Not Used")); strcpy(AMP1_B,("Not Used")); strcpy(AMP1_C,("Not Used")); strcpy(AMP1_D,("Not Used")); strcpy(AMP2_A,("Not Used")); strcpy(AMP2_B,("Not Used")); strcpy(AMP2_C,("Not Used")); strcpy(AMP2_D,("Not Used"));  break;</v>
      </c>
      <c r="F436" t="s">
        <v>893</v>
      </c>
      <c r="I436" t="s">
        <v>893</v>
      </c>
      <c r="J436" s="45" t="str">
        <f>VLOOKUP(S436,'AMP models AxeFxIII'!$D$2:$H$299,2,FALSE)</f>
        <v>Not Used</v>
      </c>
      <c r="K436" s="45" t="str">
        <f>VLOOKUP(T436,'AMP models AxeFxIII'!$D$2:$H$299,2,FALSE)</f>
        <v>Not Used</v>
      </c>
      <c r="L436" s="45" t="str">
        <f>VLOOKUP(U436,'AMP models AxeFxIII'!$D$2:$H$299,2,FALSE)</f>
        <v>Not Used</v>
      </c>
      <c r="M436" s="45" t="str">
        <f>VLOOKUP(V436,'AMP models AxeFxIII'!$D$2:$H$299,2,FALSE)</f>
        <v>Not Used</v>
      </c>
      <c r="N436" s="45" t="str">
        <f>VLOOKUP(W436,'AMP models AxeFxIII'!$D$2:$H$299,2,FALSE)</f>
        <v>Not Used</v>
      </c>
      <c r="O436" s="45" t="str">
        <f>VLOOKUP(X436,'AMP models AxeFxIII'!$D$2:$H$299,2,FALSE)</f>
        <v>Not Used</v>
      </c>
      <c r="P436" s="45" t="str">
        <f>VLOOKUP(Y436,'AMP models AxeFxIII'!$D$2:$H$299,2,FALSE)</f>
        <v>Not Used</v>
      </c>
      <c r="Q436" s="45" t="str">
        <f>VLOOKUP(Z436,'AMP models AxeFxIII'!$D$2:$H$299,2,FALSE)</f>
        <v>Not Used</v>
      </c>
      <c r="R436" s="4">
        <v>432</v>
      </c>
      <c r="S436" s="46" t="s">
        <v>555</v>
      </c>
      <c r="T436" s="46" t="s">
        <v>555</v>
      </c>
      <c r="U436" s="46" t="s">
        <v>555</v>
      </c>
      <c r="V436" s="46" t="s">
        <v>555</v>
      </c>
      <c r="W436" s="46" t="s">
        <v>555</v>
      </c>
      <c r="X436" s="46" t="s">
        <v>555</v>
      </c>
      <c r="Y436" s="46" t="s">
        <v>555</v>
      </c>
      <c r="Z436" s="46" t="s">
        <v>555</v>
      </c>
    </row>
    <row r="437" spans="1:26">
      <c r="A437" s="41">
        <f>preset_Names!A437</f>
        <v>433</v>
      </c>
      <c r="B437" t="str">
        <f t="shared" si="19"/>
        <v xml:space="preserve">strcpy(AMP1_A,("Not Used")); strcpy(AMP1_B,("Not Used")); strcpy(AMP1_C,("Not Used")); strcpy(AMP1_D,("Not Used")); </v>
      </c>
      <c r="C437" t="str">
        <f t="shared" si="20"/>
        <v xml:space="preserve">strcpy(AMP2_A,("Not Used")); strcpy(AMP2_B,("Not Used")); strcpy(AMP2_C,("Not Used")); strcpy(AMP2_D,("Not Used")); </v>
      </c>
      <c r="D437" s="31" t="s">
        <v>893</v>
      </c>
      <c r="E437" s="42" t="str">
        <f t="shared" si="18"/>
        <v>case 433: strcpy(AMP1_A,("Not Used")); strcpy(AMP1_B,("Not Used")); strcpy(AMP1_C,("Not Used")); strcpy(AMP1_D,("Not Used")); strcpy(AMP2_A,("Not Used")); strcpy(AMP2_B,("Not Used")); strcpy(AMP2_C,("Not Used")); strcpy(AMP2_D,("Not Used"));  break;</v>
      </c>
      <c r="F437" t="s">
        <v>893</v>
      </c>
      <c r="I437" t="s">
        <v>893</v>
      </c>
      <c r="J437" s="45" t="str">
        <f>VLOOKUP(S437,'AMP models AxeFxIII'!$D$2:$H$299,2,FALSE)</f>
        <v>Not Used</v>
      </c>
      <c r="K437" s="45" t="str">
        <f>VLOOKUP(T437,'AMP models AxeFxIII'!$D$2:$H$299,2,FALSE)</f>
        <v>Not Used</v>
      </c>
      <c r="L437" s="45" t="str">
        <f>VLOOKUP(U437,'AMP models AxeFxIII'!$D$2:$H$299,2,FALSE)</f>
        <v>Not Used</v>
      </c>
      <c r="M437" s="45" t="str">
        <f>VLOOKUP(V437,'AMP models AxeFxIII'!$D$2:$H$299,2,FALSE)</f>
        <v>Not Used</v>
      </c>
      <c r="N437" s="45" t="str">
        <f>VLOOKUP(W437,'AMP models AxeFxIII'!$D$2:$H$299,2,FALSE)</f>
        <v>Not Used</v>
      </c>
      <c r="O437" s="45" t="str">
        <f>VLOOKUP(X437,'AMP models AxeFxIII'!$D$2:$H$299,2,FALSE)</f>
        <v>Not Used</v>
      </c>
      <c r="P437" s="45" t="str">
        <f>VLOOKUP(Y437,'AMP models AxeFxIII'!$D$2:$H$299,2,FALSE)</f>
        <v>Not Used</v>
      </c>
      <c r="Q437" s="45" t="str">
        <f>VLOOKUP(Z437,'AMP models AxeFxIII'!$D$2:$H$299,2,FALSE)</f>
        <v>Not Used</v>
      </c>
      <c r="R437" s="4">
        <v>433</v>
      </c>
      <c r="S437" s="46" t="s">
        <v>555</v>
      </c>
      <c r="T437" s="46" t="s">
        <v>555</v>
      </c>
      <c r="U437" s="46" t="s">
        <v>555</v>
      </c>
      <c r="V437" s="46" t="s">
        <v>555</v>
      </c>
      <c r="W437" s="46" t="s">
        <v>555</v>
      </c>
      <c r="X437" s="46" t="s">
        <v>555</v>
      </c>
      <c r="Y437" s="46" t="s">
        <v>555</v>
      </c>
      <c r="Z437" s="46" t="s">
        <v>555</v>
      </c>
    </row>
    <row r="438" spans="1:26">
      <c r="A438" s="41">
        <f>preset_Names!A438</f>
        <v>434</v>
      </c>
      <c r="B438" t="str">
        <f t="shared" si="19"/>
        <v xml:space="preserve">strcpy(AMP1_A,("Not Used")); strcpy(AMP1_B,("Not Used")); strcpy(AMP1_C,("Not Used")); strcpy(AMP1_D,("Not Used")); </v>
      </c>
      <c r="C438" t="str">
        <f t="shared" si="20"/>
        <v xml:space="preserve">strcpy(AMP2_A,("Not Used")); strcpy(AMP2_B,("Not Used")); strcpy(AMP2_C,("Not Used")); strcpy(AMP2_D,("Not Used")); </v>
      </c>
      <c r="D438" s="31" t="s">
        <v>893</v>
      </c>
      <c r="E438" s="42" t="str">
        <f t="shared" si="18"/>
        <v>case 434: strcpy(AMP1_A,("Not Used")); strcpy(AMP1_B,("Not Used")); strcpy(AMP1_C,("Not Used")); strcpy(AMP1_D,("Not Used")); strcpy(AMP2_A,("Not Used")); strcpy(AMP2_B,("Not Used")); strcpy(AMP2_C,("Not Used")); strcpy(AMP2_D,("Not Used"));  break;</v>
      </c>
      <c r="F438" t="s">
        <v>893</v>
      </c>
      <c r="I438" t="s">
        <v>893</v>
      </c>
      <c r="J438" s="45" t="str">
        <f>VLOOKUP(S438,'AMP models AxeFxIII'!$D$2:$H$299,2,FALSE)</f>
        <v>Not Used</v>
      </c>
      <c r="K438" s="45" t="str">
        <f>VLOOKUP(T438,'AMP models AxeFxIII'!$D$2:$H$299,2,FALSE)</f>
        <v>Not Used</v>
      </c>
      <c r="L438" s="45" t="str">
        <f>VLOOKUP(U438,'AMP models AxeFxIII'!$D$2:$H$299,2,FALSE)</f>
        <v>Not Used</v>
      </c>
      <c r="M438" s="45" t="str">
        <f>VLOOKUP(V438,'AMP models AxeFxIII'!$D$2:$H$299,2,FALSE)</f>
        <v>Not Used</v>
      </c>
      <c r="N438" s="45" t="str">
        <f>VLOOKUP(W438,'AMP models AxeFxIII'!$D$2:$H$299,2,FALSE)</f>
        <v>Not Used</v>
      </c>
      <c r="O438" s="45" t="str">
        <f>VLOOKUP(X438,'AMP models AxeFxIII'!$D$2:$H$299,2,FALSE)</f>
        <v>Not Used</v>
      </c>
      <c r="P438" s="45" t="str">
        <f>VLOOKUP(Y438,'AMP models AxeFxIII'!$D$2:$H$299,2,FALSE)</f>
        <v>Not Used</v>
      </c>
      <c r="Q438" s="45" t="str">
        <f>VLOOKUP(Z438,'AMP models AxeFxIII'!$D$2:$H$299,2,FALSE)</f>
        <v>Not Used</v>
      </c>
      <c r="R438" s="4">
        <v>434</v>
      </c>
      <c r="S438" s="46" t="s">
        <v>555</v>
      </c>
      <c r="T438" s="46" t="s">
        <v>555</v>
      </c>
      <c r="U438" s="46" t="s">
        <v>555</v>
      </c>
      <c r="V438" s="46" t="s">
        <v>555</v>
      </c>
      <c r="W438" s="46" t="s">
        <v>555</v>
      </c>
      <c r="X438" s="46" t="s">
        <v>555</v>
      </c>
      <c r="Y438" s="46" t="s">
        <v>555</v>
      </c>
      <c r="Z438" s="46" t="s">
        <v>555</v>
      </c>
    </row>
    <row r="439" spans="1:26">
      <c r="A439" s="41">
        <f>preset_Names!A439</f>
        <v>435</v>
      </c>
      <c r="B439" t="str">
        <f t="shared" si="19"/>
        <v xml:space="preserve">strcpy(AMP1_A,("Not Used")); strcpy(AMP1_B,("Not Used")); strcpy(AMP1_C,("Not Used")); strcpy(AMP1_D,("Not Used")); </v>
      </c>
      <c r="C439" t="str">
        <f t="shared" si="20"/>
        <v xml:space="preserve">strcpy(AMP2_A,("Not Used")); strcpy(AMP2_B,("Not Used")); strcpy(AMP2_C,("Not Used")); strcpy(AMP2_D,("Not Used")); </v>
      </c>
      <c r="D439" s="31" t="s">
        <v>893</v>
      </c>
      <c r="E439" s="42" t="str">
        <f t="shared" si="18"/>
        <v>case 435: strcpy(AMP1_A,("Not Used")); strcpy(AMP1_B,("Not Used")); strcpy(AMP1_C,("Not Used")); strcpy(AMP1_D,("Not Used")); strcpy(AMP2_A,("Not Used")); strcpy(AMP2_B,("Not Used")); strcpy(AMP2_C,("Not Used")); strcpy(AMP2_D,("Not Used"));  break;</v>
      </c>
      <c r="F439" t="s">
        <v>893</v>
      </c>
      <c r="I439" t="s">
        <v>893</v>
      </c>
      <c r="J439" s="45" t="str">
        <f>VLOOKUP(S439,'AMP models AxeFxIII'!$D$2:$H$299,2,FALSE)</f>
        <v>Not Used</v>
      </c>
      <c r="K439" s="45" t="str">
        <f>VLOOKUP(T439,'AMP models AxeFxIII'!$D$2:$H$299,2,FALSE)</f>
        <v>Not Used</v>
      </c>
      <c r="L439" s="45" t="str">
        <f>VLOOKUP(U439,'AMP models AxeFxIII'!$D$2:$H$299,2,FALSE)</f>
        <v>Not Used</v>
      </c>
      <c r="M439" s="45" t="str">
        <f>VLOOKUP(V439,'AMP models AxeFxIII'!$D$2:$H$299,2,FALSE)</f>
        <v>Not Used</v>
      </c>
      <c r="N439" s="45" t="str">
        <f>VLOOKUP(W439,'AMP models AxeFxIII'!$D$2:$H$299,2,FALSE)</f>
        <v>Not Used</v>
      </c>
      <c r="O439" s="45" t="str">
        <f>VLOOKUP(X439,'AMP models AxeFxIII'!$D$2:$H$299,2,FALSE)</f>
        <v>Not Used</v>
      </c>
      <c r="P439" s="45" t="str">
        <f>VLOOKUP(Y439,'AMP models AxeFxIII'!$D$2:$H$299,2,FALSE)</f>
        <v>Not Used</v>
      </c>
      <c r="Q439" s="45" t="str">
        <f>VLOOKUP(Z439,'AMP models AxeFxIII'!$D$2:$H$299,2,FALSE)</f>
        <v>Not Used</v>
      </c>
      <c r="R439" s="4">
        <v>435</v>
      </c>
      <c r="S439" s="46" t="s">
        <v>555</v>
      </c>
      <c r="T439" s="46" t="s">
        <v>555</v>
      </c>
      <c r="U439" s="46" t="s">
        <v>555</v>
      </c>
      <c r="V439" s="46" t="s">
        <v>555</v>
      </c>
      <c r="W439" s="46" t="s">
        <v>555</v>
      </c>
      <c r="X439" s="46" t="s">
        <v>555</v>
      </c>
      <c r="Y439" s="46" t="s">
        <v>555</v>
      </c>
      <c r="Z439" s="46" t="s">
        <v>555</v>
      </c>
    </row>
    <row r="440" spans="1:26">
      <c r="A440" s="41">
        <f>preset_Names!A440</f>
        <v>436</v>
      </c>
      <c r="B440" t="str">
        <f t="shared" si="19"/>
        <v xml:space="preserve">strcpy(AMP1_A,("Not Used")); strcpy(AMP1_B,("Not Used")); strcpy(AMP1_C,("Not Used")); strcpy(AMP1_D,("Not Used")); </v>
      </c>
      <c r="C440" t="str">
        <f t="shared" si="20"/>
        <v xml:space="preserve">strcpy(AMP2_A,("Not Used")); strcpy(AMP2_B,("Not Used")); strcpy(AMP2_C,("Not Used")); strcpy(AMP2_D,("Not Used")); </v>
      </c>
      <c r="D440" s="31" t="s">
        <v>893</v>
      </c>
      <c r="E440" s="42" t="str">
        <f t="shared" si="18"/>
        <v>case 436: strcpy(AMP1_A,("Not Used")); strcpy(AMP1_B,("Not Used")); strcpy(AMP1_C,("Not Used")); strcpy(AMP1_D,("Not Used")); strcpy(AMP2_A,("Not Used")); strcpy(AMP2_B,("Not Used")); strcpy(AMP2_C,("Not Used")); strcpy(AMP2_D,("Not Used"));  break;</v>
      </c>
      <c r="F440" t="s">
        <v>893</v>
      </c>
      <c r="I440" t="s">
        <v>893</v>
      </c>
      <c r="J440" s="45" t="str">
        <f>VLOOKUP(S440,'AMP models AxeFxIII'!$D$2:$H$299,2,FALSE)</f>
        <v>Not Used</v>
      </c>
      <c r="K440" s="45" t="str">
        <f>VLOOKUP(T440,'AMP models AxeFxIII'!$D$2:$H$299,2,FALSE)</f>
        <v>Not Used</v>
      </c>
      <c r="L440" s="45" t="str">
        <f>VLOOKUP(U440,'AMP models AxeFxIII'!$D$2:$H$299,2,FALSE)</f>
        <v>Not Used</v>
      </c>
      <c r="M440" s="45" t="str">
        <f>VLOOKUP(V440,'AMP models AxeFxIII'!$D$2:$H$299,2,FALSE)</f>
        <v>Not Used</v>
      </c>
      <c r="N440" s="45" t="str">
        <f>VLOOKUP(W440,'AMP models AxeFxIII'!$D$2:$H$299,2,FALSE)</f>
        <v>Not Used</v>
      </c>
      <c r="O440" s="45" t="str">
        <f>VLOOKUP(X440,'AMP models AxeFxIII'!$D$2:$H$299,2,FALSE)</f>
        <v>Not Used</v>
      </c>
      <c r="P440" s="45" t="str">
        <f>VLOOKUP(Y440,'AMP models AxeFxIII'!$D$2:$H$299,2,FALSE)</f>
        <v>Not Used</v>
      </c>
      <c r="Q440" s="45" t="str">
        <f>VLOOKUP(Z440,'AMP models AxeFxIII'!$D$2:$H$299,2,FALSE)</f>
        <v>Not Used</v>
      </c>
      <c r="R440" s="4">
        <v>436</v>
      </c>
      <c r="S440" s="46" t="s">
        <v>555</v>
      </c>
      <c r="T440" s="46" t="s">
        <v>555</v>
      </c>
      <c r="U440" s="46" t="s">
        <v>555</v>
      </c>
      <c r="V440" s="46" t="s">
        <v>555</v>
      </c>
      <c r="W440" s="46" t="s">
        <v>555</v>
      </c>
      <c r="X440" s="46" t="s">
        <v>555</v>
      </c>
      <c r="Y440" s="46" t="s">
        <v>555</v>
      </c>
      <c r="Z440" s="46" t="s">
        <v>555</v>
      </c>
    </row>
    <row r="441" spans="1:26">
      <c r="A441" s="41">
        <f>preset_Names!A441</f>
        <v>437</v>
      </c>
      <c r="B441" t="str">
        <f t="shared" si="19"/>
        <v xml:space="preserve">strcpy(AMP1_A,("Not Used")); strcpy(AMP1_B,("Not Used")); strcpy(AMP1_C,("Not Used")); strcpy(AMP1_D,("Not Used")); </v>
      </c>
      <c r="C441" t="str">
        <f t="shared" si="20"/>
        <v xml:space="preserve">strcpy(AMP2_A,("Not Used")); strcpy(AMP2_B,("Not Used")); strcpy(AMP2_C,("Not Used")); strcpy(AMP2_D,("Not Used")); </v>
      </c>
      <c r="D441" s="31" t="s">
        <v>893</v>
      </c>
      <c r="E441" s="42" t="str">
        <f t="shared" si="18"/>
        <v>case 437: strcpy(AMP1_A,("Not Used")); strcpy(AMP1_B,("Not Used")); strcpy(AMP1_C,("Not Used")); strcpy(AMP1_D,("Not Used")); strcpy(AMP2_A,("Not Used")); strcpy(AMP2_B,("Not Used")); strcpy(AMP2_C,("Not Used")); strcpy(AMP2_D,("Not Used"));  break;</v>
      </c>
      <c r="F441" t="s">
        <v>893</v>
      </c>
      <c r="I441" t="s">
        <v>893</v>
      </c>
      <c r="J441" s="45" t="str">
        <f>VLOOKUP(S441,'AMP models AxeFxIII'!$D$2:$H$299,2,FALSE)</f>
        <v>Not Used</v>
      </c>
      <c r="K441" s="45" t="str">
        <f>VLOOKUP(T441,'AMP models AxeFxIII'!$D$2:$H$299,2,FALSE)</f>
        <v>Not Used</v>
      </c>
      <c r="L441" s="45" t="str">
        <f>VLOOKUP(U441,'AMP models AxeFxIII'!$D$2:$H$299,2,FALSE)</f>
        <v>Not Used</v>
      </c>
      <c r="M441" s="45" t="str">
        <f>VLOOKUP(V441,'AMP models AxeFxIII'!$D$2:$H$299,2,FALSE)</f>
        <v>Not Used</v>
      </c>
      <c r="N441" s="45" t="str">
        <f>VLOOKUP(W441,'AMP models AxeFxIII'!$D$2:$H$299,2,FALSE)</f>
        <v>Not Used</v>
      </c>
      <c r="O441" s="45" t="str">
        <f>VLOOKUP(X441,'AMP models AxeFxIII'!$D$2:$H$299,2,FALSE)</f>
        <v>Not Used</v>
      </c>
      <c r="P441" s="45" t="str">
        <f>VLOOKUP(Y441,'AMP models AxeFxIII'!$D$2:$H$299,2,FALSE)</f>
        <v>Not Used</v>
      </c>
      <c r="Q441" s="45" t="str">
        <f>VLOOKUP(Z441,'AMP models AxeFxIII'!$D$2:$H$299,2,FALSE)</f>
        <v>Not Used</v>
      </c>
      <c r="R441" s="4">
        <v>437</v>
      </c>
      <c r="S441" s="46" t="s">
        <v>555</v>
      </c>
      <c r="T441" s="46" t="s">
        <v>555</v>
      </c>
      <c r="U441" s="46" t="s">
        <v>555</v>
      </c>
      <c r="V441" s="46" t="s">
        <v>555</v>
      </c>
      <c r="W441" s="46" t="s">
        <v>555</v>
      </c>
      <c r="X441" s="46" t="s">
        <v>555</v>
      </c>
      <c r="Y441" s="46" t="s">
        <v>555</v>
      </c>
      <c r="Z441" s="46" t="s">
        <v>555</v>
      </c>
    </row>
    <row r="442" spans="1:26">
      <c r="A442" s="41">
        <f>preset_Names!A442</f>
        <v>438</v>
      </c>
      <c r="B442" t="str">
        <f t="shared" si="19"/>
        <v xml:space="preserve">strcpy(AMP1_A,("Not Used")); strcpy(AMP1_B,("Not Used")); strcpy(AMP1_C,("Not Used")); strcpy(AMP1_D,("Not Used")); </v>
      </c>
      <c r="C442" t="str">
        <f t="shared" si="20"/>
        <v xml:space="preserve">strcpy(AMP2_A,("Not Used")); strcpy(AMP2_B,("Not Used")); strcpy(AMP2_C,("Not Used")); strcpy(AMP2_D,("Not Used")); </v>
      </c>
      <c r="D442" s="31" t="s">
        <v>893</v>
      </c>
      <c r="E442" s="42" t="str">
        <f t="shared" si="18"/>
        <v>case 438: strcpy(AMP1_A,("Not Used")); strcpy(AMP1_B,("Not Used")); strcpy(AMP1_C,("Not Used")); strcpy(AMP1_D,("Not Used")); strcpy(AMP2_A,("Not Used")); strcpy(AMP2_B,("Not Used")); strcpy(AMP2_C,("Not Used")); strcpy(AMP2_D,("Not Used"));  break;</v>
      </c>
      <c r="F442" t="s">
        <v>893</v>
      </c>
      <c r="I442" t="s">
        <v>893</v>
      </c>
      <c r="J442" s="45" t="str">
        <f>VLOOKUP(S442,'AMP models AxeFxIII'!$D$2:$H$299,2,FALSE)</f>
        <v>Not Used</v>
      </c>
      <c r="K442" s="45" t="str">
        <f>VLOOKUP(T442,'AMP models AxeFxIII'!$D$2:$H$299,2,FALSE)</f>
        <v>Not Used</v>
      </c>
      <c r="L442" s="45" t="str">
        <f>VLOOKUP(U442,'AMP models AxeFxIII'!$D$2:$H$299,2,FALSE)</f>
        <v>Not Used</v>
      </c>
      <c r="M442" s="45" t="str">
        <f>VLOOKUP(V442,'AMP models AxeFxIII'!$D$2:$H$299,2,FALSE)</f>
        <v>Not Used</v>
      </c>
      <c r="N442" s="45" t="str">
        <f>VLOOKUP(W442,'AMP models AxeFxIII'!$D$2:$H$299,2,FALSE)</f>
        <v>Not Used</v>
      </c>
      <c r="O442" s="45" t="str">
        <f>VLOOKUP(X442,'AMP models AxeFxIII'!$D$2:$H$299,2,FALSE)</f>
        <v>Not Used</v>
      </c>
      <c r="P442" s="45" t="str">
        <f>VLOOKUP(Y442,'AMP models AxeFxIII'!$D$2:$H$299,2,FALSE)</f>
        <v>Not Used</v>
      </c>
      <c r="Q442" s="45" t="str">
        <f>VLOOKUP(Z442,'AMP models AxeFxIII'!$D$2:$H$299,2,FALSE)</f>
        <v>Not Used</v>
      </c>
      <c r="R442" s="4">
        <v>438</v>
      </c>
      <c r="S442" s="46" t="s">
        <v>555</v>
      </c>
      <c r="T442" s="46" t="s">
        <v>555</v>
      </c>
      <c r="U442" s="46" t="s">
        <v>555</v>
      </c>
      <c r="V442" s="46" t="s">
        <v>555</v>
      </c>
      <c r="W442" s="46" t="s">
        <v>555</v>
      </c>
      <c r="X442" s="46" t="s">
        <v>555</v>
      </c>
      <c r="Y442" s="46" t="s">
        <v>555</v>
      </c>
      <c r="Z442" s="46" t="s">
        <v>555</v>
      </c>
    </row>
    <row r="443" spans="1:26">
      <c r="A443" s="41">
        <f>preset_Names!A443</f>
        <v>439</v>
      </c>
      <c r="B443" t="str">
        <f t="shared" si="19"/>
        <v xml:space="preserve">strcpy(AMP1_A,("Not Used")); strcpy(AMP1_B,("Not Used")); strcpy(AMP1_C,("Not Used")); strcpy(AMP1_D,("Not Used")); </v>
      </c>
      <c r="C443" t="str">
        <f t="shared" si="20"/>
        <v xml:space="preserve">strcpy(AMP2_A,("Not Used")); strcpy(AMP2_B,("Not Used")); strcpy(AMP2_C,("Not Used")); strcpy(AMP2_D,("Not Used")); </v>
      </c>
      <c r="D443" s="31" t="s">
        <v>893</v>
      </c>
      <c r="E443" s="42" t="str">
        <f t="shared" si="18"/>
        <v>case 439: strcpy(AMP1_A,("Not Used")); strcpy(AMP1_B,("Not Used")); strcpy(AMP1_C,("Not Used")); strcpy(AMP1_D,("Not Used")); strcpy(AMP2_A,("Not Used")); strcpy(AMP2_B,("Not Used")); strcpy(AMP2_C,("Not Used")); strcpy(AMP2_D,("Not Used"));  break;</v>
      </c>
      <c r="F443" t="s">
        <v>893</v>
      </c>
      <c r="I443" t="s">
        <v>893</v>
      </c>
      <c r="J443" s="45" t="str">
        <f>VLOOKUP(S443,'AMP models AxeFxIII'!$D$2:$H$299,2,FALSE)</f>
        <v>Not Used</v>
      </c>
      <c r="K443" s="45" t="str">
        <f>VLOOKUP(T443,'AMP models AxeFxIII'!$D$2:$H$299,2,FALSE)</f>
        <v>Not Used</v>
      </c>
      <c r="L443" s="45" t="str">
        <f>VLOOKUP(U443,'AMP models AxeFxIII'!$D$2:$H$299,2,FALSE)</f>
        <v>Not Used</v>
      </c>
      <c r="M443" s="45" t="str">
        <f>VLOOKUP(V443,'AMP models AxeFxIII'!$D$2:$H$299,2,FALSE)</f>
        <v>Not Used</v>
      </c>
      <c r="N443" s="45" t="str">
        <f>VLOOKUP(W443,'AMP models AxeFxIII'!$D$2:$H$299,2,FALSE)</f>
        <v>Not Used</v>
      </c>
      <c r="O443" s="45" t="str">
        <f>VLOOKUP(X443,'AMP models AxeFxIII'!$D$2:$H$299,2,FALSE)</f>
        <v>Not Used</v>
      </c>
      <c r="P443" s="45" t="str">
        <f>VLOOKUP(Y443,'AMP models AxeFxIII'!$D$2:$H$299,2,FALSE)</f>
        <v>Not Used</v>
      </c>
      <c r="Q443" s="45" t="str">
        <f>VLOOKUP(Z443,'AMP models AxeFxIII'!$D$2:$H$299,2,FALSE)</f>
        <v>Not Used</v>
      </c>
      <c r="R443" s="4">
        <v>439</v>
      </c>
      <c r="S443" s="46" t="s">
        <v>555</v>
      </c>
      <c r="T443" s="46" t="s">
        <v>555</v>
      </c>
      <c r="U443" s="46" t="s">
        <v>555</v>
      </c>
      <c r="V443" s="46" t="s">
        <v>555</v>
      </c>
      <c r="W443" s="46" t="s">
        <v>555</v>
      </c>
      <c r="X443" s="46" t="s">
        <v>555</v>
      </c>
      <c r="Y443" s="46" t="s">
        <v>555</v>
      </c>
      <c r="Z443" s="46" t="s">
        <v>555</v>
      </c>
    </row>
    <row r="444" spans="1:26">
      <c r="A444" s="41">
        <f>preset_Names!A444</f>
        <v>440</v>
      </c>
      <c r="B444" t="str">
        <f t="shared" si="19"/>
        <v xml:space="preserve">strcpy(AMP1_A,("Not Used")); strcpy(AMP1_B,("Not Used")); strcpy(AMP1_C,("Not Used")); strcpy(AMP1_D,("Not Used")); </v>
      </c>
      <c r="C444" t="str">
        <f t="shared" si="20"/>
        <v xml:space="preserve">strcpy(AMP2_A,("Not Used")); strcpy(AMP2_B,("Not Used")); strcpy(AMP2_C,("Not Used")); strcpy(AMP2_D,("Not Used")); </v>
      </c>
      <c r="D444" s="31" t="s">
        <v>893</v>
      </c>
      <c r="E444" s="42" t="str">
        <f t="shared" si="18"/>
        <v>case 440: strcpy(AMP1_A,("Not Used")); strcpy(AMP1_B,("Not Used")); strcpy(AMP1_C,("Not Used")); strcpy(AMP1_D,("Not Used")); strcpy(AMP2_A,("Not Used")); strcpy(AMP2_B,("Not Used")); strcpy(AMP2_C,("Not Used")); strcpy(AMP2_D,("Not Used"));  break;</v>
      </c>
      <c r="F444" t="s">
        <v>893</v>
      </c>
      <c r="I444" t="s">
        <v>893</v>
      </c>
      <c r="J444" s="45" t="str">
        <f>VLOOKUP(S444,'AMP models AxeFxIII'!$D$2:$H$299,2,FALSE)</f>
        <v>Not Used</v>
      </c>
      <c r="K444" s="45" t="str">
        <f>VLOOKUP(T444,'AMP models AxeFxIII'!$D$2:$H$299,2,FALSE)</f>
        <v>Not Used</v>
      </c>
      <c r="L444" s="45" t="str">
        <f>VLOOKUP(U444,'AMP models AxeFxIII'!$D$2:$H$299,2,FALSE)</f>
        <v>Not Used</v>
      </c>
      <c r="M444" s="45" t="str">
        <f>VLOOKUP(V444,'AMP models AxeFxIII'!$D$2:$H$299,2,FALSE)</f>
        <v>Not Used</v>
      </c>
      <c r="N444" s="45" t="str">
        <f>VLOOKUP(W444,'AMP models AxeFxIII'!$D$2:$H$299,2,FALSE)</f>
        <v>Not Used</v>
      </c>
      <c r="O444" s="45" t="str">
        <f>VLOOKUP(X444,'AMP models AxeFxIII'!$D$2:$H$299,2,FALSE)</f>
        <v>Not Used</v>
      </c>
      <c r="P444" s="45" t="str">
        <f>VLOOKUP(Y444,'AMP models AxeFxIII'!$D$2:$H$299,2,FALSE)</f>
        <v>Not Used</v>
      </c>
      <c r="Q444" s="45" t="str">
        <f>VLOOKUP(Z444,'AMP models AxeFxIII'!$D$2:$H$299,2,FALSE)</f>
        <v>Not Used</v>
      </c>
      <c r="R444" s="4">
        <v>440</v>
      </c>
      <c r="S444" s="46" t="s">
        <v>555</v>
      </c>
      <c r="T444" s="46" t="s">
        <v>555</v>
      </c>
      <c r="U444" s="46" t="s">
        <v>555</v>
      </c>
      <c r="V444" s="46" t="s">
        <v>555</v>
      </c>
      <c r="W444" s="46" t="s">
        <v>555</v>
      </c>
      <c r="X444" s="46" t="s">
        <v>555</v>
      </c>
      <c r="Y444" s="46" t="s">
        <v>555</v>
      </c>
      <c r="Z444" s="46" t="s">
        <v>555</v>
      </c>
    </row>
    <row r="445" spans="1:26">
      <c r="A445" s="41">
        <f>preset_Names!A445</f>
        <v>441</v>
      </c>
      <c r="B445" t="str">
        <f t="shared" si="19"/>
        <v xml:space="preserve">strcpy(AMP1_A,("Not Used")); strcpy(AMP1_B,("Not Used")); strcpy(AMP1_C,("Not Used")); strcpy(AMP1_D,("Not Used")); </v>
      </c>
      <c r="C445" t="str">
        <f t="shared" si="20"/>
        <v xml:space="preserve">strcpy(AMP2_A,("Not Used")); strcpy(AMP2_B,("Not Used")); strcpy(AMP2_C,("Not Used")); strcpy(AMP2_D,("Not Used")); </v>
      </c>
      <c r="D445" s="31" t="s">
        <v>893</v>
      </c>
      <c r="E445" s="42" t="str">
        <f t="shared" si="18"/>
        <v>case 441: strcpy(AMP1_A,("Not Used")); strcpy(AMP1_B,("Not Used")); strcpy(AMP1_C,("Not Used")); strcpy(AMP1_D,("Not Used")); strcpy(AMP2_A,("Not Used")); strcpy(AMP2_B,("Not Used")); strcpy(AMP2_C,("Not Used")); strcpy(AMP2_D,("Not Used"));  break;</v>
      </c>
      <c r="F445" t="s">
        <v>893</v>
      </c>
      <c r="I445" t="s">
        <v>893</v>
      </c>
      <c r="J445" s="45" t="str">
        <f>VLOOKUP(S445,'AMP models AxeFxIII'!$D$2:$H$299,2,FALSE)</f>
        <v>Not Used</v>
      </c>
      <c r="K445" s="45" t="str">
        <f>VLOOKUP(T445,'AMP models AxeFxIII'!$D$2:$H$299,2,FALSE)</f>
        <v>Not Used</v>
      </c>
      <c r="L445" s="45" t="str">
        <f>VLOOKUP(U445,'AMP models AxeFxIII'!$D$2:$H$299,2,FALSE)</f>
        <v>Not Used</v>
      </c>
      <c r="M445" s="45" t="str">
        <f>VLOOKUP(V445,'AMP models AxeFxIII'!$D$2:$H$299,2,FALSE)</f>
        <v>Not Used</v>
      </c>
      <c r="N445" s="45" t="str">
        <f>VLOOKUP(W445,'AMP models AxeFxIII'!$D$2:$H$299,2,FALSE)</f>
        <v>Not Used</v>
      </c>
      <c r="O445" s="45" t="str">
        <f>VLOOKUP(X445,'AMP models AxeFxIII'!$D$2:$H$299,2,FALSE)</f>
        <v>Not Used</v>
      </c>
      <c r="P445" s="45" t="str">
        <f>VLOOKUP(Y445,'AMP models AxeFxIII'!$D$2:$H$299,2,FALSE)</f>
        <v>Not Used</v>
      </c>
      <c r="Q445" s="45" t="str">
        <f>VLOOKUP(Z445,'AMP models AxeFxIII'!$D$2:$H$299,2,FALSE)</f>
        <v>Not Used</v>
      </c>
      <c r="R445" s="4">
        <v>441</v>
      </c>
      <c r="S445" s="46" t="s">
        <v>555</v>
      </c>
      <c r="T445" s="46" t="s">
        <v>555</v>
      </c>
      <c r="U445" s="46" t="s">
        <v>555</v>
      </c>
      <c r="V445" s="46" t="s">
        <v>555</v>
      </c>
      <c r="W445" s="46" t="s">
        <v>555</v>
      </c>
      <c r="X445" s="46" t="s">
        <v>555</v>
      </c>
      <c r="Y445" s="46" t="s">
        <v>555</v>
      </c>
      <c r="Z445" s="46" t="s">
        <v>555</v>
      </c>
    </row>
    <row r="446" spans="1:26">
      <c r="A446" s="41">
        <f>preset_Names!A446</f>
        <v>442</v>
      </c>
      <c r="B446" t="str">
        <f t="shared" si="19"/>
        <v xml:space="preserve">strcpy(AMP1_A,("Not Used")); strcpy(AMP1_B,("Not Used")); strcpy(AMP1_C,("Not Used")); strcpy(AMP1_D,("Not Used")); </v>
      </c>
      <c r="C446" t="str">
        <f t="shared" si="20"/>
        <v xml:space="preserve">strcpy(AMP2_A,("Not Used")); strcpy(AMP2_B,("Not Used")); strcpy(AMP2_C,("Not Used")); strcpy(AMP2_D,("Not Used")); </v>
      </c>
      <c r="D446" s="31" t="s">
        <v>893</v>
      </c>
      <c r="E446" s="42" t="str">
        <f t="shared" si="18"/>
        <v>case 442: strcpy(AMP1_A,("Not Used")); strcpy(AMP1_B,("Not Used")); strcpy(AMP1_C,("Not Used")); strcpy(AMP1_D,("Not Used")); strcpy(AMP2_A,("Not Used")); strcpy(AMP2_B,("Not Used")); strcpy(AMP2_C,("Not Used")); strcpy(AMP2_D,("Not Used"));  break;</v>
      </c>
      <c r="F446" t="s">
        <v>893</v>
      </c>
      <c r="I446" t="s">
        <v>893</v>
      </c>
      <c r="J446" s="45" t="str">
        <f>VLOOKUP(S446,'AMP models AxeFxIII'!$D$2:$H$299,2,FALSE)</f>
        <v>Not Used</v>
      </c>
      <c r="K446" s="45" t="str">
        <f>VLOOKUP(T446,'AMP models AxeFxIII'!$D$2:$H$299,2,FALSE)</f>
        <v>Not Used</v>
      </c>
      <c r="L446" s="45" t="str">
        <f>VLOOKUP(U446,'AMP models AxeFxIII'!$D$2:$H$299,2,FALSE)</f>
        <v>Not Used</v>
      </c>
      <c r="M446" s="45" t="str">
        <f>VLOOKUP(V446,'AMP models AxeFxIII'!$D$2:$H$299,2,FALSE)</f>
        <v>Not Used</v>
      </c>
      <c r="N446" s="45" t="str">
        <f>VLOOKUP(W446,'AMP models AxeFxIII'!$D$2:$H$299,2,FALSE)</f>
        <v>Not Used</v>
      </c>
      <c r="O446" s="45" t="str">
        <f>VLOOKUP(X446,'AMP models AxeFxIII'!$D$2:$H$299,2,FALSE)</f>
        <v>Not Used</v>
      </c>
      <c r="P446" s="45" t="str">
        <f>VLOOKUP(Y446,'AMP models AxeFxIII'!$D$2:$H$299,2,FALSE)</f>
        <v>Not Used</v>
      </c>
      <c r="Q446" s="45" t="str">
        <f>VLOOKUP(Z446,'AMP models AxeFxIII'!$D$2:$H$299,2,FALSE)</f>
        <v>Not Used</v>
      </c>
      <c r="R446" s="4">
        <v>442</v>
      </c>
      <c r="S446" s="46" t="s">
        <v>555</v>
      </c>
      <c r="T446" s="46" t="s">
        <v>555</v>
      </c>
      <c r="U446" s="46" t="s">
        <v>555</v>
      </c>
      <c r="V446" s="46" t="s">
        <v>555</v>
      </c>
      <c r="W446" s="46" t="s">
        <v>555</v>
      </c>
      <c r="X446" s="46" t="s">
        <v>555</v>
      </c>
      <c r="Y446" s="46" t="s">
        <v>555</v>
      </c>
      <c r="Z446" s="46" t="s">
        <v>555</v>
      </c>
    </row>
    <row r="447" spans="1:26">
      <c r="A447" s="41">
        <f>preset_Names!A447</f>
        <v>443</v>
      </c>
      <c r="B447" t="str">
        <f t="shared" si="19"/>
        <v xml:space="preserve">strcpy(AMP1_A,("Not Used")); strcpy(AMP1_B,("Not Used")); strcpy(AMP1_C,("Not Used")); strcpy(AMP1_D,("Not Used")); </v>
      </c>
      <c r="C447" t="str">
        <f t="shared" si="20"/>
        <v xml:space="preserve">strcpy(AMP2_A,("Not Used")); strcpy(AMP2_B,("Not Used")); strcpy(AMP2_C,("Not Used")); strcpy(AMP2_D,("Not Used")); </v>
      </c>
      <c r="D447" s="31" t="s">
        <v>893</v>
      </c>
      <c r="E447" s="42" t="str">
        <f t="shared" si="18"/>
        <v>case 443: strcpy(AMP1_A,("Not Used")); strcpy(AMP1_B,("Not Used")); strcpy(AMP1_C,("Not Used")); strcpy(AMP1_D,("Not Used")); strcpy(AMP2_A,("Not Used")); strcpy(AMP2_B,("Not Used")); strcpy(AMP2_C,("Not Used")); strcpy(AMP2_D,("Not Used"));  break;</v>
      </c>
      <c r="F447" t="s">
        <v>893</v>
      </c>
      <c r="I447" t="s">
        <v>893</v>
      </c>
      <c r="J447" s="45" t="str">
        <f>VLOOKUP(S447,'AMP models AxeFxIII'!$D$2:$H$299,2,FALSE)</f>
        <v>Not Used</v>
      </c>
      <c r="K447" s="45" t="str">
        <f>VLOOKUP(T447,'AMP models AxeFxIII'!$D$2:$H$299,2,FALSE)</f>
        <v>Not Used</v>
      </c>
      <c r="L447" s="45" t="str">
        <f>VLOOKUP(U447,'AMP models AxeFxIII'!$D$2:$H$299,2,FALSE)</f>
        <v>Not Used</v>
      </c>
      <c r="M447" s="45" t="str">
        <f>VLOOKUP(V447,'AMP models AxeFxIII'!$D$2:$H$299,2,FALSE)</f>
        <v>Not Used</v>
      </c>
      <c r="N447" s="45" t="str">
        <f>VLOOKUP(W447,'AMP models AxeFxIII'!$D$2:$H$299,2,FALSE)</f>
        <v>Not Used</v>
      </c>
      <c r="O447" s="45" t="str">
        <f>VLOOKUP(X447,'AMP models AxeFxIII'!$D$2:$H$299,2,FALSE)</f>
        <v>Not Used</v>
      </c>
      <c r="P447" s="45" t="str">
        <f>VLOOKUP(Y447,'AMP models AxeFxIII'!$D$2:$H$299,2,FALSE)</f>
        <v>Not Used</v>
      </c>
      <c r="Q447" s="45" t="str">
        <f>VLOOKUP(Z447,'AMP models AxeFxIII'!$D$2:$H$299,2,FALSE)</f>
        <v>Not Used</v>
      </c>
      <c r="R447" s="4">
        <v>443</v>
      </c>
      <c r="S447" s="46" t="s">
        <v>555</v>
      </c>
      <c r="T447" s="46" t="s">
        <v>555</v>
      </c>
      <c r="U447" s="46" t="s">
        <v>555</v>
      </c>
      <c r="V447" s="46" t="s">
        <v>555</v>
      </c>
      <c r="W447" s="46" t="s">
        <v>555</v>
      </c>
      <c r="X447" s="46" t="s">
        <v>555</v>
      </c>
      <c r="Y447" s="46" t="s">
        <v>555</v>
      </c>
      <c r="Z447" s="46" t="s">
        <v>555</v>
      </c>
    </row>
    <row r="448" spans="1:26">
      <c r="A448" s="41">
        <f>preset_Names!A448</f>
        <v>444</v>
      </c>
      <c r="B448" t="str">
        <f t="shared" si="19"/>
        <v xml:space="preserve">strcpy(AMP1_A,("Not Used")); strcpy(AMP1_B,("Not Used")); strcpy(AMP1_C,("Not Used")); strcpy(AMP1_D,("Not Used")); </v>
      </c>
      <c r="C448" t="str">
        <f t="shared" si="20"/>
        <v xml:space="preserve">strcpy(AMP2_A,("Not Used")); strcpy(AMP2_B,("Not Used")); strcpy(AMP2_C,("Not Used")); strcpy(AMP2_D,("Not Used")); </v>
      </c>
      <c r="D448" s="31" t="s">
        <v>893</v>
      </c>
      <c r="E448" s="42" t="str">
        <f t="shared" si="18"/>
        <v>case 444: strcpy(AMP1_A,("Not Used")); strcpy(AMP1_B,("Not Used")); strcpy(AMP1_C,("Not Used")); strcpy(AMP1_D,("Not Used")); strcpy(AMP2_A,("Not Used")); strcpy(AMP2_B,("Not Used")); strcpy(AMP2_C,("Not Used")); strcpy(AMP2_D,("Not Used"));  break;</v>
      </c>
      <c r="F448" t="s">
        <v>893</v>
      </c>
      <c r="I448" t="s">
        <v>893</v>
      </c>
      <c r="J448" s="45" t="str">
        <f>VLOOKUP(S448,'AMP models AxeFxIII'!$D$2:$H$299,2,FALSE)</f>
        <v>Not Used</v>
      </c>
      <c r="K448" s="45" t="str">
        <f>VLOOKUP(T448,'AMP models AxeFxIII'!$D$2:$H$299,2,FALSE)</f>
        <v>Not Used</v>
      </c>
      <c r="L448" s="45" t="str">
        <f>VLOOKUP(U448,'AMP models AxeFxIII'!$D$2:$H$299,2,FALSE)</f>
        <v>Not Used</v>
      </c>
      <c r="M448" s="45" t="str">
        <f>VLOOKUP(V448,'AMP models AxeFxIII'!$D$2:$H$299,2,FALSE)</f>
        <v>Not Used</v>
      </c>
      <c r="N448" s="45" t="str">
        <f>VLOOKUP(W448,'AMP models AxeFxIII'!$D$2:$H$299,2,FALSE)</f>
        <v>Not Used</v>
      </c>
      <c r="O448" s="45" t="str">
        <f>VLOOKUP(X448,'AMP models AxeFxIII'!$D$2:$H$299,2,FALSE)</f>
        <v>Not Used</v>
      </c>
      <c r="P448" s="45" t="str">
        <f>VLOOKUP(Y448,'AMP models AxeFxIII'!$D$2:$H$299,2,FALSE)</f>
        <v>Not Used</v>
      </c>
      <c r="Q448" s="45" t="str">
        <f>VLOOKUP(Z448,'AMP models AxeFxIII'!$D$2:$H$299,2,FALSE)</f>
        <v>Not Used</v>
      </c>
      <c r="R448" s="4">
        <v>444</v>
      </c>
      <c r="S448" s="46" t="s">
        <v>555</v>
      </c>
      <c r="T448" s="46" t="s">
        <v>555</v>
      </c>
      <c r="U448" s="46" t="s">
        <v>555</v>
      </c>
      <c r="V448" s="46" t="s">
        <v>555</v>
      </c>
      <c r="W448" s="46" t="s">
        <v>555</v>
      </c>
      <c r="X448" s="46" t="s">
        <v>555</v>
      </c>
      <c r="Y448" s="46" t="s">
        <v>555</v>
      </c>
      <c r="Z448" s="46" t="s">
        <v>555</v>
      </c>
    </row>
    <row r="449" spans="1:26">
      <c r="A449" s="41">
        <f>preset_Names!A449</f>
        <v>445</v>
      </c>
      <c r="B449" t="str">
        <f t="shared" si="19"/>
        <v xml:space="preserve">strcpy(AMP1_A,("Not Used")); strcpy(AMP1_B,("Not Used")); strcpy(AMP1_C,("Not Used")); strcpy(AMP1_D,("Not Used")); </v>
      </c>
      <c r="C449" t="str">
        <f t="shared" si="20"/>
        <v xml:space="preserve">strcpy(AMP2_A,("Not Used")); strcpy(AMP2_B,("Not Used")); strcpy(AMP2_C,("Not Used")); strcpy(AMP2_D,("Not Used")); </v>
      </c>
      <c r="D449" s="31" t="s">
        <v>893</v>
      </c>
      <c r="E449" s="42" t="str">
        <f t="shared" si="18"/>
        <v>case 445: strcpy(AMP1_A,("Not Used")); strcpy(AMP1_B,("Not Used")); strcpy(AMP1_C,("Not Used")); strcpy(AMP1_D,("Not Used")); strcpy(AMP2_A,("Not Used")); strcpy(AMP2_B,("Not Used")); strcpy(AMP2_C,("Not Used")); strcpy(AMP2_D,("Not Used"));  break;</v>
      </c>
      <c r="F449" t="s">
        <v>893</v>
      </c>
      <c r="I449" t="s">
        <v>893</v>
      </c>
      <c r="J449" s="45" t="str">
        <f>VLOOKUP(S449,'AMP models AxeFxIII'!$D$2:$H$299,2,FALSE)</f>
        <v>Not Used</v>
      </c>
      <c r="K449" s="45" t="str">
        <f>VLOOKUP(T449,'AMP models AxeFxIII'!$D$2:$H$299,2,FALSE)</f>
        <v>Not Used</v>
      </c>
      <c r="L449" s="45" t="str">
        <f>VLOOKUP(U449,'AMP models AxeFxIII'!$D$2:$H$299,2,FALSE)</f>
        <v>Not Used</v>
      </c>
      <c r="M449" s="45" t="str">
        <f>VLOOKUP(V449,'AMP models AxeFxIII'!$D$2:$H$299,2,FALSE)</f>
        <v>Not Used</v>
      </c>
      <c r="N449" s="45" t="str">
        <f>VLOOKUP(W449,'AMP models AxeFxIII'!$D$2:$H$299,2,FALSE)</f>
        <v>Not Used</v>
      </c>
      <c r="O449" s="45" t="str">
        <f>VLOOKUP(X449,'AMP models AxeFxIII'!$D$2:$H$299,2,FALSE)</f>
        <v>Not Used</v>
      </c>
      <c r="P449" s="45" t="str">
        <f>VLOOKUP(Y449,'AMP models AxeFxIII'!$D$2:$H$299,2,FALSE)</f>
        <v>Not Used</v>
      </c>
      <c r="Q449" s="45" t="str">
        <f>VLOOKUP(Z449,'AMP models AxeFxIII'!$D$2:$H$299,2,FALSE)</f>
        <v>Not Used</v>
      </c>
      <c r="R449" s="4">
        <v>445</v>
      </c>
      <c r="S449" s="46" t="s">
        <v>555</v>
      </c>
      <c r="T449" s="46" t="s">
        <v>555</v>
      </c>
      <c r="U449" s="46" t="s">
        <v>555</v>
      </c>
      <c r="V449" s="46" t="s">
        <v>555</v>
      </c>
      <c r="W449" s="46" t="s">
        <v>555</v>
      </c>
      <c r="X449" s="46" t="s">
        <v>555</v>
      </c>
      <c r="Y449" s="46" t="s">
        <v>555</v>
      </c>
      <c r="Z449" s="46" t="s">
        <v>555</v>
      </c>
    </row>
    <row r="450" spans="1:26">
      <c r="A450" s="41">
        <f>preset_Names!A450</f>
        <v>446</v>
      </c>
      <c r="B450" t="str">
        <f t="shared" si="19"/>
        <v xml:space="preserve">strcpy(AMP1_A,("Not Used")); strcpy(AMP1_B,("Not Used")); strcpy(AMP1_C,("Not Used")); strcpy(AMP1_D,("Not Used")); </v>
      </c>
      <c r="C450" t="str">
        <f t="shared" si="20"/>
        <v xml:space="preserve">strcpy(AMP2_A,("Not Used")); strcpy(AMP2_B,("Not Used")); strcpy(AMP2_C,("Not Used")); strcpy(AMP2_D,("Not Used")); </v>
      </c>
      <c r="D450" s="31" t="s">
        <v>893</v>
      </c>
      <c r="E450" s="42" t="str">
        <f t="shared" si="18"/>
        <v>case 446: strcpy(AMP1_A,("Not Used")); strcpy(AMP1_B,("Not Used")); strcpy(AMP1_C,("Not Used")); strcpy(AMP1_D,("Not Used")); strcpy(AMP2_A,("Not Used")); strcpy(AMP2_B,("Not Used")); strcpy(AMP2_C,("Not Used")); strcpy(AMP2_D,("Not Used"));  break;</v>
      </c>
      <c r="F450" t="s">
        <v>893</v>
      </c>
      <c r="I450" t="s">
        <v>893</v>
      </c>
      <c r="J450" s="45" t="str">
        <f>VLOOKUP(S450,'AMP models AxeFxIII'!$D$2:$H$299,2,FALSE)</f>
        <v>Not Used</v>
      </c>
      <c r="K450" s="45" t="str">
        <f>VLOOKUP(T450,'AMP models AxeFxIII'!$D$2:$H$299,2,FALSE)</f>
        <v>Not Used</v>
      </c>
      <c r="L450" s="45" t="str">
        <f>VLOOKUP(U450,'AMP models AxeFxIII'!$D$2:$H$299,2,FALSE)</f>
        <v>Not Used</v>
      </c>
      <c r="M450" s="45" t="str">
        <f>VLOOKUP(V450,'AMP models AxeFxIII'!$D$2:$H$299,2,FALSE)</f>
        <v>Not Used</v>
      </c>
      <c r="N450" s="45" t="str">
        <f>VLOOKUP(W450,'AMP models AxeFxIII'!$D$2:$H$299,2,FALSE)</f>
        <v>Not Used</v>
      </c>
      <c r="O450" s="45" t="str">
        <f>VLOOKUP(X450,'AMP models AxeFxIII'!$D$2:$H$299,2,FALSE)</f>
        <v>Not Used</v>
      </c>
      <c r="P450" s="45" t="str">
        <f>VLOOKUP(Y450,'AMP models AxeFxIII'!$D$2:$H$299,2,FALSE)</f>
        <v>Not Used</v>
      </c>
      <c r="Q450" s="45" t="str">
        <f>VLOOKUP(Z450,'AMP models AxeFxIII'!$D$2:$H$299,2,FALSE)</f>
        <v>Not Used</v>
      </c>
      <c r="R450" s="4">
        <v>446</v>
      </c>
      <c r="S450" s="46" t="s">
        <v>555</v>
      </c>
      <c r="T450" s="46" t="s">
        <v>555</v>
      </c>
      <c r="U450" s="46" t="s">
        <v>555</v>
      </c>
      <c r="V450" s="46" t="s">
        <v>555</v>
      </c>
      <c r="W450" s="46" t="s">
        <v>555</v>
      </c>
      <c r="X450" s="46" t="s">
        <v>555</v>
      </c>
      <c r="Y450" s="46" t="s">
        <v>555</v>
      </c>
      <c r="Z450" s="46" t="s">
        <v>555</v>
      </c>
    </row>
    <row r="451" spans="1:26">
      <c r="A451" s="41">
        <f>preset_Names!A451</f>
        <v>447</v>
      </c>
      <c r="B451" t="str">
        <f t="shared" si="19"/>
        <v xml:space="preserve">strcpy(AMP1_A,("Not Used")); strcpy(AMP1_B,("Not Used")); strcpy(AMP1_C,("Not Used")); strcpy(AMP1_D,("Not Used")); </v>
      </c>
      <c r="C451" t="str">
        <f t="shared" si="20"/>
        <v xml:space="preserve">strcpy(AMP2_A,("Not Used")); strcpy(AMP2_B,("Not Used")); strcpy(AMP2_C,("Not Used")); strcpy(AMP2_D,("Not Used")); </v>
      </c>
      <c r="D451" s="31" t="s">
        <v>893</v>
      </c>
      <c r="E451" s="42" t="str">
        <f t="shared" si="18"/>
        <v>case 447: strcpy(AMP1_A,("Not Used")); strcpy(AMP1_B,("Not Used")); strcpy(AMP1_C,("Not Used")); strcpy(AMP1_D,("Not Used")); strcpy(AMP2_A,("Not Used")); strcpy(AMP2_B,("Not Used")); strcpy(AMP2_C,("Not Used")); strcpy(AMP2_D,("Not Used"));  break;</v>
      </c>
      <c r="F451" t="s">
        <v>893</v>
      </c>
      <c r="I451" t="s">
        <v>893</v>
      </c>
      <c r="J451" s="45" t="str">
        <f>VLOOKUP(S451,'AMP models AxeFxIII'!$D$2:$H$299,2,FALSE)</f>
        <v>Not Used</v>
      </c>
      <c r="K451" s="45" t="str">
        <f>VLOOKUP(T451,'AMP models AxeFxIII'!$D$2:$H$299,2,FALSE)</f>
        <v>Not Used</v>
      </c>
      <c r="L451" s="45" t="str">
        <f>VLOOKUP(U451,'AMP models AxeFxIII'!$D$2:$H$299,2,FALSE)</f>
        <v>Not Used</v>
      </c>
      <c r="M451" s="45" t="str">
        <f>VLOOKUP(V451,'AMP models AxeFxIII'!$D$2:$H$299,2,FALSE)</f>
        <v>Not Used</v>
      </c>
      <c r="N451" s="45" t="str">
        <f>VLOOKUP(W451,'AMP models AxeFxIII'!$D$2:$H$299,2,FALSE)</f>
        <v>Not Used</v>
      </c>
      <c r="O451" s="45" t="str">
        <f>VLOOKUP(X451,'AMP models AxeFxIII'!$D$2:$H$299,2,FALSE)</f>
        <v>Not Used</v>
      </c>
      <c r="P451" s="45" t="str">
        <f>VLOOKUP(Y451,'AMP models AxeFxIII'!$D$2:$H$299,2,FALSE)</f>
        <v>Not Used</v>
      </c>
      <c r="Q451" s="45" t="str">
        <f>VLOOKUP(Z451,'AMP models AxeFxIII'!$D$2:$H$299,2,FALSE)</f>
        <v>Not Used</v>
      </c>
      <c r="R451" s="4">
        <v>447</v>
      </c>
      <c r="S451" s="46" t="s">
        <v>555</v>
      </c>
      <c r="T451" s="46" t="s">
        <v>555</v>
      </c>
      <c r="U451" s="46" t="s">
        <v>555</v>
      </c>
      <c r="V451" s="46" t="s">
        <v>555</v>
      </c>
      <c r="W451" s="46" t="s">
        <v>555</v>
      </c>
      <c r="X451" s="46" t="s">
        <v>555</v>
      </c>
      <c r="Y451" s="46" t="s">
        <v>555</v>
      </c>
      <c r="Z451" s="46" t="s">
        <v>555</v>
      </c>
    </row>
    <row r="452" spans="1:26">
      <c r="A452" s="41">
        <f>preset_Names!A452</f>
        <v>448</v>
      </c>
      <c r="B452" t="str">
        <f t="shared" si="19"/>
        <v xml:space="preserve">strcpy(AMP1_A,("Not Used")); strcpy(AMP1_B,("Not Used")); strcpy(AMP1_C,("Not Used")); strcpy(AMP1_D,("Not Used")); </v>
      </c>
      <c r="C452" t="str">
        <f t="shared" si="20"/>
        <v xml:space="preserve">strcpy(AMP2_A,("Not Used")); strcpy(AMP2_B,("Not Used")); strcpy(AMP2_C,("Not Used")); strcpy(AMP2_D,("Not Used")); </v>
      </c>
      <c r="D452" s="31" t="s">
        <v>893</v>
      </c>
      <c r="E452" s="42" t="str">
        <f t="shared" si="18"/>
        <v>case 448: strcpy(AMP1_A,("Not Used")); strcpy(AMP1_B,("Not Used")); strcpy(AMP1_C,("Not Used")); strcpy(AMP1_D,("Not Used")); strcpy(AMP2_A,("Not Used")); strcpy(AMP2_B,("Not Used")); strcpy(AMP2_C,("Not Used")); strcpy(AMP2_D,("Not Used"));  break;</v>
      </c>
      <c r="F452" t="s">
        <v>893</v>
      </c>
      <c r="I452" t="s">
        <v>893</v>
      </c>
      <c r="J452" s="45" t="str">
        <f>VLOOKUP(S452,'AMP models AxeFxIII'!$D$2:$H$299,2,FALSE)</f>
        <v>Not Used</v>
      </c>
      <c r="K452" s="45" t="str">
        <f>VLOOKUP(T452,'AMP models AxeFxIII'!$D$2:$H$299,2,FALSE)</f>
        <v>Not Used</v>
      </c>
      <c r="L452" s="45" t="str">
        <f>VLOOKUP(U452,'AMP models AxeFxIII'!$D$2:$H$299,2,FALSE)</f>
        <v>Not Used</v>
      </c>
      <c r="M452" s="45" t="str">
        <f>VLOOKUP(V452,'AMP models AxeFxIII'!$D$2:$H$299,2,FALSE)</f>
        <v>Not Used</v>
      </c>
      <c r="N452" s="45" t="str">
        <f>VLOOKUP(W452,'AMP models AxeFxIII'!$D$2:$H$299,2,FALSE)</f>
        <v>Not Used</v>
      </c>
      <c r="O452" s="45" t="str">
        <f>VLOOKUP(X452,'AMP models AxeFxIII'!$D$2:$H$299,2,FALSE)</f>
        <v>Not Used</v>
      </c>
      <c r="P452" s="45" t="str">
        <f>VLOOKUP(Y452,'AMP models AxeFxIII'!$D$2:$H$299,2,FALSE)</f>
        <v>Not Used</v>
      </c>
      <c r="Q452" s="45" t="str">
        <f>VLOOKUP(Z452,'AMP models AxeFxIII'!$D$2:$H$299,2,FALSE)</f>
        <v>Not Used</v>
      </c>
      <c r="R452" s="4">
        <v>448</v>
      </c>
      <c r="S452" s="46" t="s">
        <v>555</v>
      </c>
      <c r="T452" s="46" t="s">
        <v>555</v>
      </c>
      <c r="U452" s="46" t="s">
        <v>555</v>
      </c>
      <c r="V452" s="46" t="s">
        <v>555</v>
      </c>
      <c r="W452" s="46" t="s">
        <v>555</v>
      </c>
      <c r="X452" s="46" t="s">
        <v>555</v>
      </c>
      <c r="Y452" s="46" t="s">
        <v>555</v>
      </c>
      <c r="Z452" s="46" t="s">
        <v>555</v>
      </c>
    </row>
    <row r="453" spans="1:26">
      <c r="A453" s="41">
        <f>preset_Names!A453</f>
        <v>449</v>
      </c>
      <c r="B453" t="str">
        <f t="shared" si="19"/>
        <v xml:space="preserve">strcpy(AMP1_A,("Not Used")); strcpy(AMP1_B,("Not Used")); strcpy(AMP1_C,("Not Used")); strcpy(AMP1_D,("Not Used")); </v>
      </c>
      <c r="C453" t="str">
        <f t="shared" si="20"/>
        <v xml:space="preserve">strcpy(AMP2_A,("Not Used")); strcpy(AMP2_B,("Not Used")); strcpy(AMP2_C,("Not Used")); strcpy(AMP2_D,("Not Used")); </v>
      </c>
      <c r="D453" s="31" t="s">
        <v>893</v>
      </c>
      <c r="E453" s="42" t="str">
        <f t="shared" ref="E453:E515" si="21" xml:space="preserve"> "case " &amp; A453 &amp; ": " &amp; B453 &amp; C453 &amp; " break;"</f>
        <v>case 449: strcpy(AMP1_A,("Not Used")); strcpy(AMP1_B,("Not Used")); strcpy(AMP1_C,("Not Used")); strcpy(AMP1_D,("Not Used")); strcpy(AMP2_A,("Not Used")); strcpy(AMP2_B,("Not Used")); strcpy(AMP2_C,("Not Used")); strcpy(AMP2_D,("Not Used"));  break;</v>
      </c>
      <c r="F453" t="s">
        <v>893</v>
      </c>
      <c r="I453" t="s">
        <v>893</v>
      </c>
      <c r="J453" s="45" t="str">
        <f>VLOOKUP(S453,'AMP models AxeFxIII'!$D$2:$H$299,2,FALSE)</f>
        <v>Not Used</v>
      </c>
      <c r="K453" s="45" t="str">
        <f>VLOOKUP(T453,'AMP models AxeFxIII'!$D$2:$H$299,2,FALSE)</f>
        <v>Not Used</v>
      </c>
      <c r="L453" s="45" t="str">
        <f>VLOOKUP(U453,'AMP models AxeFxIII'!$D$2:$H$299,2,FALSE)</f>
        <v>Not Used</v>
      </c>
      <c r="M453" s="45" t="str">
        <f>VLOOKUP(V453,'AMP models AxeFxIII'!$D$2:$H$299,2,FALSE)</f>
        <v>Not Used</v>
      </c>
      <c r="N453" s="45" t="str">
        <f>VLOOKUP(W453,'AMP models AxeFxIII'!$D$2:$H$299,2,FALSE)</f>
        <v>Not Used</v>
      </c>
      <c r="O453" s="45" t="str">
        <f>VLOOKUP(X453,'AMP models AxeFxIII'!$D$2:$H$299,2,FALSE)</f>
        <v>Not Used</v>
      </c>
      <c r="P453" s="45" t="str">
        <f>VLOOKUP(Y453,'AMP models AxeFxIII'!$D$2:$H$299,2,FALSE)</f>
        <v>Not Used</v>
      </c>
      <c r="Q453" s="45" t="str">
        <f>VLOOKUP(Z453,'AMP models AxeFxIII'!$D$2:$H$299,2,FALSE)</f>
        <v>Not Used</v>
      </c>
      <c r="R453" s="4">
        <v>449</v>
      </c>
      <c r="S453" s="46" t="s">
        <v>555</v>
      </c>
      <c r="T453" s="46" t="s">
        <v>555</v>
      </c>
      <c r="U453" s="46" t="s">
        <v>555</v>
      </c>
      <c r="V453" s="46" t="s">
        <v>555</v>
      </c>
      <c r="W453" s="46" t="s">
        <v>555</v>
      </c>
      <c r="X453" s="46" t="s">
        <v>555</v>
      </c>
      <c r="Y453" s="46" t="s">
        <v>555</v>
      </c>
      <c r="Z453" s="46" t="s">
        <v>555</v>
      </c>
    </row>
    <row r="454" spans="1:26">
      <c r="A454" s="41">
        <f>preset_Names!A454</f>
        <v>450</v>
      </c>
      <c r="B454" t="str">
        <f t="shared" ref="B454:B485" si="22">$F$4&amp;$J$3&amp;$G$4&amp;J454&amp;$H$4&amp;$F$4&amp;$K$3&amp;$G$4&amp;K454&amp;$H$4&amp;$F$4&amp;$L$3&amp;$G$4&amp;L454&amp;$H$4&amp;$F$4&amp;$M$3&amp;$G$4&amp;M454&amp;$H$4</f>
        <v xml:space="preserve">strcpy(AMP1_A,("Not Used")); strcpy(AMP1_B,("Not Used")); strcpy(AMP1_C,("Not Used")); strcpy(AMP1_D,("Not Used")); </v>
      </c>
      <c r="C454" t="str">
        <f t="shared" ref="C454:C515" si="23">$F$4&amp;$N$3&amp;$G$4&amp;N454&amp;$H$4&amp;$F$4&amp;$O$3&amp;$G$4&amp;O454&amp;$H$4&amp;$F$4&amp;$P$3&amp;$G$4&amp;P454&amp;$H$4&amp;$F$4&amp;$Q$3&amp;$G$4&amp;Q454&amp;$H$4</f>
        <v xml:space="preserve">strcpy(AMP2_A,("Not Used")); strcpy(AMP2_B,("Not Used")); strcpy(AMP2_C,("Not Used")); strcpy(AMP2_D,("Not Used")); </v>
      </c>
      <c r="D454" s="31" t="s">
        <v>893</v>
      </c>
      <c r="E454" s="42" t="str">
        <f t="shared" si="21"/>
        <v>case 450: strcpy(AMP1_A,("Not Used")); strcpy(AMP1_B,("Not Used")); strcpy(AMP1_C,("Not Used")); strcpy(AMP1_D,("Not Used")); strcpy(AMP2_A,("Not Used")); strcpy(AMP2_B,("Not Used")); strcpy(AMP2_C,("Not Used")); strcpy(AMP2_D,("Not Used"));  break;</v>
      </c>
      <c r="F454" t="s">
        <v>893</v>
      </c>
      <c r="I454" t="s">
        <v>893</v>
      </c>
      <c r="J454" s="45" t="str">
        <f>VLOOKUP(S454,'AMP models AxeFxIII'!$D$2:$H$299,2,FALSE)</f>
        <v>Not Used</v>
      </c>
      <c r="K454" s="45" t="str">
        <f>VLOOKUP(T454,'AMP models AxeFxIII'!$D$2:$H$299,2,FALSE)</f>
        <v>Not Used</v>
      </c>
      <c r="L454" s="45" t="str">
        <f>VLOOKUP(U454,'AMP models AxeFxIII'!$D$2:$H$299,2,FALSE)</f>
        <v>Not Used</v>
      </c>
      <c r="M454" s="45" t="str">
        <f>VLOOKUP(V454,'AMP models AxeFxIII'!$D$2:$H$299,2,FALSE)</f>
        <v>Not Used</v>
      </c>
      <c r="N454" s="45" t="str">
        <f>VLOOKUP(W454,'AMP models AxeFxIII'!$D$2:$H$299,2,FALSE)</f>
        <v>Not Used</v>
      </c>
      <c r="O454" s="45" t="str">
        <f>VLOOKUP(X454,'AMP models AxeFxIII'!$D$2:$H$299,2,FALSE)</f>
        <v>Not Used</v>
      </c>
      <c r="P454" s="45" t="str">
        <f>VLOOKUP(Y454,'AMP models AxeFxIII'!$D$2:$H$299,2,FALSE)</f>
        <v>Not Used</v>
      </c>
      <c r="Q454" s="45" t="str">
        <f>VLOOKUP(Z454,'AMP models AxeFxIII'!$D$2:$H$299,2,FALSE)</f>
        <v>Not Used</v>
      </c>
      <c r="R454" s="4">
        <v>450</v>
      </c>
      <c r="S454" s="46" t="s">
        <v>555</v>
      </c>
      <c r="T454" s="46" t="s">
        <v>555</v>
      </c>
      <c r="U454" s="46" t="s">
        <v>555</v>
      </c>
      <c r="V454" s="46" t="s">
        <v>555</v>
      </c>
      <c r="W454" s="46" t="s">
        <v>555</v>
      </c>
      <c r="X454" s="46" t="s">
        <v>555</v>
      </c>
      <c r="Y454" s="46" t="s">
        <v>555</v>
      </c>
      <c r="Z454" s="46" t="s">
        <v>555</v>
      </c>
    </row>
    <row r="455" spans="1:26">
      <c r="A455" s="41">
        <f>preset_Names!A455</f>
        <v>451</v>
      </c>
      <c r="B455" t="str">
        <f t="shared" si="22"/>
        <v xml:space="preserve">strcpy(AMP1_A,("Not Used")); strcpy(AMP1_B,("Not Used")); strcpy(AMP1_C,("Not Used")); strcpy(AMP1_D,("Not Used")); </v>
      </c>
      <c r="C455" t="str">
        <f t="shared" si="23"/>
        <v xml:space="preserve">strcpy(AMP2_A,("Not Used")); strcpy(AMP2_B,("Not Used")); strcpy(AMP2_C,("Not Used")); strcpy(AMP2_D,("Not Used")); </v>
      </c>
      <c r="D455" s="31" t="s">
        <v>893</v>
      </c>
      <c r="E455" s="42" t="str">
        <f t="shared" si="21"/>
        <v>case 451: strcpy(AMP1_A,("Not Used")); strcpy(AMP1_B,("Not Used")); strcpy(AMP1_C,("Not Used")); strcpy(AMP1_D,("Not Used")); strcpy(AMP2_A,("Not Used")); strcpy(AMP2_B,("Not Used")); strcpy(AMP2_C,("Not Used")); strcpy(AMP2_D,("Not Used"));  break;</v>
      </c>
      <c r="F455" t="s">
        <v>893</v>
      </c>
      <c r="I455" t="s">
        <v>893</v>
      </c>
      <c r="J455" s="45" t="str">
        <f>VLOOKUP(S455,'AMP models AxeFxIII'!$D$2:$H$299,2,FALSE)</f>
        <v>Not Used</v>
      </c>
      <c r="K455" s="45" t="str">
        <f>VLOOKUP(T455,'AMP models AxeFxIII'!$D$2:$H$299,2,FALSE)</f>
        <v>Not Used</v>
      </c>
      <c r="L455" s="45" t="str">
        <f>VLOOKUP(U455,'AMP models AxeFxIII'!$D$2:$H$299,2,FALSE)</f>
        <v>Not Used</v>
      </c>
      <c r="M455" s="45" t="str">
        <f>VLOOKUP(V455,'AMP models AxeFxIII'!$D$2:$H$299,2,FALSE)</f>
        <v>Not Used</v>
      </c>
      <c r="N455" s="45" t="str">
        <f>VLOOKUP(W455,'AMP models AxeFxIII'!$D$2:$H$299,2,FALSE)</f>
        <v>Not Used</v>
      </c>
      <c r="O455" s="45" t="str">
        <f>VLOOKUP(X455,'AMP models AxeFxIII'!$D$2:$H$299,2,FALSE)</f>
        <v>Not Used</v>
      </c>
      <c r="P455" s="45" t="str">
        <f>VLOOKUP(Y455,'AMP models AxeFxIII'!$D$2:$H$299,2,FALSE)</f>
        <v>Not Used</v>
      </c>
      <c r="Q455" s="45" t="str">
        <f>VLOOKUP(Z455,'AMP models AxeFxIII'!$D$2:$H$299,2,FALSE)</f>
        <v>Not Used</v>
      </c>
      <c r="R455" s="4">
        <v>451</v>
      </c>
      <c r="S455" s="46" t="s">
        <v>555</v>
      </c>
      <c r="T455" s="46" t="s">
        <v>555</v>
      </c>
      <c r="U455" s="46" t="s">
        <v>555</v>
      </c>
      <c r="V455" s="46" t="s">
        <v>555</v>
      </c>
      <c r="W455" s="46" t="s">
        <v>555</v>
      </c>
      <c r="X455" s="46" t="s">
        <v>555</v>
      </c>
      <c r="Y455" s="46" t="s">
        <v>555</v>
      </c>
      <c r="Z455" s="46" t="s">
        <v>555</v>
      </c>
    </row>
    <row r="456" spans="1:26">
      <c r="A456" s="41">
        <f>preset_Names!A456</f>
        <v>452</v>
      </c>
      <c r="B456" t="str">
        <f t="shared" si="22"/>
        <v xml:space="preserve">strcpy(AMP1_A,("Not Used")); strcpy(AMP1_B,("Not Used")); strcpy(AMP1_C,("Not Used")); strcpy(AMP1_D,("Not Used")); </v>
      </c>
      <c r="C456" t="str">
        <f t="shared" si="23"/>
        <v xml:space="preserve">strcpy(AMP2_A,("Not Used")); strcpy(AMP2_B,("Not Used")); strcpy(AMP2_C,("Not Used")); strcpy(AMP2_D,("Not Used")); </v>
      </c>
      <c r="D456" s="31" t="s">
        <v>893</v>
      </c>
      <c r="E456" s="42" t="str">
        <f t="shared" si="21"/>
        <v>case 452: strcpy(AMP1_A,("Not Used")); strcpy(AMP1_B,("Not Used")); strcpy(AMP1_C,("Not Used")); strcpy(AMP1_D,("Not Used")); strcpy(AMP2_A,("Not Used")); strcpy(AMP2_B,("Not Used")); strcpy(AMP2_C,("Not Used")); strcpy(AMP2_D,("Not Used"));  break;</v>
      </c>
      <c r="F456" t="s">
        <v>893</v>
      </c>
      <c r="I456" t="s">
        <v>893</v>
      </c>
      <c r="J456" s="45" t="str">
        <f>VLOOKUP(S456,'AMP models AxeFxIII'!$D$2:$H$299,2,FALSE)</f>
        <v>Not Used</v>
      </c>
      <c r="K456" s="45" t="str">
        <f>VLOOKUP(T456,'AMP models AxeFxIII'!$D$2:$H$299,2,FALSE)</f>
        <v>Not Used</v>
      </c>
      <c r="L456" s="45" t="str">
        <f>VLOOKUP(U456,'AMP models AxeFxIII'!$D$2:$H$299,2,FALSE)</f>
        <v>Not Used</v>
      </c>
      <c r="M456" s="45" t="str">
        <f>VLOOKUP(V456,'AMP models AxeFxIII'!$D$2:$H$299,2,FALSE)</f>
        <v>Not Used</v>
      </c>
      <c r="N456" s="45" t="str">
        <f>VLOOKUP(W456,'AMP models AxeFxIII'!$D$2:$H$299,2,FALSE)</f>
        <v>Not Used</v>
      </c>
      <c r="O456" s="45" t="str">
        <f>VLOOKUP(X456,'AMP models AxeFxIII'!$D$2:$H$299,2,FALSE)</f>
        <v>Not Used</v>
      </c>
      <c r="P456" s="45" t="str">
        <f>VLOOKUP(Y456,'AMP models AxeFxIII'!$D$2:$H$299,2,FALSE)</f>
        <v>Not Used</v>
      </c>
      <c r="Q456" s="45" t="str">
        <f>VLOOKUP(Z456,'AMP models AxeFxIII'!$D$2:$H$299,2,FALSE)</f>
        <v>Not Used</v>
      </c>
      <c r="R456" s="4">
        <v>452</v>
      </c>
      <c r="S456" s="46" t="s">
        <v>555</v>
      </c>
      <c r="T456" s="46" t="s">
        <v>555</v>
      </c>
      <c r="U456" s="46" t="s">
        <v>555</v>
      </c>
      <c r="V456" s="46" t="s">
        <v>555</v>
      </c>
      <c r="W456" s="46" t="s">
        <v>555</v>
      </c>
      <c r="X456" s="46" t="s">
        <v>555</v>
      </c>
      <c r="Y456" s="46" t="s">
        <v>555</v>
      </c>
      <c r="Z456" s="46" t="s">
        <v>555</v>
      </c>
    </row>
    <row r="457" spans="1:26">
      <c r="A457" s="41">
        <f>preset_Names!A457</f>
        <v>453</v>
      </c>
      <c r="B457" t="str">
        <f t="shared" si="22"/>
        <v xml:space="preserve">strcpy(AMP1_A,("Not Used")); strcpy(AMP1_B,("Not Used")); strcpy(AMP1_C,("Not Used")); strcpy(AMP1_D,("Not Used")); </v>
      </c>
      <c r="C457" t="str">
        <f t="shared" si="23"/>
        <v xml:space="preserve">strcpy(AMP2_A,("Not Used")); strcpy(AMP2_B,("Not Used")); strcpy(AMP2_C,("Not Used")); strcpy(AMP2_D,("Not Used")); </v>
      </c>
      <c r="D457" s="31" t="s">
        <v>893</v>
      </c>
      <c r="E457" s="42" t="str">
        <f t="shared" si="21"/>
        <v>case 453: strcpy(AMP1_A,("Not Used")); strcpy(AMP1_B,("Not Used")); strcpy(AMP1_C,("Not Used")); strcpy(AMP1_D,("Not Used")); strcpy(AMP2_A,("Not Used")); strcpy(AMP2_B,("Not Used")); strcpy(AMP2_C,("Not Used")); strcpy(AMP2_D,("Not Used"));  break;</v>
      </c>
      <c r="F457" t="s">
        <v>893</v>
      </c>
      <c r="I457" t="s">
        <v>893</v>
      </c>
      <c r="J457" s="45" t="str">
        <f>VLOOKUP(S457,'AMP models AxeFxIII'!$D$2:$H$299,2,FALSE)</f>
        <v>Not Used</v>
      </c>
      <c r="K457" s="45" t="str">
        <f>VLOOKUP(T457,'AMP models AxeFxIII'!$D$2:$H$299,2,FALSE)</f>
        <v>Not Used</v>
      </c>
      <c r="L457" s="45" t="str">
        <f>VLOOKUP(U457,'AMP models AxeFxIII'!$D$2:$H$299,2,FALSE)</f>
        <v>Not Used</v>
      </c>
      <c r="M457" s="45" t="str">
        <f>VLOOKUP(V457,'AMP models AxeFxIII'!$D$2:$H$299,2,FALSE)</f>
        <v>Not Used</v>
      </c>
      <c r="N457" s="45" t="str">
        <f>VLOOKUP(W457,'AMP models AxeFxIII'!$D$2:$H$299,2,FALSE)</f>
        <v>Not Used</v>
      </c>
      <c r="O457" s="45" t="str">
        <f>VLOOKUP(X457,'AMP models AxeFxIII'!$D$2:$H$299,2,FALSE)</f>
        <v>Not Used</v>
      </c>
      <c r="P457" s="45" t="str">
        <f>VLOOKUP(Y457,'AMP models AxeFxIII'!$D$2:$H$299,2,FALSE)</f>
        <v>Not Used</v>
      </c>
      <c r="Q457" s="45" t="str">
        <f>VLOOKUP(Z457,'AMP models AxeFxIII'!$D$2:$H$299,2,FALSE)</f>
        <v>Not Used</v>
      </c>
      <c r="R457" s="4">
        <v>453</v>
      </c>
      <c r="S457" s="46" t="s">
        <v>555</v>
      </c>
      <c r="T457" s="46" t="s">
        <v>555</v>
      </c>
      <c r="U457" s="46" t="s">
        <v>555</v>
      </c>
      <c r="V457" s="46" t="s">
        <v>555</v>
      </c>
      <c r="W457" s="46" t="s">
        <v>555</v>
      </c>
      <c r="X457" s="46" t="s">
        <v>555</v>
      </c>
      <c r="Y457" s="46" t="s">
        <v>555</v>
      </c>
      <c r="Z457" s="46" t="s">
        <v>555</v>
      </c>
    </row>
    <row r="458" spans="1:26">
      <c r="A458" s="41">
        <f>preset_Names!A458</f>
        <v>454</v>
      </c>
      <c r="B458" t="str">
        <f t="shared" si="22"/>
        <v xml:space="preserve">strcpy(AMP1_A,("Not Used")); strcpy(AMP1_B,("Not Used")); strcpy(AMP1_C,("Not Used")); strcpy(AMP1_D,("Not Used")); </v>
      </c>
      <c r="C458" t="str">
        <f t="shared" si="23"/>
        <v xml:space="preserve">strcpy(AMP2_A,("Not Used")); strcpy(AMP2_B,("Not Used")); strcpy(AMP2_C,("Not Used")); strcpy(AMP2_D,("Not Used")); </v>
      </c>
      <c r="D458" s="31" t="s">
        <v>893</v>
      </c>
      <c r="E458" s="42" t="str">
        <f t="shared" si="21"/>
        <v>case 454: strcpy(AMP1_A,("Not Used")); strcpy(AMP1_B,("Not Used")); strcpy(AMP1_C,("Not Used")); strcpy(AMP1_D,("Not Used")); strcpy(AMP2_A,("Not Used")); strcpy(AMP2_B,("Not Used")); strcpy(AMP2_C,("Not Used")); strcpy(AMP2_D,("Not Used"));  break;</v>
      </c>
      <c r="F458" t="s">
        <v>893</v>
      </c>
      <c r="I458" t="s">
        <v>893</v>
      </c>
      <c r="J458" s="45" t="str">
        <f>VLOOKUP(S458,'AMP models AxeFxIII'!$D$2:$H$299,2,FALSE)</f>
        <v>Not Used</v>
      </c>
      <c r="K458" s="45" t="str">
        <f>VLOOKUP(T458,'AMP models AxeFxIII'!$D$2:$H$299,2,FALSE)</f>
        <v>Not Used</v>
      </c>
      <c r="L458" s="45" t="str">
        <f>VLOOKUP(U458,'AMP models AxeFxIII'!$D$2:$H$299,2,FALSE)</f>
        <v>Not Used</v>
      </c>
      <c r="M458" s="45" t="str">
        <f>VLOOKUP(V458,'AMP models AxeFxIII'!$D$2:$H$299,2,FALSE)</f>
        <v>Not Used</v>
      </c>
      <c r="N458" s="45" t="str">
        <f>VLOOKUP(W458,'AMP models AxeFxIII'!$D$2:$H$299,2,FALSE)</f>
        <v>Not Used</v>
      </c>
      <c r="O458" s="45" t="str">
        <f>VLOOKUP(X458,'AMP models AxeFxIII'!$D$2:$H$299,2,FALSE)</f>
        <v>Not Used</v>
      </c>
      <c r="P458" s="45" t="str">
        <f>VLOOKUP(Y458,'AMP models AxeFxIII'!$D$2:$H$299,2,FALSE)</f>
        <v>Not Used</v>
      </c>
      <c r="Q458" s="45" t="str">
        <f>VLOOKUP(Z458,'AMP models AxeFxIII'!$D$2:$H$299,2,FALSE)</f>
        <v>Not Used</v>
      </c>
      <c r="R458" s="4">
        <v>454</v>
      </c>
      <c r="S458" s="46" t="s">
        <v>555</v>
      </c>
      <c r="T458" s="46" t="s">
        <v>555</v>
      </c>
      <c r="U458" s="46" t="s">
        <v>555</v>
      </c>
      <c r="V458" s="46" t="s">
        <v>555</v>
      </c>
      <c r="W458" s="46" t="s">
        <v>555</v>
      </c>
      <c r="X458" s="46" t="s">
        <v>555</v>
      </c>
      <c r="Y458" s="46" t="s">
        <v>555</v>
      </c>
      <c r="Z458" s="46" t="s">
        <v>555</v>
      </c>
    </row>
    <row r="459" spans="1:26">
      <c r="A459" s="41">
        <f>preset_Names!A459</f>
        <v>455</v>
      </c>
      <c r="B459" t="str">
        <f t="shared" si="22"/>
        <v xml:space="preserve">strcpy(AMP1_A,("Not Used")); strcpy(AMP1_B,("Not Used")); strcpy(AMP1_C,("Not Used")); strcpy(AMP1_D,("Not Used")); </v>
      </c>
      <c r="C459" t="str">
        <f t="shared" si="23"/>
        <v xml:space="preserve">strcpy(AMP2_A,("Not Used")); strcpy(AMP2_B,("Not Used")); strcpy(AMP2_C,("Not Used")); strcpy(AMP2_D,("Not Used")); </v>
      </c>
      <c r="D459" s="31" t="s">
        <v>893</v>
      </c>
      <c r="E459" s="42" t="str">
        <f t="shared" si="21"/>
        <v>case 455: strcpy(AMP1_A,("Not Used")); strcpy(AMP1_B,("Not Used")); strcpy(AMP1_C,("Not Used")); strcpy(AMP1_D,("Not Used")); strcpy(AMP2_A,("Not Used")); strcpy(AMP2_B,("Not Used")); strcpy(AMP2_C,("Not Used")); strcpy(AMP2_D,("Not Used"));  break;</v>
      </c>
      <c r="F459" t="s">
        <v>893</v>
      </c>
      <c r="I459" t="s">
        <v>893</v>
      </c>
      <c r="J459" s="45" t="str">
        <f>VLOOKUP(S459,'AMP models AxeFxIII'!$D$2:$H$299,2,FALSE)</f>
        <v>Not Used</v>
      </c>
      <c r="K459" s="45" t="str">
        <f>VLOOKUP(T459,'AMP models AxeFxIII'!$D$2:$H$299,2,FALSE)</f>
        <v>Not Used</v>
      </c>
      <c r="L459" s="45" t="str">
        <f>VLOOKUP(U459,'AMP models AxeFxIII'!$D$2:$H$299,2,FALSE)</f>
        <v>Not Used</v>
      </c>
      <c r="M459" s="45" t="str">
        <f>VLOOKUP(V459,'AMP models AxeFxIII'!$D$2:$H$299,2,FALSE)</f>
        <v>Not Used</v>
      </c>
      <c r="N459" s="45" t="str">
        <f>VLOOKUP(W459,'AMP models AxeFxIII'!$D$2:$H$299,2,FALSE)</f>
        <v>Not Used</v>
      </c>
      <c r="O459" s="45" t="str">
        <f>VLOOKUP(X459,'AMP models AxeFxIII'!$D$2:$H$299,2,FALSE)</f>
        <v>Not Used</v>
      </c>
      <c r="P459" s="45" t="str">
        <f>VLOOKUP(Y459,'AMP models AxeFxIII'!$D$2:$H$299,2,FALSE)</f>
        <v>Not Used</v>
      </c>
      <c r="Q459" s="45" t="str">
        <f>VLOOKUP(Z459,'AMP models AxeFxIII'!$D$2:$H$299,2,FALSE)</f>
        <v>Not Used</v>
      </c>
      <c r="R459" s="4">
        <v>455</v>
      </c>
      <c r="S459" s="46" t="s">
        <v>555</v>
      </c>
      <c r="T459" s="46" t="s">
        <v>555</v>
      </c>
      <c r="U459" s="46" t="s">
        <v>555</v>
      </c>
      <c r="V459" s="46" t="s">
        <v>555</v>
      </c>
      <c r="W459" s="46" t="s">
        <v>555</v>
      </c>
      <c r="X459" s="46" t="s">
        <v>555</v>
      </c>
      <c r="Y459" s="46" t="s">
        <v>555</v>
      </c>
      <c r="Z459" s="46" t="s">
        <v>555</v>
      </c>
    </row>
    <row r="460" spans="1:26">
      <c r="A460" s="41">
        <f>preset_Names!A460</f>
        <v>456</v>
      </c>
      <c r="B460" t="str">
        <f t="shared" si="22"/>
        <v xml:space="preserve">strcpy(AMP1_A,("Not Used")); strcpy(AMP1_B,("Not Used")); strcpy(AMP1_C,("Not Used")); strcpy(AMP1_D,("Not Used")); </v>
      </c>
      <c r="C460" t="str">
        <f t="shared" si="23"/>
        <v xml:space="preserve">strcpy(AMP2_A,("Not Used")); strcpy(AMP2_B,("Not Used")); strcpy(AMP2_C,("Not Used")); strcpy(AMP2_D,("Not Used")); </v>
      </c>
      <c r="D460" s="31" t="s">
        <v>893</v>
      </c>
      <c r="E460" s="42" t="str">
        <f t="shared" si="21"/>
        <v>case 456: strcpy(AMP1_A,("Not Used")); strcpy(AMP1_B,("Not Used")); strcpy(AMP1_C,("Not Used")); strcpy(AMP1_D,("Not Used")); strcpy(AMP2_A,("Not Used")); strcpy(AMP2_B,("Not Used")); strcpy(AMP2_C,("Not Used")); strcpy(AMP2_D,("Not Used"));  break;</v>
      </c>
      <c r="F460" t="s">
        <v>893</v>
      </c>
      <c r="I460" t="s">
        <v>893</v>
      </c>
      <c r="J460" s="45" t="str">
        <f>VLOOKUP(S460,'AMP models AxeFxIII'!$D$2:$H$299,2,FALSE)</f>
        <v>Not Used</v>
      </c>
      <c r="K460" s="45" t="str">
        <f>VLOOKUP(T460,'AMP models AxeFxIII'!$D$2:$H$299,2,FALSE)</f>
        <v>Not Used</v>
      </c>
      <c r="L460" s="45" t="str">
        <f>VLOOKUP(U460,'AMP models AxeFxIII'!$D$2:$H$299,2,FALSE)</f>
        <v>Not Used</v>
      </c>
      <c r="M460" s="45" t="str">
        <f>VLOOKUP(V460,'AMP models AxeFxIII'!$D$2:$H$299,2,FALSE)</f>
        <v>Not Used</v>
      </c>
      <c r="N460" s="45" t="str">
        <f>VLOOKUP(W460,'AMP models AxeFxIII'!$D$2:$H$299,2,FALSE)</f>
        <v>Not Used</v>
      </c>
      <c r="O460" s="45" t="str">
        <f>VLOOKUP(X460,'AMP models AxeFxIII'!$D$2:$H$299,2,FALSE)</f>
        <v>Not Used</v>
      </c>
      <c r="P460" s="45" t="str">
        <f>VLOOKUP(Y460,'AMP models AxeFxIII'!$D$2:$H$299,2,FALSE)</f>
        <v>Not Used</v>
      </c>
      <c r="Q460" s="45" t="str">
        <f>VLOOKUP(Z460,'AMP models AxeFxIII'!$D$2:$H$299,2,FALSE)</f>
        <v>Not Used</v>
      </c>
      <c r="R460" s="4">
        <v>456</v>
      </c>
      <c r="S460" s="46" t="s">
        <v>555</v>
      </c>
      <c r="T460" s="46" t="s">
        <v>555</v>
      </c>
      <c r="U460" s="46" t="s">
        <v>555</v>
      </c>
      <c r="V460" s="46" t="s">
        <v>555</v>
      </c>
      <c r="W460" s="46" t="s">
        <v>555</v>
      </c>
      <c r="X460" s="46" t="s">
        <v>555</v>
      </c>
      <c r="Y460" s="46" t="s">
        <v>555</v>
      </c>
      <c r="Z460" s="46" t="s">
        <v>555</v>
      </c>
    </row>
    <row r="461" spans="1:26">
      <c r="A461" s="41">
        <f>preset_Names!A461</f>
        <v>457</v>
      </c>
      <c r="B461" t="str">
        <f t="shared" si="22"/>
        <v xml:space="preserve">strcpy(AMP1_A,("Not Used")); strcpy(AMP1_B,("Not Used")); strcpy(AMP1_C,("Not Used")); strcpy(AMP1_D,("Not Used")); </v>
      </c>
      <c r="C461" t="str">
        <f t="shared" si="23"/>
        <v xml:space="preserve">strcpy(AMP2_A,("Not Used")); strcpy(AMP2_B,("Not Used")); strcpy(AMP2_C,("Not Used")); strcpy(AMP2_D,("Not Used")); </v>
      </c>
      <c r="D461" s="31" t="s">
        <v>893</v>
      </c>
      <c r="E461" s="42" t="str">
        <f t="shared" si="21"/>
        <v>case 457: strcpy(AMP1_A,("Not Used")); strcpy(AMP1_B,("Not Used")); strcpy(AMP1_C,("Not Used")); strcpy(AMP1_D,("Not Used")); strcpy(AMP2_A,("Not Used")); strcpy(AMP2_B,("Not Used")); strcpy(AMP2_C,("Not Used")); strcpy(AMP2_D,("Not Used"));  break;</v>
      </c>
      <c r="F461" t="s">
        <v>893</v>
      </c>
      <c r="I461" t="s">
        <v>893</v>
      </c>
      <c r="J461" s="45" t="str">
        <f>VLOOKUP(S461,'AMP models AxeFxIII'!$D$2:$H$299,2,FALSE)</f>
        <v>Not Used</v>
      </c>
      <c r="K461" s="45" t="str">
        <f>VLOOKUP(T461,'AMP models AxeFxIII'!$D$2:$H$299,2,FALSE)</f>
        <v>Not Used</v>
      </c>
      <c r="L461" s="45" t="str">
        <f>VLOOKUP(U461,'AMP models AxeFxIII'!$D$2:$H$299,2,FALSE)</f>
        <v>Not Used</v>
      </c>
      <c r="M461" s="45" t="str">
        <f>VLOOKUP(V461,'AMP models AxeFxIII'!$D$2:$H$299,2,FALSE)</f>
        <v>Not Used</v>
      </c>
      <c r="N461" s="45" t="str">
        <f>VLOOKUP(W461,'AMP models AxeFxIII'!$D$2:$H$299,2,FALSE)</f>
        <v>Not Used</v>
      </c>
      <c r="O461" s="45" t="str">
        <f>VLOOKUP(X461,'AMP models AxeFxIII'!$D$2:$H$299,2,FALSE)</f>
        <v>Not Used</v>
      </c>
      <c r="P461" s="45" t="str">
        <f>VLOOKUP(Y461,'AMP models AxeFxIII'!$D$2:$H$299,2,FALSE)</f>
        <v>Not Used</v>
      </c>
      <c r="Q461" s="45" t="str">
        <f>VLOOKUP(Z461,'AMP models AxeFxIII'!$D$2:$H$299,2,FALSE)</f>
        <v>Not Used</v>
      </c>
      <c r="R461" s="4">
        <v>457</v>
      </c>
      <c r="S461" s="46" t="s">
        <v>555</v>
      </c>
      <c r="T461" s="46" t="s">
        <v>555</v>
      </c>
      <c r="U461" s="46" t="s">
        <v>555</v>
      </c>
      <c r="V461" s="46" t="s">
        <v>555</v>
      </c>
      <c r="W461" s="46" t="s">
        <v>555</v>
      </c>
      <c r="X461" s="46" t="s">
        <v>555</v>
      </c>
      <c r="Y461" s="46" t="s">
        <v>555</v>
      </c>
      <c r="Z461" s="46" t="s">
        <v>555</v>
      </c>
    </row>
    <row r="462" spans="1:26">
      <c r="A462" s="41">
        <f>preset_Names!A462</f>
        <v>458</v>
      </c>
      <c r="B462" t="str">
        <f t="shared" si="22"/>
        <v xml:space="preserve">strcpy(AMP1_A,("Not Used")); strcpy(AMP1_B,("Not Used")); strcpy(AMP1_C,("Not Used")); strcpy(AMP1_D,("Not Used")); </v>
      </c>
      <c r="C462" t="str">
        <f t="shared" si="23"/>
        <v xml:space="preserve">strcpy(AMP2_A,("Not Used")); strcpy(AMP2_B,("Not Used")); strcpy(AMP2_C,("Not Used")); strcpy(AMP2_D,("Not Used")); </v>
      </c>
      <c r="D462" s="31" t="s">
        <v>893</v>
      </c>
      <c r="E462" s="42" t="str">
        <f t="shared" si="21"/>
        <v>case 458: strcpy(AMP1_A,("Not Used")); strcpy(AMP1_B,("Not Used")); strcpy(AMP1_C,("Not Used")); strcpy(AMP1_D,("Not Used")); strcpy(AMP2_A,("Not Used")); strcpy(AMP2_B,("Not Used")); strcpy(AMP2_C,("Not Used")); strcpy(AMP2_D,("Not Used"));  break;</v>
      </c>
      <c r="F462" t="s">
        <v>893</v>
      </c>
      <c r="I462" t="s">
        <v>893</v>
      </c>
      <c r="J462" s="45" t="str">
        <f>VLOOKUP(S462,'AMP models AxeFxIII'!$D$2:$H$299,2,FALSE)</f>
        <v>Not Used</v>
      </c>
      <c r="K462" s="45" t="str">
        <f>VLOOKUP(T462,'AMP models AxeFxIII'!$D$2:$H$299,2,FALSE)</f>
        <v>Not Used</v>
      </c>
      <c r="L462" s="45" t="str">
        <f>VLOOKUP(U462,'AMP models AxeFxIII'!$D$2:$H$299,2,FALSE)</f>
        <v>Not Used</v>
      </c>
      <c r="M462" s="45" t="str">
        <f>VLOOKUP(V462,'AMP models AxeFxIII'!$D$2:$H$299,2,FALSE)</f>
        <v>Not Used</v>
      </c>
      <c r="N462" s="45" t="str">
        <f>VLOOKUP(W462,'AMP models AxeFxIII'!$D$2:$H$299,2,FALSE)</f>
        <v>Not Used</v>
      </c>
      <c r="O462" s="45" t="str">
        <f>VLOOKUP(X462,'AMP models AxeFxIII'!$D$2:$H$299,2,FALSE)</f>
        <v>Not Used</v>
      </c>
      <c r="P462" s="45" t="str">
        <f>VLOOKUP(Y462,'AMP models AxeFxIII'!$D$2:$H$299,2,FALSE)</f>
        <v>Not Used</v>
      </c>
      <c r="Q462" s="45" t="str">
        <f>VLOOKUP(Z462,'AMP models AxeFxIII'!$D$2:$H$299,2,FALSE)</f>
        <v>Not Used</v>
      </c>
      <c r="R462" s="4">
        <v>458</v>
      </c>
      <c r="S462" s="46" t="s">
        <v>555</v>
      </c>
      <c r="T462" s="46" t="s">
        <v>555</v>
      </c>
      <c r="U462" s="46" t="s">
        <v>555</v>
      </c>
      <c r="V462" s="46" t="s">
        <v>555</v>
      </c>
      <c r="W462" s="46" t="s">
        <v>555</v>
      </c>
      <c r="X462" s="46" t="s">
        <v>555</v>
      </c>
      <c r="Y462" s="46" t="s">
        <v>555</v>
      </c>
      <c r="Z462" s="46" t="s">
        <v>555</v>
      </c>
    </row>
    <row r="463" spans="1:26">
      <c r="A463" s="41">
        <f>preset_Names!A463</f>
        <v>459</v>
      </c>
      <c r="B463" t="str">
        <f t="shared" si="22"/>
        <v xml:space="preserve">strcpy(AMP1_A,("Not Used")); strcpy(AMP1_B,("Not Used")); strcpy(AMP1_C,("Not Used")); strcpy(AMP1_D,("Not Used")); </v>
      </c>
      <c r="C463" t="str">
        <f t="shared" si="23"/>
        <v xml:space="preserve">strcpy(AMP2_A,("Not Used")); strcpy(AMP2_B,("Not Used")); strcpy(AMP2_C,("Not Used")); strcpy(AMP2_D,("Not Used")); </v>
      </c>
      <c r="D463" s="31" t="s">
        <v>893</v>
      </c>
      <c r="E463" s="42" t="str">
        <f t="shared" si="21"/>
        <v>case 459: strcpy(AMP1_A,("Not Used")); strcpy(AMP1_B,("Not Used")); strcpy(AMP1_C,("Not Used")); strcpy(AMP1_D,("Not Used")); strcpy(AMP2_A,("Not Used")); strcpy(AMP2_B,("Not Used")); strcpy(AMP2_C,("Not Used")); strcpy(AMP2_D,("Not Used"));  break;</v>
      </c>
      <c r="F463" t="s">
        <v>893</v>
      </c>
      <c r="I463" t="s">
        <v>893</v>
      </c>
      <c r="J463" s="45" t="str">
        <f>VLOOKUP(S463,'AMP models AxeFxIII'!$D$2:$H$299,2,FALSE)</f>
        <v>Not Used</v>
      </c>
      <c r="K463" s="45" t="str">
        <f>VLOOKUP(T463,'AMP models AxeFxIII'!$D$2:$H$299,2,FALSE)</f>
        <v>Not Used</v>
      </c>
      <c r="L463" s="45" t="str">
        <f>VLOOKUP(U463,'AMP models AxeFxIII'!$D$2:$H$299,2,FALSE)</f>
        <v>Not Used</v>
      </c>
      <c r="M463" s="45" t="str">
        <f>VLOOKUP(V463,'AMP models AxeFxIII'!$D$2:$H$299,2,FALSE)</f>
        <v>Not Used</v>
      </c>
      <c r="N463" s="45" t="str">
        <f>VLOOKUP(W463,'AMP models AxeFxIII'!$D$2:$H$299,2,FALSE)</f>
        <v>Not Used</v>
      </c>
      <c r="O463" s="45" t="str">
        <f>VLOOKUP(X463,'AMP models AxeFxIII'!$D$2:$H$299,2,FALSE)</f>
        <v>Not Used</v>
      </c>
      <c r="P463" s="45" t="str">
        <f>VLOOKUP(Y463,'AMP models AxeFxIII'!$D$2:$H$299,2,FALSE)</f>
        <v>Not Used</v>
      </c>
      <c r="Q463" s="45" t="str">
        <f>VLOOKUP(Z463,'AMP models AxeFxIII'!$D$2:$H$299,2,FALSE)</f>
        <v>Not Used</v>
      </c>
      <c r="R463" s="4">
        <v>459</v>
      </c>
      <c r="S463" s="46" t="s">
        <v>555</v>
      </c>
      <c r="T463" s="46" t="s">
        <v>555</v>
      </c>
      <c r="U463" s="46" t="s">
        <v>555</v>
      </c>
      <c r="V463" s="46" t="s">
        <v>555</v>
      </c>
      <c r="W463" s="46" t="s">
        <v>555</v>
      </c>
      <c r="X463" s="46" t="s">
        <v>555</v>
      </c>
      <c r="Y463" s="46" t="s">
        <v>555</v>
      </c>
      <c r="Z463" s="46" t="s">
        <v>555</v>
      </c>
    </row>
    <row r="464" spans="1:26">
      <c r="A464" s="41">
        <f>preset_Names!A464</f>
        <v>460</v>
      </c>
      <c r="B464" t="str">
        <f t="shared" si="22"/>
        <v xml:space="preserve">strcpy(AMP1_A,("Not Used")); strcpy(AMP1_B,("Not Used")); strcpy(AMP1_C,("Not Used")); strcpy(AMP1_D,("Not Used")); </v>
      </c>
      <c r="C464" t="str">
        <f t="shared" si="23"/>
        <v xml:space="preserve">strcpy(AMP2_A,("Not Used")); strcpy(AMP2_B,("Not Used")); strcpy(AMP2_C,("Not Used")); strcpy(AMP2_D,("Not Used")); </v>
      </c>
      <c r="D464" s="31" t="s">
        <v>893</v>
      </c>
      <c r="E464" s="42" t="str">
        <f t="shared" si="21"/>
        <v>case 460: strcpy(AMP1_A,("Not Used")); strcpy(AMP1_B,("Not Used")); strcpy(AMP1_C,("Not Used")); strcpy(AMP1_D,("Not Used")); strcpy(AMP2_A,("Not Used")); strcpy(AMP2_B,("Not Used")); strcpy(AMP2_C,("Not Used")); strcpy(AMP2_D,("Not Used"));  break;</v>
      </c>
      <c r="F464" t="s">
        <v>893</v>
      </c>
      <c r="I464" t="s">
        <v>893</v>
      </c>
      <c r="J464" s="45" t="str">
        <f>VLOOKUP(S464,'AMP models AxeFxIII'!$D$2:$H$299,2,FALSE)</f>
        <v>Not Used</v>
      </c>
      <c r="K464" s="45" t="str">
        <f>VLOOKUP(T464,'AMP models AxeFxIII'!$D$2:$H$299,2,FALSE)</f>
        <v>Not Used</v>
      </c>
      <c r="L464" s="45" t="str">
        <f>VLOOKUP(U464,'AMP models AxeFxIII'!$D$2:$H$299,2,FALSE)</f>
        <v>Not Used</v>
      </c>
      <c r="M464" s="45" t="str">
        <f>VLOOKUP(V464,'AMP models AxeFxIII'!$D$2:$H$299,2,FALSE)</f>
        <v>Not Used</v>
      </c>
      <c r="N464" s="45" t="str">
        <f>VLOOKUP(W464,'AMP models AxeFxIII'!$D$2:$H$299,2,FALSE)</f>
        <v>Not Used</v>
      </c>
      <c r="O464" s="45" t="str">
        <f>VLOOKUP(X464,'AMP models AxeFxIII'!$D$2:$H$299,2,FALSE)</f>
        <v>Not Used</v>
      </c>
      <c r="P464" s="45" t="str">
        <f>VLOOKUP(Y464,'AMP models AxeFxIII'!$D$2:$H$299,2,FALSE)</f>
        <v>Not Used</v>
      </c>
      <c r="Q464" s="45" t="str">
        <f>VLOOKUP(Z464,'AMP models AxeFxIII'!$D$2:$H$299,2,FALSE)</f>
        <v>Not Used</v>
      </c>
      <c r="R464" s="4">
        <v>460</v>
      </c>
      <c r="S464" s="46" t="s">
        <v>555</v>
      </c>
      <c r="T464" s="46" t="s">
        <v>555</v>
      </c>
      <c r="U464" s="46" t="s">
        <v>555</v>
      </c>
      <c r="V464" s="46" t="s">
        <v>555</v>
      </c>
      <c r="W464" s="46" t="s">
        <v>555</v>
      </c>
      <c r="X464" s="46" t="s">
        <v>555</v>
      </c>
      <c r="Y464" s="46" t="s">
        <v>555</v>
      </c>
      <c r="Z464" s="46" t="s">
        <v>555</v>
      </c>
    </row>
    <row r="465" spans="1:26">
      <c r="A465" s="41">
        <f>preset_Names!A465</f>
        <v>461</v>
      </c>
      <c r="B465" t="str">
        <f t="shared" si="22"/>
        <v xml:space="preserve">strcpy(AMP1_A,("Not Used")); strcpy(AMP1_B,("Not Used")); strcpy(AMP1_C,("Not Used")); strcpy(AMP1_D,("Not Used")); </v>
      </c>
      <c r="C465" t="str">
        <f t="shared" si="23"/>
        <v xml:space="preserve">strcpy(AMP2_A,("Not Used")); strcpy(AMP2_B,("Not Used")); strcpy(AMP2_C,("Not Used")); strcpy(AMP2_D,("Not Used")); </v>
      </c>
      <c r="D465" s="31" t="s">
        <v>893</v>
      </c>
      <c r="E465" s="42" t="str">
        <f t="shared" si="21"/>
        <v>case 461: strcpy(AMP1_A,("Not Used")); strcpy(AMP1_B,("Not Used")); strcpy(AMP1_C,("Not Used")); strcpy(AMP1_D,("Not Used")); strcpy(AMP2_A,("Not Used")); strcpy(AMP2_B,("Not Used")); strcpy(AMP2_C,("Not Used")); strcpy(AMP2_D,("Not Used"));  break;</v>
      </c>
      <c r="F465" t="s">
        <v>893</v>
      </c>
      <c r="I465" t="s">
        <v>893</v>
      </c>
      <c r="J465" s="45" t="str">
        <f>VLOOKUP(S465,'AMP models AxeFxIII'!$D$2:$H$299,2,FALSE)</f>
        <v>Not Used</v>
      </c>
      <c r="K465" s="45" t="str">
        <f>VLOOKUP(T465,'AMP models AxeFxIII'!$D$2:$H$299,2,FALSE)</f>
        <v>Not Used</v>
      </c>
      <c r="L465" s="45" t="str">
        <f>VLOOKUP(U465,'AMP models AxeFxIII'!$D$2:$H$299,2,FALSE)</f>
        <v>Not Used</v>
      </c>
      <c r="M465" s="45" t="str">
        <f>VLOOKUP(V465,'AMP models AxeFxIII'!$D$2:$H$299,2,FALSE)</f>
        <v>Not Used</v>
      </c>
      <c r="N465" s="45" t="str">
        <f>VLOOKUP(W465,'AMP models AxeFxIII'!$D$2:$H$299,2,FALSE)</f>
        <v>Not Used</v>
      </c>
      <c r="O465" s="45" t="str">
        <f>VLOOKUP(X465,'AMP models AxeFxIII'!$D$2:$H$299,2,FALSE)</f>
        <v>Not Used</v>
      </c>
      <c r="P465" s="45" t="str">
        <f>VLOOKUP(Y465,'AMP models AxeFxIII'!$D$2:$H$299,2,FALSE)</f>
        <v>Not Used</v>
      </c>
      <c r="Q465" s="45" t="str">
        <f>VLOOKUP(Z465,'AMP models AxeFxIII'!$D$2:$H$299,2,FALSE)</f>
        <v>Not Used</v>
      </c>
      <c r="R465" s="4">
        <v>461</v>
      </c>
      <c r="S465" s="46" t="s">
        <v>555</v>
      </c>
      <c r="T465" s="46" t="s">
        <v>555</v>
      </c>
      <c r="U465" s="46" t="s">
        <v>555</v>
      </c>
      <c r="V465" s="46" t="s">
        <v>555</v>
      </c>
      <c r="W465" s="46" t="s">
        <v>555</v>
      </c>
      <c r="X465" s="46" t="s">
        <v>555</v>
      </c>
      <c r="Y465" s="46" t="s">
        <v>555</v>
      </c>
      <c r="Z465" s="46" t="s">
        <v>555</v>
      </c>
    </row>
    <row r="466" spans="1:26">
      <c r="A466" s="41">
        <f>preset_Names!A466</f>
        <v>462</v>
      </c>
      <c r="B466" t="str">
        <f t="shared" si="22"/>
        <v xml:space="preserve">strcpy(AMP1_A,("Not Used")); strcpy(AMP1_B,("Not Used")); strcpy(AMP1_C,("Not Used")); strcpy(AMP1_D,("Not Used")); </v>
      </c>
      <c r="C466" t="str">
        <f t="shared" si="23"/>
        <v xml:space="preserve">strcpy(AMP2_A,("Not Used")); strcpy(AMP2_B,("Not Used")); strcpy(AMP2_C,("Not Used")); strcpy(AMP2_D,("Not Used")); </v>
      </c>
      <c r="D466" s="31" t="s">
        <v>893</v>
      </c>
      <c r="E466" s="42" t="str">
        <f t="shared" si="21"/>
        <v>case 462: strcpy(AMP1_A,("Not Used")); strcpy(AMP1_B,("Not Used")); strcpy(AMP1_C,("Not Used")); strcpy(AMP1_D,("Not Used")); strcpy(AMP2_A,("Not Used")); strcpy(AMP2_B,("Not Used")); strcpy(AMP2_C,("Not Used")); strcpy(AMP2_D,("Not Used"));  break;</v>
      </c>
      <c r="F466" t="s">
        <v>893</v>
      </c>
      <c r="I466" t="s">
        <v>893</v>
      </c>
      <c r="J466" s="45" t="str">
        <f>VLOOKUP(S466,'AMP models AxeFxIII'!$D$2:$H$299,2,FALSE)</f>
        <v>Not Used</v>
      </c>
      <c r="K466" s="45" t="str">
        <f>VLOOKUP(T466,'AMP models AxeFxIII'!$D$2:$H$299,2,FALSE)</f>
        <v>Not Used</v>
      </c>
      <c r="L466" s="45" t="str">
        <f>VLOOKUP(U466,'AMP models AxeFxIII'!$D$2:$H$299,2,FALSE)</f>
        <v>Not Used</v>
      </c>
      <c r="M466" s="45" t="str">
        <f>VLOOKUP(V466,'AMP models AxeFxIII'!$D$2:$H$299,2,FALSE)</f>
        <v>Not Used</v>
      </c>
      <c r="N466" s="45" t="str">
        <f>VLOOKUP(W466,'AMP models AxeFxIII'!$D$2:$H$299,2,FALSE)</f>
        <v>Not Used</v>
      </c>
      <c r="O466" s="45" t="str">
        <f>VLOOKUP(X466,'AMP models AxeFxIII'!$D$2:$H$299,2,FALSE)</f>
        <v>Not Used</v>
      </c>
      <c r="P466" s="45" t="str">
        <f>VLOOKUP(Y466,'AMP models AxeFxIII'!$D$2:$H$299,2,FALSE)</f>
        <v>Not Used</v>
      </c>
      <c r="Q466" s="45" t="str">
        <f>VLOOKUP(Z466,'AMP models AxeFxIII'!$D$2:$H$299,2,FALSE)</f>
        <v>Not Used</v>
      </c>
      <c r="R466" s="4">
        <v>462</v>
      </c>
      <c r="S466" s="46" t="s">
        <v>555</v>
      </c>
      <c r="T466" s="46" t="s">
        <v>555</v>
      </c>
      <c r="U466" s="46" t="s">
        <v>555</v>
      </c>
      <c r="V466" s="46" t="s">
        <v>555</v>
      </c>
      <c r="W466" s="46" t="s">
        <v>555</v>
      </c>
      <c r="X466" s="46" t="s">
        <v>555</v>
      </c>
      <c r="Y466" s="46" t="s">
        <v>555</v>
      </c>
      <c r="Z466" s="46" t="s">
        <v>555</v>
      </c>
    </row>
    <row r="467" spans="1:26">
      <c r="A467" s="41">
        <f>preset_Names!A467</f>
        <v>463</v>
      </c>
      <c r="B467" t="str">
        <f t="shared" si="22"/>
        <v xml:space="preserve">strcpy(AMP1_A,("Not Used")); strcpy(AMP1_B,("Not Used")); strcpy(AMP1_C,("Not Used")); strcpy(AMP1_D,("Not Used")); </v>
      </c>
      <c r="C467" t="str">
        <f t="shared" si="23"/>
        <v xml:space="preserve">strcpy(AMP2_A,("Not Used")); strcpy(AMP2_B,("Not Used")); strcpy(AMP2_C,("Not Used")); strcpy(AMP2_D,("Not Used")); </v>
      </c>
      <c r="D467" s="31" t="s">
        <v>893</v>
      </c>
      <c r="E467" s="42" t="str">
        <f t="shared" si="21"/>
        <v>case 463: strcpy(AMP1_A,("Not Used")); strcpy(AMP1_B,("Not Used")); strcpy(AMP1_C,("Not Used")); strcpy(AMP1_D,("Not Used")); strcpy(AMP2_A,("Not Used")); strcpy(AMP2_B,("Not Used")); strcpy(AMP2_C,("Not Used")); strcpy(AMP2_D,("Not Used"));  break;</v>
      </c>
      <c r="F467" t="s">
        <v>893</v>
      </c>
      <c r="I467" t="s">
        <v>893</v>
      </c>
      <c r="J467" s="45" t="str">
        <f>VLOOKUP(S467,'AMP models AxeFxIII'!$D$2:$H$299,2,FALSE)</f>
        <v>Not Used</v>
      </c>
      <c r="K467" s="45" t="str">
        <f>VLOOKUP(T467,'AMP models AxeFxIII'!$D$2:$H$299,2,FALSE)</f>
        <v>Not Used</v>
      </c>
      <c r="L467" s="45" t="str">
        <f>VLOOKUP(U467,'AMP models AxeFxIII'!$D$2:$H$299,2,FALSE)</f>
        <v>Not Used</v>
      </c>
      <c r="M467" s="45" t="str">
        <f>VLOOKUP(V467,'AMP models AxeFxIII'!$D$2:$H$299,2,FALSE)</f>
        <v>Not Used</v>
      </c>
      <c r="N467" s="45" t="str">
        <f>VLOOKUP(W467,'AMP models AxeFxIII'!$D$2:$H$299,2,FALSE)</f>
        <v>Not Used</v>
      </c>
      <c r="O467" s="45" t="str">
        <f>VLOOKUP(X467,'AMP models AxeFxIII'!$D$2:$H$299,2,FALSE)</f>
        <v>Not Used</v>
      </c>
      <c r="P467" s="45" t="str">
        <f>VLOOKUP(Y467,'AMP models AxeFxIII'!$D$2:$H$299,2,FALSE)</f>
        <v>Not Used</v>
      </c>
      <c r="Q467" s="45" t="str">
        <f>VLOOKUP(Z467,'AMP models AxeFxIII'!$D$2:$H$299,2,FALSE)</f>
        <v>Not Used</v>
      </c>
      <c r="R467" s="4">
        <v>463</v>
      </c>
      <c r="S467" s="46" t="s">
        <v>555</v>
      </c>
      <c r="T467" s="46" t="s">
        <v>555</v>
      </c>
      <c r="U467" s="46" t="s">
        <v>555</v>
      </c>
      <c r="V467" s="46" t="s">
        <v>555</v>
      </c>
      <c r="W467" s="46" t="s">
        <v>555</v>
      </c>
      <c r="X467" s="46" t="s">
        <v>555</v>
      </c>
      <c r="Y467" s="46" t="s">
        <v>555</v>
      </c>
      <c r="Z467" s="46" t="s">
        <v>555</v>
      </c>
    </row>
    <row r="468" spans="1:26">
      <c r="A468" s="41">
        <f>preset_Names!A468</f>
        <v>464</v>
      </c>
      <c r="B468" t="str">
        <f t="shared" si="22"/>
        <v xml:space="preserve">strcpy(AMP1_A,("Not Used")); strcpy(AMP1_B,("Not Used")); strcpy(AMP1_C,("Not Used")); strcpy(AMP1_D,("Not Used")); </v>
      </c>
      <c r="C468" t="str">
        <f t="shared" si="23"/>
        <v xml:space="preserve">strcpy(AMP2_A,("Not Used")); strcpy(AMP2_B,("Not Used")); strcpy(AMP2_C,("Not Used")); strcpy(AMP2_D,("Not Used")); </v>
      </c>
      <c r="D468" s="31" t="s">
        <v>893</v>
      </c>
      <c r="E468" s="42" t="str">
        <f t="shared" si="21"/>
        <v>case 464: strcpy(AMP1_A,("Not Used")); strcpy(AMP1_B,("Not Used")); strcpy(AMP1_C,("Not Used")); strcpy(AMP1_D,("Not Used")); strcpy(AMP2_A,("Not Used")); strcpy(AMP2_B,("Not Used")); strcpy(AMP2_C,("Not Used")); strcpy(AMP2_D,("Not Used"));  break;</v>
      </c>
      <c r="F468" t="s">
        <v>893</v>
      </c>
      <c r="I468" t="s">
        <v>893</v>
      </c>
      <c r="J468" s="45" t="str">
        <f>VLOOKUP(S468,'AMP models AxeFxIII'!$D$2:$H$299,2,FALSE)</f>
        <v>Not Used</v>
      </c>
      <c r="K468" s="45" t="str">
        <f>VLOOKUP(T468,'AMP models AxeFxIII'!$D$2:$H$299,2,FALSE)</f>
        <v>Not Used</v>
      </c>
      <c r="L468" s="45" t="str">
        <f>VLOOKUP(U468,'AMP models AxeFxIII'!$D$2:$H$299,2,FALSE)</f>
        <v>Not Used</v>
      </c>
      <c r="M468" s="45" t="str">
        <f>VLOOKUP(V468,'AMP models AxeFxIII'!$D$2:$H$299,2,FALSE)</f>
        <v>Not Used</v>
      </c>
      <c r="N468" s="45" t="str">
        <f>VLOOKUP(W468,'AMP models AxeFxIII'!$D$2:$H$299,2,FALSE)</f>
        <v>Not Used</v>
      </c>
      <c r="O468" s="45" t="str">
        <f>VLOOKUP(X468,'AMP models AxeFxIII'!$D$2:$H$299,2,FALSE)</f>
        <v>Not Used</v>
      </c>
      <c r="P468" s="45" t="str">
        <f>VLOOKUP(Y468,'AMP models AxeFxIII'!$D$2:$H$299,2,FALSE)</f>
        <v>Not Used</v>
      </c>
      <c r="Q468" s="45" t="str">
        <f>VLOOKUP(Z468,'AMP models AxeFxIII'!$D$2:$H$299,2,FALSE)</f>
        <v>Not Used</v>
      </c>
      <c r="R468" s="4">
        <v>464</v>
      </c>
      <c r="S468" s="46" t="s">
        <v>555</v>
      </c>
      <c r="T468" s="46" t="s">
        <v>555</v>
      </c>
      <c r="U468" s="46" t="s">
        <v>555</v>
      </c>
      <c r="V468" s="46" t="s">
        <v>555</v>
      </c>
      <c r="W468" s="46" t="s">
        <v>555</v>
      </c>
      <c r="X468" s="46" t="s">
        <v>555</v>
      </c>
      <c r="Y468" s="46" t="s">
        <v>555</v>
      </c>
      <c r="Z468" s="46" t="s">
        <v>555</v>
      </c>
    </row>
    <row r="469" spans="1:26">
      <c r="A469" s="41">
        <f>preset_Names!A469</f>
        <v>465</v>
      </c>
      <c r="B469" t="str">
        <f t="shared" si="22"/>
        <v xml:space="preserve">strcpy(AMP1_A,("Not Used")); strcpy(AMP1_B,("Not Used")); strcpy(AMP1_C,("Not Used")); strcpy(AMP1_D,("Not Used")); </v>
      </c>
      <c r="C469" t="str">
        <f t="shared" si="23"/>
        <v xml:space="preserve">strcpy(AMP2_A,("Not Used")); strcpy(AMP2_B,("Not Used")); strcpy(AMP2_C,("Not Used")); strcpy(AMP2_D,("Not Used")); </v>
      </c>
      <c r="D469" s="31" t="s">
        <v>893</v>
      </c>
      <c r="E469" s="42" t="str">
        <f t="shared" si="21"/>
        <v>case 465: strcpy(AMP1_A,("Not Used")); strcpy(AMP1_B,("Not Used")); strcpy(AMP1_C,("Not Used")); strcpy(AMP1_D,("Not Used")); strcpy(AMP2_A,("Not Used")); strcpy(AMP2_B,("Not Used")); strcpy(AMP2_C,("Not Used")); strcpy(AMP2_D,("Not Used"));  break;</v>
      </c>
      <c r="F469" t="s">
        <v>893</v>
      </c>
      <c r="I469" t="s">
        <v>893</v>
      </c>
      <c r="J469" s="45" t="str">
        <f>VLOOKUP(S469,'AMP models AxeFxIII'!$D$2:$H$299,2,FALSE)</f>
        <v>Not Used</v>
      </c>
      <c r="K469" s="45" t="str">
        <f>VLOOKUP(T469,'AMP models AxeFxIII'!$D$2:$H$299,2,FALSE)</f>
        <v>Not Used</v>
      </c>
      <c r="L469" s="45" t="str">
        <f>VLOOKUP(U469,'AMP models AxeFxIII'!$D$2:$H$299,2,FALSE)</f>
        <v>Not Used</v>
      </c>
      <c r="M469" s="45" t="str">
        <f>VLOOKUP(V469,'AMP models AxeFxIII'!$D$2:$H$299,2,FALSE)</f>
        <v>Not Used</v>
      </c>
      <c r="N469" s="45" t="str">
        <f>VLOOKUP(W469,'AMP models AxeFxIII'!$D$2:$H$299,2,FALSE)</f>
        <v>Not Used</v>
      </c>
      <c r="O469" s="45" t="str">
        <f>VLOOKUP(X469,'AMP models AxeFxIII'!$D$2:$H$299,2,FALSE)</f>
        <v>Not Used</v>
      </c>
      <c r="P469" s="45" t="str">
        <f>VLOOKUP(Y469,'AMP models AxeFxIII'!$D$2:$H$299,2,FALSE)</f>
        <v>Not Used</v>
      </c>
      <c r="Q469" s="45" t="str">
        <f>VLOOKUP(Z469,'AMP models AxeFxIII'!$D$2:$H$299,2,FALSE)</f>
        <v>Not Used</v>
      </c>
      <c r="R469" s="4">
        <v>465</v>
      </c>
      <c r="S469" s="46" t="s">
        <v>555</v>
      </c>
      <c r="T469" s="46" t="s">
        <v>555</v>
      </c>
      <c r="U469" s="46" t="s">
        <v>555</v>
      </c>
      <c r="V469" s="46" t="s">
        <v>555</v>
      </c>
      <c r="W469" s="46" t="s">
        <v>555</v>
      </c>
      <c r="X469" s="46" t="s">
        <v>555</v>
      </c>
      <c r="Y469" s="46" t="s">
        <v>555</v>
      </c>
      <c r="Z469" s="46" t="s">
        <v>555</v>
      </c>
    </row>
    <row r="470" spans="1:26">
      <c r="A470" s="41">
        <f>preset_Names!A470</f>
        <v>466</v>
      </c>
      <c r="B470" t="str">
        <f t="shared" si="22"/>
        <v xml:space="preserve">strcpy(AMP1_A,("Not Used")); strcpy(AMP1_B,("Not Used")); strcpy(AMP1_C,("Not Used")); strcpy(AMP1_D,("Not Used")); </v>
      </c>
      <c r="C470" t="str">
        <f t="shared" si="23"/>
        <v xml:space="preserve">strcpy(AMP2_A,("Not Used")); strcpy(AMP2_B,("Not Used")); strcpy(AMP2_C,("Not Used")); strcpy(AMP2_D,("Not Used")); </v>
      </c>
      <c r="D470" s="31" t="s">
        <v>893</v>
      </c>
      <c r="E470" s="42" t="str">
        <f t="shared" si="21"/>
        <v>case 466: strcpy(AMP1_A,("Not Used")); strcpy(AMP1_B,("Not Used")); strcpy(AMP1_C,("Not Used")); strcpy(AMP1_D,("Not Used")); strcpy(AMP2_A,("Not Used")); strcpy(AMP2_B,("Not Used")); strcpy(AMP2_C,("Not Used")); strcpy(AMP2_D,("Not Used"));  break;</v>
      </c>
      <c r="F470" t="s">
        <v>893</v>
      </c>
      <c r="I470" t="s">
        <v>893</v>
      </c>
      <c r="J470" s="45" t="str">
        <f>VLOOKUP(S470,'AMP models AxeFxIII'!$D$2:$H$299,2,FALSE)</f>
        <v>Not Used</v>
      </c>
      <c r="K470" s="45" t="str">
        <f>VLOOKUP(T470,'AMP models AxeFxIII'!$D$2:$H$299,2,FALSE)</f>
        <v>Not Used</v>
      </c>
      <c r="L470" s="45" t="str">
        <f>VLOOKUP(U470,'AMP models AxeFxIII'!$D$2:$H$299,2,FALSE)</f>
        <v>Not Used</v>
      </c>
      <c r="M470" s="45" t="str">
        <f>VLOOKUP(V470,'AMP models AxeFxIII'!$D$2:$H$299,2,FALSE)</f>
        <v>Not Used</v>
      </c>
      <c r="N470" s="45" t="str">
        <f>VLOOKUP(W470,'AMP models AxeFxIII'!$D$2:$H$299,2,FALSE)</f>
        <v>Not Used</v>
      </c>
      <c r="O470" s="45" t="str">
        <f>VLOOKUP(X470,'AMP models AxeFxIII'!$D$2:$H$299,2,FALSE)</f>
        <v>Not Used</v>
      </c>
      <c r="P470" s="45" t="str">
        <f>VLOOKUP(Y470,'AMP models AxeFxIII'!$D$2:$H$299,2,FALSE)</f>
        <v>Not Used</v>
      </c>
      <c r="Q470" s="45" t="str">
        <f>VLOOKUP(Z470,'AMP models AxeFxIII'!$D$2:$H$299,2,FALSE)</f>
        <v>Not Used</v>
      </c>
      <c r="R470" s="4">
        <v>466</v>
      </c>
      <c r="S470" s="46" t="s">
        <v>555</v>
      </c>
      <c r="T470" s="46" t="s">
        <v>555</v>
      </c>
      <c r="U470" s="46" t="s">
        <v>555</v>
      </c>
      <c r="V470" s="46" t="s">
        <v>555</v>
      </c>
      <c r="W470" s="46" t="s">
        <v>555</v>
      </c>
      <c r="X470" s="46" t="s">
        <v>555</v>
      </c>
      <c r="Y470" s="46" t="s">
        <v>555</v>
      </c>
      <c r="Z470" s="46" t="s">
        <v>555</v>
      </c>
    </row>
    <row r="471" spans="1:26">
      <c r="A471" s="41">
        <f>preset_Names!A471</f>
        <v>467</v>
      </c>
      <c r="B471" t="str">
        <f t="shared" si="22"/>
        <v xml:space="preserve">strcpy(AMP1_A,("Not Used")); strcpy(AMP1_B,("Not Used")); strcpy(AMP1_C,("Not Used")); strcpy(AMP1_D,("Not Used")); </v>
      </c>
      <c r="C471" t="str">
        <f t="shared" si="23"/>
        <v xml:space="preserve">strcpy(AMP2_A,("Not Used")); strcpy(AMP2_B,("Not Used")); strcpy(AMP2_C,("Not Used")); strcpy(AMP2_D,("Not Used")); </v>
      </c>
      <c r="D471" s="31" t="s">
        <v>893</v>
      </c>
      <c r="E471" s="42" t="str">
        <f t="shared" si="21"/>
        <v>case 467: strcpy(AMP1_A,("Not Used")); strcpy(AMP1_B,("Not Used")); strcpy(AMP1_C,("Not Used")); strcpy(AMP1_D,("Not Used")); strcpy(AMP2_A,("Not Used")); strcpy(AMP2_B,("Not Used")); strcpy(AMP2_C,("Not Used")); strcpy(AMP2_D,("Not Used"));  break;</v>
      </c>
      <c r="F471" t="s">
        <v>893</v>
      </c>
      <c r="I471" t="s">
        <v>893</v>
      </c>
      <c r="J471" s="45" t="str">
        <f>VLOOKUP(S471,'AMP models AxeFxIII'!$D$2:$H$299,2,FALSE)</f>
        <v>Not Used</v>
      </c>
      <c r="K471" s="45" t="str">
        <f>VLOOKUP(T471,'AMP models AxeFxIII'!$D$2:$H$299,2,FALSE)</f>
        <v>Not Used</v>
      </c>
      <c r="L471" s="45" t="str">
        <f>VLOOKUP(U471,'AMP models AxeFxIII'!$D$2:$H$299,2,FALSE)</f>
        <v>Not Used</v>
      </c>
      <c r="M471" s="45" t="str">
        <f>VLOOKUP(V471,'AMP models AxeFxIII'!$D$2:$H$299,2,FALSE)</f>
        <v>Not Used</v>
      </c>
      <c r="N471" s="45" t="str">
        <f>VLOOKUP(W471,'AMP models AxeFxIII'!$D$2:$H$299,2,FALSE)</f>
        <v>Not Used</v>
      </c>
      <c r="O471" s="45" t="str">
        <f>VLOOKUP(X471,'AMP models AxeFxIII'!$D$2:$H$299,2,FALSE)</f>
        <v>Not Used</v>
      </c>
      <c r="P471" s="45" t="str">
        <f>VLOOKUP(Y471,'AMP models AxeFxIII'!$D$2:$H$299,2,FALSE)</f>
        <v>Not Used</v>
      </c>
      <c r="Q471" s="45" t="str">
        <f>VLOOKUP(Z471,'AMP models AxeFxIII'!$D$2:$H$299,2,FALSE)</f>
        <v>Not Used</v>
      </c>
      <c r="R471" s="4">
        <v>467</v>
      </c>
      <c r="S471" s="46" t="s">
        <v>555</v>
      </c>
      <c r="T471" s="46" t="s">
        <v>555</v>
      </c>
      <c r="U471" s="46" t="s">
        <v>555</v>
      </c>
      <c r="V471" s="46" t="s">
        <v>555</v>
      </c>
      <c r="W471" s="46" t="s">
        <v>555</v>
      </c>
      <c r="X471" s="46" t="s">
        <v>555</v>
      </c>
      <c r="Y471" s="46" t="s">
        <v>555</v>
      </c>
      <c r="Z471" s="46" t="s">
        <v>555</v>
      </c>
    </row>
    <row r="472" spans="1:26">
      <c r="A472" s="41">
        <f>preset_Names!A472</f>
        <v>468</v>
      </c>
      <c r="B472" t="str">
        <f t="shared" si="22"/>
        <v xml:space="preserve">strcpy(AMP1_A,("Not Used")); strcpy(AMP1_B,("Not Used")); strcpy(AMP1_C,("Not Used")); strcpy(AMP1_D,("Not Used")); </v>
      </c>
      <c r="C472" t="str">
        <f t="shared" si="23"/>
        <v xml:space="preserve">strcpy(AMP2_A,("Not Used")); strcpy(AMP2_B,("Not Used")); strcpy(AMP2_C,("Not Used")); strcpy(AMP2_D,("Not Used")); </v>
      </c>
      <c r="D472" s="31" t="s">
        <v>893</v>
      </c>
      <c r="E472" s="42" t="str">
        <f t="shared" si="21"/>
        <v>case 468: strcpy(AMP1_A,("Not Used")); strcpy(AMP1_B,("Not Used")); strcpy(AMP1_C,("Not Used")); strcpy(AMP1_D,("Not Used")); strcpy(AMP2_A,("Not Used")); strcpy(AMP2_B,("Not Used")); strcpy(AMP2_C,("Not Used")); strcpy(AMP2_D,("Not Used"));  break;</v>
      </c>
      <c r="F472" t="s">
        <v>893</v>
      </c>
      <c r="I472" t="s">
        <v>893</v>
      </c>
      <c r="J472" s="45" t="str">
        <f>VLOOKUP(S472,'AMP models AxeFxIII'!$D$2:$H$299,2,FALSE)</f>
        <v>Not Used</v>
      </c>
      <c r="K472" s="45" t="str">
        <f>VLOOKUP(T472,'AMP models AxeFxIII'!$D$2:$H$299,2,FALSE)</f>
        <v>Not Used</v>
      </c>
      <c r="L472" s="45" t="str">
        <f>VLOOKUP(U472,'AMP models AxeFxIII'!$D$2:$H$299,2,FALSE)</f>
        <v>Not Used</v>
      </c>
      <c r="M472" s="45" t="str">
        <f>VLOOKUP(V472,'AMP models AxeFxIII'!$D$2:$H$299,2,FALSE)</f>
        <v>Not Used</v>
      </c>
      <c r="N472" s="45" t="str">
        <f>VLOOKUP(W472,'AMP models AxeFxIII'!$D$2:$H$299,2,FALSE)</f>
        <v>Not Used</v>
      </c>
      <c r="O472" s="45" t="str">
        <f>VLOOKUP(X472,'AMP models AxeFxIII'!$D$2:$H$299,2,FALSE)</f>
        <v>Not Used</v>
      </c>
      <c r="P472" s="45" t="str">
        <f>VLOOKUP(Y472,'AMP models AxeFxIII'!$D$2:$H$299,2,FALSE)</f>
        <v>Not Used</v>
      </c>
      <c r="Q472" s="45" t="str">
        <f>VLOOKUP(Z472,'AMP models AxeFxIII'!$D$2:$H$299,2,FALSE)</f>
        <v>Not Used</v>
      </c>
      <c r="R472" s="4">
        <v>468</v>
      </c>
      <c r="S472" s="46" t="s">
        <v>555</v>
      </c>
      <c r="T472" s="46" t="s">
        <v>555</v>
      </c>
      <c r="U472" s="46" t="s">
        <v>555</v>
      </c>
      <c r="V472" s="46" t="s">
        <v>555</v>
      </c>
      <c r="W472" s="46" t="s">
        <v>555</v>
      </c>
      <c r="X472" s="46" t="s">
        <v>555</v>
      </c>
      <c r="Y472" s="46" t="s">
        <v>555</v>
      </c>
      <c r="Z472" s="46" t="s">
        <v>555</v>
      </c>
    </row>
    <row r="473" spans="1:26">
      <c r="A473" s="41">
        <f>preset_Names!A473</f>
        <v>469</v>
      </c>
      <c r="B473" t="str">
        <f t="shared" si="22"/>
        <v xml:space="preserve">strcpy(AMP1_A,("Not Used")); strcpy(AMP1_B,("Not Used")); strcpy(AMP1_C,("Not Used")); strcpy(AMP1_D,("Not Used")); </v>
      </c>
      <c r="C473" t="str">
        <f t="shared" si="23"/>
        <v xml:space="preserve">strcpy(AMP2_A,("Not Used")); strcpy(AMP2_B,("Not Used")); strcpy(AMP2_C,("Not Used")); strcpy(AMP2_D,("Not Used")); </v>
      </c>
      <c r="D473" s="31" t="s">
        <v>893</v>
      </c>
      <c r="E473" s="42" t="str">
        <f t="shared" si="21"/>
        <v>case 469: strcpy(AMP1_A,("Not Used")); strcpy(AMP1_B,("Not Used")); strcpy(AMP1_C,("Not Used")); strcpy(AMP1_D,("Not Used")); strcpy(AMP2_A,("Not Used")); strcpy(AMP2_B,("Not Used")); strcpy(AMP2_C,("Not Used")); strcpy(AMP2_D,("Not Used"));  break;</v>
      </c>
      <c r="F473" t="s">
        <v>893</v>
      </c>
      <c r="I473" t="s">
        <v>893</v>
      </c>
      <c r="J473" s="45" t="str">
        <f>VLOOKUP(S473,'AMP models AxeFxIII'!$D$2:$H$299,2,FALSE)</f>
        <v>Not Used</v>
      </c>
      <c r="K473" s="45" t="str">
        <f>VLOOKUP(T473,'AMP models AxeFxIII'!$D$2:$H$299,2,FALSE)</f>
        <v>Not Used</v>
      </c>
      <c r="L473" s="45" t="str">
        <f>VLOOKUP(U473,'AMP models AxeFxIII'!$D$2:$H$299,2,FALSE)</f>
        <v>Not Used</v>
      </c>
      <c r="M473" s="45" t="str">
        <f>VLOOKUP(V473,'AMP models AxeFxIII'!$D$2:$H$299,2,FALSE)</f>
        <v>Not Used</v>
      </c>
      <c r="N473" s="45" t="str">
        <f>VLOOKUP(W473,'AMP models AxeFxIII'!$D$2:$H$299,2,FALSE)</f>
        <v>Not Used</v>
      </c>
      <c r="O473" s="45" t="str">
        <f>VLOOKUP(X473,'AMP models AxeFxIII'!$D$2:$H$299,2,FALSE)</f>
        <v>Not Used</v>
      </c>
      <c r="P473" s="45" t="str">
        <f>VLOOKUP(Y473,'AMP models AxeFxIII'!$D$2:$H$299,2,FALSE)</f>
        <v>Not Used</v>
      </c>
      <c r="Q473" s="45" t="str">
        <f>VLOOKUP(Z473,'AMP models AxeFxIII'!$D$2:$H$299,2,FALSE)</f>
        <v>Not Used</v>
      </c>
      <c r="R473" s="4">
        <v>469</v>
      </c>
      <c r="S473" s="46" t="s">
        <v>555</v>
      </c>
      <c r="T473" s="46" t="s">
        <v>555</v>
      </c>
      <c r="U473" s="46" t="s">
        <v>555</v>
      </c>
      <c r="V473" s="46" t="s">
        <v>555</v>
      </c>
      <c r="W473" s="46" t="s">
        <v>555</v>
      </c>
      <c r="X473" s="46" t="s">
        <v>555</v>
      </c>
      <c r="Y473" s="46" t="s">
        <v>555</v>
      </c>
      <c r="Z473" s="46" t="s">
        <v>555</v>
      </c>
    </row>
    <row r="474" spans="1:26">
      <c r="A474" s="41">
        <f>preset_Names!A474</f>
        <v>470</v>
      </c>
      <c r="B474" t="str">
        <f t="shared" si="22"/>
        <v xml:space="preserve">strcpy(AMP1_A,("Not Used")); strcpy(AMP1_B,("Not Used")); strcpy(AMP1_C,("Not Used")); strcpy(AMP1_D,("Not Used")); </v>
      </c>
      <c r="C474" t="str">
        <f t="shared" si="23"/>
        <v xml:space="preserve">strcpy(AMP2_A,("Not Used")); strcpy(AMP2_B,("Not Used")); strcpy(AMP2_C,("Not Used")); strcpy(AMP2_D,("Not Used")); </v>
      </c>
      <c r="D474" s="31" t="s">
        <v>893</v>
      </c>
      <c r="E474" s="42" t="str">
        <f t="shared" si="21"/>
        <v>case 470: strcpy(AMP1_A,("Not Used")); strcpy(AMP1_B,("Not Used")); strcpy(AMP1_C,("Not Used")); strcpy(AMP1_D,("Not Used")); strcpy(AMP2_A,("Not Used")); strcpy(AMP2_B,("Not Used")); strcpy(AMP2_C,("Not Used")); strcpy(AMP2_D,("Not Used"));  break;</v>
      </c>
      <c r="F474" t="s">
        <v>893</v>
      </c>
      <c r="I474" t="s">
        <v>893</v>
      </c>
      <c r="J474" s="45" t="str">
        <f>VLOOKUP(S474,'AMP models AxeFxIII'!$D$2:$H$299,2,FALSE)</f>
        <v>Not Used</v>
      </c>
      <c r="K474" s="45" t="str">
        <f>VLOOKUP(T474,'AMP models AxeFxIII'!$D$2:$H$299,2,FALSE)</f>
        <v>Not Used</v>
      </c>
      <c r="L474" s="45" t="str">
        <f>VLOOKUP(U474,'AMP models AxeFxIII'!$D$2:$H$299,2,FALSE)</f>
        <v>Not Used</v>
      </c>
      <c r="M474" s="45" t="str">
        <f>VLOOKUP(V474,'AMP models AxeFxIII'!$D$2:$H$299,2,FALSE)</f>
        <v>Not Used</v>
      </c>
      <c r="N474" s="45" t="str">
        <f>VLOOKUP(W474,'AMP models AxeFxIII'!$D$2:$H$299,2,FALSE)</f>
        <v>Not Used</v>
      </c>
      <c r="O474" s="45" t="str">
        <f>VLOOKUP(X474,'AMP models AxeFxIII'!$D$2:$H$299,2,FALSE)</f>
        <v>Not Used</v>
      </c>
      <c r="P474" s="45" t="str">
        <f>VLOOKUP(Y474,'AMP models AxeFxIII'!$D$2:$H$299,2,FALSE)</f>
        <v>Not Used</v>
      </c>
      <c r="Q474" s="45" t="str">
        <f>VLOOKUP(Z474,'AMP models AxeFxIII'!$D$2:$H$299,2,FALSE)</f>
        <v>Not Used</v>
      </c>
      <c r="R474" s="4">
        <v>470</v>
      </c>
      <c r="S474" s="46" t="s">
        <v>555</v>
      </c>
      <c r="T474" s="46" t="s">
        <v>555</v>
      </c>
      <c r="U474" s="46" t="s">
        <v>555</v>
      </c>
      <c r="V474" s="46" t="s">
        <v>555</v>
      </c>
      <c r="W474" s="46" t="s">
        <v>555</v>
      </c>
      <c r="X474" s="46" t="s">
        <v>555</v>
      </c>
      <c r="Y474" s="46" t="s">
        <v>555</v>
      </c>
      <c r="Z474" s="46" t="s">
        <v>555</v>
      </c>
    </row>
    <row r="475" spans="1:26">
      <c r="A475" s="41">
        <f>preset_Names!A475</f>
        <v>471</v>
      </c>
      <c r="B475" t="str">
        <f t="shared" si="22"/>
        <v xml:space="preserve">strcpy(AMP1_A,("Not Used")); strcpy(AMP1_B,("Not Used")); strcpy(AMP1_C,("Not Used")); strcpy(AMP1_D,("Not Used")); </v>
      </c>
      <c r="C475" t="str">
        <f t="shared" si="23"/>
        <v xml:space="preserve">strcpy(AMP2_A,("Not Used")); strcpy(AMP2_B,("Not Used")); strcpy(AMP2_C,("Not Used")); strcpy(AMP2_D,("Not Used")); </v>
      </c>
      <c r="D475" s="31" t="s">
        <v>893</v>
      </c>
      <c r="E475" s="42" t="str">
        <f t="shared" si="21"/>
        <v>case 471: strcpy(AMP1_A,("Not Used")); strcpy(AMP1_B,("Not Used")); strcpy(AMP1_C,("Not Used")); strcpy(AMP1_D,("Not Used")); strcpy(AMP2_A,("Not Used")); strcpy(AMP2_B,("Not Used")); strcpy(AMP2_C,("Not Used")); strcpy(AMP2_D,("Not Used"));  break;</v>
      </c>
      <c r="F475" t="s">
        <v>893</v>
      </c>
      <c r="I475" t="s">
        <v>893</v>
      </c>
      <c r="J475" s="45" t="str">
        <f>VLOOKUP(S475,'AMP models AxeFxIII'!$D$2:$H$299,2,FALSE)</f>
        <v>Not Used</v>
      </c>
      <c r="K475" s="45" t="str">
        <f>VLOOKUP(T475,'AMP models AxeFxIII'!$D$2:$H$299,2,FALSE)</f>
        <v>Not Used</v>
      </c>
      <c r="L475" s="45" t="str">
        <f>VLOOKUP(U475,'AMP models AxeFxIII'!$D$2:$H$299,2,FALSE)</f>
        <v>Not Used</v>
      </c>
      <c r="M475" s="45" t="str">
        <f>VLOOKUP(V475,'AMP models AxeFxIII'!$D$2:$H$299,2,FALSE)</f>
        <v>Not Used</v>
      </c>
      <c r="N475" s="45" t="str">
        <f>VLOOKUP(W475,'AMP models AxeFxIII'!$D$2:$H$299,2,FALSE)</f>
        <v>Not Used</v>
      </c>
      <c r="O475" s="45" t="str">
        <f>VLOOKUP(X475,'AMP models AxeFxIII'!$D$2:$H$299,2,FALSE)</f>
        <v>Not Used</v>
      </c>
      <c r="P475" s="45" t="str">
        <f>VLOOKUP(Y475,'AMP models AxeFxIII'!$D$2:$H$299,2,FALSE)</f>
        <v>Not Used</v>
      </c>
      <c r="Q475" s="45" t="str">
        <f>VLOOKUP(Z475,'AMP models AxeFxIII'!$D$2:$H$299,2,FALSE)</f>
        <v>Not Used</v>
      </c>
      <c r="R475" s="4">
        <v>471</v>
      </c>
      <c r="S475" s="46" t="s">
        <v>555</v>
      </c>
      <c r="T475" s="46" t="s">
        <v>555</v>
      </c>
      <c r="U475" s="46" t="s">
        <v>555</v>
      </c>
      <c r="V475" s="46" t="s">
        <v>555</v>
      </c>
      <c r="W475" s="46" t="s">
        <v>555</v>
      </c>
      <c r="X475" s="46" t="s">
        <v>555</v>
      </c>
      <c r="Y475" s="46" t="s">
        <v>555</v>
      </c>
      <c r="Z475" s="46" t="s">
        <v>555</v>
      </c>
    </row>
    <row r="476" spans="1:26">
      <c r="A476" s="41">
        <f>preset_Names!A476</f>
        <v>472</v>
      </c>
      <c r="B476" t="str">
        <f t="shared" si="22"/>
        <v xml:space="preserve">strcpy(AMP1_A,("Not Used")); strcpy(AMP1_B,("Not Used")); strcpy(AMP1_C,("Not Used")); strcpy(AMP1_D,("Not Used")); </v>
      </c>
      <c r="C476" t="str">
        <f t="shared" si="23"/>
        <v xml:space="preserve">strcpy(AMP2_A,("Not Used")); strcpy(AMP2_B,("Not Used")); strcpy(AMP2_C,("Not Used")); strcpy(AMP2_D,("Not Used")); </v>
      </c>
      <c r="D476" s="31" t="s">
        <v>893</v>
      </c>
      <c r="E476" s="42" t="str">
        <f t="shared" si="21"/>
        <v>case 472: strcpy(AMP1_A,("Not Used")); strcpy(AMP1_B,("Not Used")); strcpy(AMP1_C,("Not Used")); strcpy(AMP1_D,("Not Used")); strcpy(AMP2_A,("Not Used")); strcpy(AMP2_B,("Not Used")); strcpy(AMP2_C,("Not Used")); strcpy(AMP2_D,("Not Used"));  break;</v>
      </c>
      <c r="F476" t="s">
        <v>893</v>
      </c>
      <c r="I476" t="s">
        <v>893</v>
      </c>
      <c r="J476" s="45" t="str">
        <f>VLOOKUP(S476,'AMP models AxeFxIII'!$D$2:$H$299,2,FALSE)</f>
        <v>Not Used</v>
      </c>
      <c r="K476" s="45" t="str">
        <f>VLOOKUP(T476,'AMP models AxeFxIII'!$D$2:$H$299,2,FALSE)</f>
        <v>Not Used</v>
      </c>
      <c r="L476" s="45" t="str">
        <f>VLOOKUP(U476,'AMP models AxeFxIII'!$D$2:$H$299,2,FALSE)</f>
        <v>Not Used</v>
      </c>
      <c r="M476" s="45" t="str">
        <f>VLOOKUP(V476,'AMP models AxeFxIII'!$D$2:$H$299,2,FALSE)</f>
        <v>Not Used</v>
      </c>
      <c r="N476" s="45" t="str">
        <f>VLOOKUP(W476,'AMP models AxeFxIII'!$D$2:$H$299,2,FALSE)</f>
        <v>Not Used</v>
      </c>
      <c r="O476" s="45" t="str">
        <f>VLOOKUP(X476,'AMP models AxeFxIII'!$D$2:$H$299,2,FALSE)</f>
        <v>Not Used</v>
      </c>
      <c r="P476" s="45" t="str">
        <f>VLOOKUP(Y476,'AMP models AxeFxIII'!$D$2:$H$299,2,FALSE)</f>
        <v>Not Used</v>
      </c>
      <c r="Q476" s="45" t="str">
        <f>VLOOKUP(Z476,'AMP models AxeFxIII'!$D$2:$H$299,2,FALSE)</f>
        <v>Not Used</v>
      </c>
      <c r="R476" s="4">
        <v>472</v>
      </c>
      <c r="S476" s="46" t="s">
        <v>555</v>
      </c>
      <c r="T476" s="46" t="s">
        <v>555</v>
      </c>
      <c r="U476" s="46" t="s">
        <v>555</v>
      </c>
      <c r="V476" s="46" t="s">
        <v>555</v>
      </c>
      <c r="W476" s="46" t="s">
        <v>555</v>
      </c>
      <c r="X476" s="46" t="s">
        <v>555</v>
      </c>
      <c r="Y476" s="46" t="s">
        <v>555</v>
      </c>
      <c r="Z476" s="46" t="s">
        <v>555</v>
      </c>
    </row>
    <row r="477" spans="1:26">
      <c r="A477" s="41">
        <f>preset_Names!A477</f>
        <v>473</v>
      </c>
      <c r="B477" t="str">
        <f t="shared" si="22"/>
        <v xml:space="preserve">strcpy(AMP1_A,("Not Used")); strcpy(AMP1_B,("Not Used")); strcpy(AMP1_C,("Not Used")); strcpy(AMP1_D,("Not Used")); </v>
      </c>
      <c r="C477" t="str">
        <f t="shared" si="23"/>
        <v xml:space="preserve">strcpy(AMP2_A,("Not Used")); strcpy(AMP2_B,("Not Used")); strcpy(AMP2_C,("Not Used")); strcpy(AMP2_D,("Not Used")); </v>
      </c>
      <c r="D477" s="31" t="s">
        <v>893</v>
      </c>
      <c r="E477" s="42" t="str">
        <f t="shared" si="21"/>
        <v>case 473: strcpy(AMP1_A,("Not Used")); strcpy(AMP1_B,("Not Used")); strcpy(AMP1_C,("Not Used")); strcpy(AMP1_D,("Not Used")); strcpy(AMP2_A,("Not Used")); strcpy(AMP2_B,("Not Used")); strcpy(AMP2_C,("Not Used")); strcpy(AMP2_D,("Not Used"));  break;</v>
      </c>
      <c r="F477" t="s">
        <v>893</v>
      </c>
      <c r="I477" t="s">
        <v>893</v>
      </c>
      <c r="J477" s="45" t="str">
        <f>VLOOKUP(S477,'AMP models AxeFxIII'!$D$2:$H$299,2,FALSE)</f>
        <v>Not Used</v>
      </c>
      <c r="K477" s="45" t="str">
        <f>VLOOKUP(T477,'AMP models AxeFxIII'!$D$2:$H$299,2,FALSE)</f>
        <v>Not Used</v>
      </c>
      <c r="L477" s="45" t="str">
        <f>VLOOKUP(U477,'AMP models AxeFxIII'!$D$2:$H$299,2,FALSE)</f>
        <v>Not Used</v>
      </c>
      <c r="M477" s="45" t="str">
        <f>VLOOKUP(V477,'AMP models AxeFxIII'!$D$2:$H$299,2,FALSE)</f>
        <v>Not Used</v>
      </c>
      <c r="N477" s="45" t="str">
        <f>VLOOKUP(W477,'AMP models AxeFxIII'!$D$2:$H$299,2,FALSE)</f>
        <v>Not Used</v>
      </c>
      <c r="O477" s="45" t="str">
        <f>VLOOKUP(X477,'AMP models AxeFxIII'!$D$2:$H$299,2,FALSE)</f>
        <v>Not Used</v>
      </c>
      <c r="P477" s="45" t="str">
        <f>VLOOKUP(Y477,'AMP models AxeFxIII'!$D$2:$H$299,2,FALSE)</f>
        <v>Not Used</v>
      </c>
      <c r="Q477" s="45" t="str">
        <f>VLOOKUP(Z477,'AMP models AxeFxIII'!$D$2:$H$299,2,FALSE)</f>
        <v>Not Used</v>
      </c>
      <c r="R477" s="4">
        <v>473</v>
      </c>
      <c r="S477" s="46" t="s">
        <v>555</v>
      </c>
      <c r="T477" s="46" t="s">
        <v>555</v>
      </c>
      <c r="U477" s="46" t="s">
        <v>555</v>
      </c>
      <c r="V477" s="46" t="s">
        <v>555</v>
      </c>
      <c r="W477" s="46" t="s">
        <v>555</v>
      </c>
      <c r="X477" s="46" t="s">
        <v>555</v>
      </c>
      <c r="Y477" s="46" t="s">
        <v>555</v>
      </c>
      <c r="Z477" s="46" t="s">
        <v>555</v>
      </c>
    </row>
    <row r="478" spans="1:26">
      <c r="A478" s="41">
        <f>preset_Names!A478</f>
        <v>474</v>
      </c>
      <c r="B478" t="str">
        <f t="shared" si="22"/>
        <v xml:space="preserve">strcpy(AMP1_A,("Not Used")); strcpy(AMP1_B,("Not Used")); strcpy(AMP1_C,("Not Used")); strcpy(AMP1_D,("Not Used")); </v>
      </c>
      <c r="C478" t="str">
        <f t="shared" si="23"/>
        <v xml:space="preserve">strcpy(AMP2_A,("Not Used")); strcpy(AMP2_B,("Not Used")); strcpy(AMP2_C,("Not Used")); strcpy(AMP2_D,("Not Used")); </v>
      </c>
      <c r="D478" s="31" t="s">
        <v>893</v>
      </c>
      <c r="E478" s="42" t="str">
        <f t="shared" si="21"/>
        <v>case 474: strcpy(AMP1_A,("Not Used")); strcpy(AMP1_B,("Not Used")); strcpy(AMP1_C,("Not Used")); strcpy(AMP1_D,("Not Used")); strcpy(AMP2_A,("Not Used")); strcpy(AMP2_B,("Not Used")); strcpy(AMP2_C,("Not Used")); strcpy(AMP2_D,("Not Used"));  break;</v>
      </c>
      <c r="F478" t="s">
        <v>893</v>
      </c>
      <c r="I478" t="s">
        <v>893</v>
      </c>
      <c r="J478" s="45" t="str">
        <f>VLOOKUP(S478,'AMP models AxeFxIII'!$D$2:$H$299,2,FALSE)</f>
        <v>Not Used</v>
      </c>
      <c r="K478" s="45" t="str">
        <f>VLOOKUP(T478,'AMP models AxeFxIII'!$D$2:$H$299,2,FALSE)</f>
        <v>Not Used</v>
      </c>
      <c r="L478" s="45" t="str">
        <f>VLOOKUP(U478,'AMP models AxeFxIII'!$D$2:$H$299,2,FALSE)</f>
        <v>Not Used</v>
      </c>
      <c r="M478" s="45" t="str">
        <f>VLOOKUP(V478,'AMP models AxeFxIII'!$D$2:$H$299,2,FALSE)</f>
        <v>Not Used</v>
      </c>
      <c r="N478" s="45" t="str">
        <f>VLOOKUP(W478,'AMP models AxeFxIII'!$D$2:$H$299,2,FALSE)</f>
        <v>Not Used</v>
      </c>
      <c r="O478" s="45" t="str">
        <f>VLOOKUP(X478,'AMP models AxeFxIII'!$D$2:$H$299,2,FALSE)</f>
        <v>Not Used</v>
      </c>
      <c r="P478" s="45" t="str">
        <f>VLOOKUP(Y478,'AMP models AxeFxIII'!$D$2:$H$299,2,FALSE)</f>
        <v>Not Used</v>
      </c>
      <c r="Q478" s="45" t="str">
        <f>VLOOKUP(Z478,'AMP models AxeFxIII'!$D$2:$H$299,2,FALSE)</f>
        <v>Not Used</v>
      </c>
      <c r="R478" s="4">
        <v>474</v>
      </c>
      <c r="S478" s="46" t="s">
        <v>555</v>
      </c>
      <c r="T478" s="46" t="s">
        <v>555</v>
      </c>
      <c r="U478" s="46" t="s">
        <v>555</v>
      </c>
      <c r="V478" s="46" t="s">
        <v>555</v>
      </c>
      <c r="W478" s="46" t="s">
        <v>555</v>
      </c>
      <c r="X478" s="46" t="s">
        <v>555</v>
      </c>
      <c r="Y478" s="46" t="s">
        <v>555</v>
      </c>
      <c r="Z478" s="46" t="s">
        <v>555</v>
      </c>
    </row>
    <row r="479" spans="1:26">
      <c r="A479" s="41">
        <f>preset_Names!A479</f>
        <v>475</v>
      </c>
      <c r="B479" t="str">
        <f t="shared" si="22"/>
        <v xml:space="preserve">strcpy(AMP1_A,("Not Used")); strcpy(AMP1_B,("Not Used")); strcpy(AMP1_C,("Not Used")); strcpy(AMP1_D,("Not Used")); </v>
      </c>
      <c r="C479" t="str">
        <f t="shared" si="23"/>
        <v xml:space="preserve">strcpy(AMP2_A,("Not Used")); strcpy(AMP2_B,("Not Used")); strcpy(AMP2_C,("Not Used")); strcpy(AMP2_D,("Not Used")); </v>
      </c>
      <c r="D479" s="31" t="s">
        <v>893</v>
      </c>
      <c r="E479" s="42" t="str">
        <f t="shared" si="21"/>
        <v>case 475: strcpy(AMP1_A,("Not Used")); strcpy(AMP1_B,("Not Used")); strcpy(AMP1_C,("Not Used")); strcpy(AMP1_D,("Not Used")); strcpy(AMP2_A,("Not Used")); strcpy(AMP2_B,("Not Used")); strcpy(AMP2_C,("Not Used")); strcpy(AMP2_D,("Not Used"));  break;</v>
      </c>
      <c r="F479" t="s">
        <v>893</v>
      </c>
      <c r="I479" t="s">
        <v>893</v>
      </c>
      <c r="J479" s="45" t="str">
        <f>VLOOKUP(S479,'AMP models AxeFxIII'!$D$2:$H$299,2,FALSE)</f>
        <v>Not Used</v>
      </c>
      <c r="K479" s="45" t="str">
        <f>VLOOKUP(T479,'AMP models AxeFxIII'!$D$2:$H$299,2,FALSE)</f>
        <v>Not Used</v>
      </c>
      <c r="L479" s="45" t="str">
        <f>VLOOKUP(U479,'AMP models AxeFxIII'!$D$2:$H$299,2,FALSE)</f>
        <v>Not Used</v>
      </c>
      <c r="M479" s="45" t="str">
        <f>VLOOKUP(V479,'AMP models AxeFxIII'!$D$2:$H$299,2,FALSE)</f>
        <v>Not Used</v>
      </c>
      <c r="N479" s="45" t="str">
        <f>VLOOKUP(W479,'AMP models AxeFxIII'!$D$2:$H$299,2,FALSE)</f>
        <v>Not Used</v>
      </c>
      <c r="O479" s="45" t="str">
        <f>VLOOKUP(X479,'AMP models AxeFxIII'!$D$2:$H$299,2,FALSE)</f>
        <v>Not Used</v>
      </c>
      <c r="P479" s="45" t="str">
        <f>VLOOKUP(Y479,'AMP models AxeFxIII'!$D$2:$H$299,2,FALSE)</f>
        <v>Not Used</v>
      </c>
      <c r="Q479" s="45" t="str">
        <f>VLOOKUP(Z479,'AMP models AxeFxIII'!$D$2:$H$299,2,FALSE)</f>
        <v>Not Used</v>
      </c>
      <c r="R479" s="4">
        <v>475</v>
      </c>
      <c r="S479" s="46" t="s">
        <v>555</v>
      </c>
      <c r="T479" s="46" t="s">
        <v>555</v>
      </c>
      <c r="U479" s="46" t="s">
        <v>555</v>
      </c>
      <c r="V479" s="46" t="s">
        <v>555</v>
      </c>
      <c r="W479" s="46" t="s">
        <v>555</v>
      </c>
      <c r="X479" s="46" t="s">
        <v>555</v>
      </c>
      <c r="Y479" s="46" t="s">
        <v>555</v>
      </c>
      <c r="Z479" s="46" t="s">
        <v>555</v>
      </c>
    </row>
    <row r="480" spans="1:26">
      <c r="A480" s="41">
        <f>preset_Names!A480</f>
        <v>476</v>
      </c>
      <c r="B480" t="str">
        <f t="shared" si="22"/>
        <v xml:space="preserve">strcpy(AMP1_A,("Not Used")); strcpy(AMP1_B,("Not Used")); strcpy(AMP1_C,("Not Used")); strcpy(AMP1_D,("Not Used")); </v>
      </c>
      <c r="C480" t="str">
        <f t="shared" si="23"/>
        <v xml:space="preserve">strcpy(AMP2_A,("Not Used")); strcpy(AMP2_B,("Not Used")); strcpy(AMP2_C,("Not Used")); strcpy(AMP2_D,("Not Used")); </v>
      </c>
      <c r="D480" s="31" t="s">
        <v>893</v>
      </c>
      <c r="E480" s="42" t="str">
        <f t="shared" si="21"/>
        <v>case 476: strcpy(AMP1_A,("Not Used")); strcpy(AMP1_B,("Not Used")); strcpy(AMP1_C,("Not Used")); strcpy(AMP1_D,("Not Used")); strcpy(AMP2_A,("Not Used")); strcpy(AMP2_B,("Not Used")); strcpy(AMP2_C,("Not Used")); strcpy(AMP2_D,("Not Used"));  break;</v>
      </c>
      <c r="F480" t="s">
        <v>893</v>
      </c>
      <c r="I480" t="s">
        <v>893</v>
      </c>
      <c r="J480" s="45" t="str">
        <f>VLOOKUP(S480,'AMP models AxeFxIII'!$D$2:$H$299,2,FALSE)</f>
        <v>Not Used</v>
      </c>
      <c r="K480" s="45" t="str">
        <f>VLOOKUP(T480,'AMP models AxeFxIII'!$D$2:$H$299,2,FALSE)</f>
        <v>Not Used</v>
      </c>
      <c r="L480" s="45" t="str">
        <f>VLOOKUP(U480,'AMP models AxeFxIII'!$D$2:$H$299,2,FALSE)</f>
        <v>Not Used</v>
      </c>
      <c r="M480" s="45" t="str">
        <f>VLOOKUP(V480,'AMP models AxeFxIII'!$D$2:$H$299,2,FALSE)</f>
        <v>Not Used</v>
      </c>
      <c r="N480" s="45" t="str">
        <f>VLOOKUP(W480,'AMP models AxeFxIII'!$D$2:$H$299,2,FALSE)</f>
        <v>Not Used</v>
      </c>
      <c r="O480" s="45" t="str">
        <f>VLOOKUP(X480,'AMP models AxeFxIII'!$D$2:$H$299,2,FALSE)</f>
        <v>Not Used</v>
      </c>
      <c r="P480" s="45" t="str">
        <f>VLOOKUP(Y480,'AMP models AxeFxIII'!$D$2:$H$299,2,FALSE)</f>
        <v>Not Used</v>
      </c>
      <c r="Q480" s="45" t="str">
        <f>VLOOKUP(Z480,'AMP models AxeFxIII'!$D$2:$H$299,2,FALSE)</f>
        <v>Not Used</v>
      </c>
      <c r="R480" s="4">
        <v>476</v>
      </c>
      <c r="S480" s="46" t="s">
        <v>555</v>
      </c>
      <c r="T480" s="46" t="s">
        <v>555</v>
      </c>
      <c r="U480" s="46" t="s">
        <v>555</v>
      </c>
      <c r="V480" s="46" t="s">
        <v>555</v>
      </c>
      <c r="W480" s="46" t="s">
        <v>555</v>
      </c>
      <c r="X480" s="46" t="s">
        <v>555</v>
      </c>
      <c r="Y480" s="46" t="s">
        <v>555</v>
      </c>
      <c r="Z480" s="46" t="s">
        <v>555</v>
      </c>
    </row>
    <row r="481" spans="1:26">
      <c r="A481" s="41">
        <f>preset_Names!A481</f>
        <v>477</v>
      </c>
      <c r="B481" t="str">
        <f t="shared" si="22"/>
        <v xml:space="preserve">strcpy(AMP1_A,("Not Used")); strcpy(AMP1_B,("Not Used")); strcpy(AMP1_C,("Not Used")); strcpy(AMP1_D,("Not Used")); </v>
      </c>
      <c r="C481" t="str">
        <f t="shared" si="23"/>
        <v xml:space="preserve">strcpy(AMP2_A,("Not Used")); strcpy(AMP2_B,("Not Used")); strcpy(AMP2_C,("Not Used")); strcpy(AMP2_D,("Not Used")); </v>
      </c>
      <c r="D481" s="31" t="s">
        <v>893</v>
      </c>
      <c r="E481" s="42" t="str">
        <f t="shared" si="21"/>
        <v>case 477: strcpy(AMP1_A,("Not Used")); strcpy(AMP1_B,("Not Used")); strcpy(AMP1_C,("Not Used")); strcpy(AMP1_D,("Not Used")); strcpy(AMP2_A,("Not Used")); strcpy(AMP2_B,("Not Used")); strcpy(AMP2_C,("Not Used")); strcpy(AMP2_D,("Not Used"));  break;</v>
      </c>
      <c r="F481" t="s">
        <v>893</v>
      </c>
      <c r="I481" t="s">
        <v>893</v>
      </c>
      <c r="J481" s="45" t="str">
        <f>VLOOKUP(S481,'AMP models AxeFxIII'!$D$2:$H$299,2,FALSE)</f>
        <v>Not Used</v>
      </c>
      <c r="K481" s="45" t="str">
        <f>VLOOKUP(T481,'AMP models AxeFxIII'!$D$2:$H$299,2,FALSE)</f>
        <v>Not Used</v>
      </c>
      <c r="L481" s="45" t="str">
        <f>VLOOKUP(U481,'AMP models AxeFxIII'!$D$2:$H$299,2,FALSE)</f>
        <v>Not Used</v>
      </c>
      <c r="M481" s="45" t="str">
        <f>VLOOKUP(V481,'AMP models AxeFxIII'!$D$2:$H$299,2,FALSE)</f>
        <v>Not Used</v>
      </c>
      <c r="N481" s="45" t="str">
        <f>VLOOKUP(W481,'AMP models AxeFxIII'!$D$2:$H$299,2,FALSE)</f>
        <v>Not Used</v>
      </c>
      <c r="O481" s="45" t="str">
        <f>VLOOKUP(X481,'AMP models AxeFxIII'!$D$2:$H$299,2,FALSE)</f>
        <v>Not Used</v>
      </c>
      <c r="P481" s="45" t="str">
        <f>VLOOKUP(Y481,'AMP models AxeFxIII'!$D$2:$H$299,2,FALSE)</f>
        <v>Not Used</v>
      </c>
      <c r="Q481" s="45" t="str">
        <f>VLOOKUP(Z481,'AMP models AxeFxIII'!$D$2:$H$299,2,FALSE)</f>
        <v>Not Used</v>
      </c>
      <c r="R481" s="4">
        <v>477</v>
      </c>
      <c r="S481" s="46" t="s">
        <v>555</v>
      </c>
      <c r="T481" s="46" t="s">
        <v>555</v>
      </c>
      <c r="U481" s="46" t="s">
        <v>555</v>
      </c>
      <c r="V481" s="46" t="s">
        <v>555</v>
      </c>
      <c r="W481" s="46" t="s">
        <v>555</v>
      </c>
      <c r="X481" s="46" t="s">
        <v>555</v>
      </c>
      <c r="Y481" s="46" t="s">
        <v>555</v>
      </c>
      <c r="Z481" s="46" t="s">
        <v>555</v>
      </c>
    </row>
    <row r="482" spans="1:26">
      <c r="A482" s="41">
        <f>preset_Names!A482</f>
        <v>478</v>
      </c>
      <c r="B482" t="str">
        <f t="shared" si="22"/>
        <v xml:space="preserve">strcpy(AMP1_A,("Not Used")); strcpy(AMP1_B,("Not Used")); strcpy(AMP1_C,("Not Used")); strcpy(AMP1_D,("Not Used")); </v>
      </c>
      <c r="C482" t="str">
        <f t="shared" si="23"/>
        <v xml:space="preserve">strcpy(AMP2_A,("Not Used")); strcpy(AMP2_B,("Not Used")); strcpy(AMP2_C,("Not Used")); strcpy(AMP2_D,("Not Used")); </v>
      </c>
      <c r="D482" s="31" t="s">
        <v>893</v>
      </c>
      <c r="E482" s="42" t="str">
        <f t="shared" si="21"/>
        <v>case 478: strcpy(AMP1_A,("Not Used")); strcpy(AMP1_B,("Not Used")); strcpy(AMP1_C,("Not Used")); strcpy(AMP1_D,("Not Used")); strcpy(AMP2_A,("Not Used")); strcpy(AMP2_B,("Not Used")); strcpy(AMP2_C,("Not Used")); strcpy(AMP2_D,("Not Used"));  break;</v>
      </c>
      <c r="F482" t="s">
        <v>893</v>
      </c>
      <c r="I482" t="s">
        <v>893</v>
      </c>
      <c r="J482" s="45" t="str">
        <f>VLOOKUP(S482,'AMP models AxeFxIII'!$D$2:$H$299,2,FALSE)</f>
        <v>Not Used</v>
      </c>
      <c r="K482" s="45" t="str">
        <f>VLOOKUP(T482,'AMP models AxeFxIII'!$D$2:$H$299,2,FALSE)</f>
        <v>Not Used</v>
      </c>
      <c r="L482" s="45" t="str">
        <f>VLOOKUP(U482,'AMP models AxeFxIII'!$D$2:$H$299,2,FALSE)</f>
        <v>Not Used</v>
      </c>
      <c r="M482" s="45" t="str">
        <f>VLOOKUP(V482,'AMP models AxeFxIII'!$D$2:$H$299,2,FALSE)</f>
        <v>Not Used</v>
      </c>
      <c r="N482" s="45" t="str">
        <f>VLOOKUP(W482,'AMP models AxeFxIII'!$D$2:$H$299,2,FALSE)</f>
        <v>Not Used</v>
      </c>
      <c r="O482" s="45" t="str">
        <f>VLOOKUP(X482,'AMP models AxeFxIII'!$D$2:$H$299,2,FALSE)</f>
        <v>Not Used</v>
      </c>
      <c r="P482" s="45" t="str">
        <f>VLOOKUP(Y482,'AMP models AxeFxIII'!$D$2:$H$299,2,FALSE)</f>
        <v>Not Used</v>
      </c>
      <c r="Q482" s="45" t="str">
        <f>VLOOKUP(Z482,'AMP models AxeFxIII'!$D$2:$H$299,2,FALSE)</f>
        <v>Not Used</v>
      </c>
      <c r="R482" s="4">
        <v>478</v>
      </c>
      <c r="S482" s="46" t="s">
        <v>555</v>
      </c>
      <c r="T482" s="46" t="s">
        <v>555</v>
      </c>
      <c r="U482" s="46" t="s">
        <v>555</v>
      </c>
      <c r="V482" s="46" t="s">
        <v>555</v>
      </c>
      <c r="W482" s="46" t="s">
        <v>555</v>
      </c>
      <c r="X482" s="46" t="s">
        <v>555</v>
      </c>
      <c r="Y482" s="46" t="s">
        <v>555</v>
      </c>
      <c r="Z482" s="46" t="s">
        <v>555</v>
      </c>
    </row>
    <row r="483" spans="1:26">
      <c r="A483" s="41">
        <f>preset_Names!A483</f>
        <v>479</v>
      </c>
      <c r="B483" t="str">
        <f t="shared" si="22"/>
        <v xml:space="preserve">strcpy(AMP1_A,("Not Used")); strcpy(AMP1_B,("Not Used")); strcpy(AMP1_C,("Not Used")); strcpy(AMP1_D,("Not Used")); </v>
      </c>
      <c r="C483" t="str">
        <f t="shared" si="23"/>
        <v xml:space="preserve">strcpy(AMP2_A,("Not Used")); strcpy(AMP2_B,("Not Used")); strcpy(AMP2_C,("Not Used")); strcpy(AMP2_D,("Not Used")); </v>
      </c>
      <c r="D483" s="31" t="s">
        <v>893</v>
      </c>
      <c r="E483" s="42" t="str">
        <f t="shared" si="21"/>
        <v>case 479: strcpy(AMP1_A,("Not Used")); strcpy(AMP1_B,("Not Used")); strcpy(AMP1_C,("Not Used")); strcpy(AMP1_D,("Not Used")); strcpy(AMP2_A,("Not Used")); strcpy(AMP2_B,("Not Used")); strcpy(AMP2_C,("Not Used")); strcpy(AMP2_D,("Not Used"));  break;</v>
      </c>
      <c r="F483" t="s">
        <v>893</v>
      </c>
      <c r="I483" t="s">
        <v>893</v>
      </c>
      <c r="J483" s="45" t="str">
        <f>VLOOKUP(S483,'AMP models AxeFxIII'!$D$2:$H$299,2,FALSE)</f>
        <v>Not Used</v>
      </c>
      <c r="K483" s="45" t="str">
        <f>VLOOKUP(T483,'AMP models AxeFxIII'!$D$2:$H$299,2,FALSE)</f>
        <v>Not Used</v>
      </c>
      <c r="L483" s="45" t="str">
        <f>VLOOKUP(U483,'AMP models AxeFxIII'!$D$2:$H$299,2,FALSE)</f>
        <v>Not Used</v>
      </c>
      <c r="M483" s="45" t="str">
        <f>VLOOKUP(V483,'AMP models AxeFxIII'!$D$2:$H$299,2,FALSE)</f>
        <v>Not Used</v>
      </c>
      <c r="N483" s="45" t="str">
        <f>VLOOKUP(W483,'AMP models AxeFxIII'!$D$2:$H$299,2,FALSE)</f>
        <v>Not Used</v>
      </c>
      <c r="O483" s="45" t="str">
        <f>VLOOKUP(X483,'AMP models AxeFxIII'!$D$2:$H$299,2,FALSE)</f>
        <v>Not Used</v>
      </c>
      <c r="P483" s="45" t="str">
        <f>VLOOKUP(Y483,'AMP models AxeFxIII'!$D$2:$H$299,2,FALSE)</f>
        <v>Not Used</v>
      </c>
      <c r="Q483" s="45" t="str">
        <f>VLOOKUP(Z483,'AMP models AxeFxIII'!$D$2:$H$299,2,FALSE)</f>
        <v>Not Used</v>
      </c>
      <c r="R483" s="4">
        <v>479</v>
      </c>
      <c r="S483" s="46" t="s">
        <v>555</v>
      </c>
      <c r="T483" s="46" t="s">
        <v>555</v>
      </c>
      <c r="U483" s="46" t="s">
        <v>555</v>
      </c>
      <c r="V483" s="46" t="s">
        <v>555</v>
      </c>
      <c r="W483" s="46" t="s">
        <v>555</v>
      </c>
      <c r="X483" s="46" t="s">
        <v>555</v>
      </c>
      <c r="Y483" s="46" t="s">
        <v>555</v>
      </c>
      <c r="Z483" s="46" t="s">
        <v>555</v>
      </c>
    </row>
    <row r="484" spans="1:26">
      <c r="A484" s="41">
        <f>preset_Names!A484</f>
        <v>480</v>
      </c>
      <c r="B484" t="str">
        <f t="shared" si="22"/>
        <v xml:space="preserve">strcpy(AMP1_A,("Not Used")); strcpy(AMP1_B,("Not Used")); strcpy(AMP1_C,("Not Used")); strcpy(AMP1_D,("Not Used")); </v>
      </c>
      <c r="C484" t="str">
        <f t="shared" si="23"/>
        <v xml:space="preserve">strcpy(AMP2_A,("Not Used")); strcpy(AMP2_B,("Not Used")); strcpy(AMP2_C,("Not Used")); strcpy(AMP2_D,("Not Used")); </v>
      </c>
      <c r="D484" s="31" t="s">
        <v>893</v>
      </c>
      <c r="E484" s="42" t="str">
        <f t="shared" si="21"/>
        <v>case 480: strcpy(AMP1_A,("Not Used")); strcpy(AMP1_B,("Not Used")); strcpy(AMP1_C,("Not Used")); strcpy(AMP1_D,("Not Used")); strcpy(AMP2_A,("Not Used")); strcpy(AMP2_B,("Not Used")); strcpy(AMP2_C,("Not Used")); strcpy(AMP2_D,("Not Used"));  break;</v>
      </c>
      <c r="F484" t="s">
        <v>893</v>
      </c>
      <c r="I484" t="s">
        <v>893</v>
      </c>
      <c r="J484" s="45" t="str">
        <f>VLOOKUP(S484,'AMP models AxeFxIII'!$D$2:$H$299,2,FALSE)</f>
        <v>Not Used</v>
      </c>
      <c r="K484" s="45" t="str">
        <f>VLOOKUP(T484,'AMP models AxeFxIII'!$D$2:$H$299,2,FALSE)</f>
        <v>Not Used</v>
      </c>
      <c r="L484" s="45" t="str">
        <f>VLOOKUP(U484,'AMP models AxeFxIII'!$D$2:$H$299,2,FALSE)</f>
        <v>Not Used</v>
      </c>
      <c r="M484" s="45" t="str">
        <f>VLOOKUP(V484,'AMP models AxeFxIII'!$D$2:$H$299,2,FALSE)</f>
        <v>Not Used</v>
      </c>
      <c r="N484" s="45" t="str">
        <f>VLOOKUP(W484,'AMP models AxeFxIII'!$D$2:$H$299,2,FALSE)</f>
        <v>Not Used</v>
      </c>
      <c r="O484" s="45" t="str">
        <f>VLOOKUP(X484,'AMP models AxeFxIII'!$D$2:$H$299,2,FALSE)</f>
        <v>Not Used</v>
      </c>
      <c r="P484" s="45" t="str">
        <f>VLOOKUP(Y484,'AMP models AxeFxIII'!$D$2:$H$299,2,FALSE)</f>
        <v>Not Used</v>
      </c>
      <c r="Q484" s="45" t="str">
        <f>VLOOKUP(Z484,'AMP models AxeFxIII'!$D$2:$H$299,2,FALSE)</f>
        <v>Not Used</v>
      </c>
      <c r="R484" s="4">
        <v>480</v>
      </c>
      <c r="S484" s="46" t="s">
        <v>555</v>
      </c>
      <c r="T484" s="46" t="s">
        <v>555</v>
      </c>
      <c r="U484" s="46" t="s">
        <v>555</v>
      </c>
      <c r="V484" s="46" t="s">
        <v>555</v>
      </c>
      <c r="W484" s="46" t="s">
        <v>555</v>
      </c>
      <c r="X484" s="46" t="s">
        <v>555</v>
      </c>
      <c r="Y484" s="46" t="s">
        <v>555</v>
      </c>
      <c r="Z484" s="46" t="s">
        <v>555</v>
      </c>
    </row>
    <row r="485" spans="1:26">
      <c r="A485" s="41">
        <f>preset_Names!A485</f>
        <v>481</v>
      </c>
      <c r="B485" t="str">
        <f t="shared" si="22"/>
        <v xml:space="preserve">strcpy(AMP1_A,("Not Used")); strcpy(AMP1_B,("Not Used")); strcpy(AMP1_C,("Not Used")); strcpy(AMP1_D,("Not Used")); </v>
      </c>
      <c r="C485" t="str">
        <f t="shared" si="23"/>
        <v xml:space="preserve">strcpy(AMP2_A,("Not Used")); strcpy(AMP2_B,("Not Used")); strcpy(AMP2_C,("Not Used")); strcpy(AMP2_D,("Not Used")); </v>
      </c>
      <c r="D485" s="31" t="s">
        <v>893</v>
      </c>
      <c r="E485" s="42" t="str">
        <f t="shared" si="21"/>
        <v>case 481: strcpy(AMP1_A,("Not Used")); strcpy(AMP1_B,("Not Used")); strcpy(AMP1_C,("Not Used")); strcpy(AMP1_D,("Not Used")); strcpy(AMP2_A,("Not Used")); strcpy(AMP2_B,("Not Used")); strcpy(AMP2_C,("Not Used")); strcpy(AMP2_D,("Not Used"));  break;</v>
      </c>
      <c r="F485" t="s">
        <v>893</v>
      </c>
      <c r="I485" t="s">
        <v>893</v>
      </c>
      <c r="J485" s="45" t="str">
        <f>VLOOKUP(S485,'AMP models AxeFxIII'!$D$2:$H$299,2,FALSE)</f>
        <v>Not Used</v>
      </c>
      <c r="K485" s="45" t="str">
        <f>VLOOKUP(T485,'AMP models AxeFxIII'!$D$2:$H$299,2,FALSE)</f>
        <v>Not Used</v>
      </c>
      <c r="L485" s="45" t="str">
        <f>VLOOKUP(U485,'AMP models AxeFxIII'!$D$2:$H$299,2,FALSE)</f>
        <v>Not Used</v>
      </c>
      <c r="M485" s="45" t="str">
        <f>VLOOKUP(V485,'AMP models AxeFxIII'!$D$2:$H$299,2,FALSE)</f>
        <v>Not Used</v>
      </c>
      <c r="N485" s="45" t="str">
        <f>VLOOKUP(W485,'AMP models AxeFxIII'!$D$2:$H$299,2,FALSE)</f>
        <v>Not Used</v>
      </c>
      <c r="O485" s="45" t="str">
        <f>VLOOKUP(X485,'AMP models AxeFxIII'!$D$2:$H$299,2,FALSE)</f>
        <v>Not Used</v>
      </c>
      <c r="P485" s="45" t="str">
        <f>VLOOKUP(Y485,'AMP models AxeFxIII'!$D$2:$H$299,2,FALSE)</f>
        <v>Not Used</v>
      </c>
      <c r="Q485" s="45" t="str">
        <f>VLOOKUP(Z485,'AMP models AxeFxIII'!$D$2:$H$299,2,FALSE)</f>
        <v>Not Used</v>
      </c>
      <c r="R485" s="4">
        <v>481</v>
      </c>
      <c r="S485" s="46" t="s">
        <v>555</v>
      </c>
      <c r="T485" s="46" t="s">
        <v>555</v>
      </c>
      <c r="U485" s="46" t="s">
        <v>555</v>
      </c>
      <c r="V485" s="46" t="s">
        <v>555</v>
      </c>
      <c r="W485" s="46" t="s">
        <v>555</v>
      </c>
      <c r="X485" s="46" t="s">
        <v>555</v>
      </c>
      <c r="Y485" s="46" t="s">
        <v>555</v>
      </c>
      <c r="Z485" s="46" t="s">
        <v>555</v>
      </c>
    </row>
    <row r="486" spans="1:26">
      <c r="A486" s="41">
        <f>preset_Names!A486</f>
        <v>482</v>
      </c>
      <c r="B486" t="str">
        <f t="shared" ref="B486:B515" si="24">$F$4&amp;$J$3&amp;$G$4&amp;J486&amp;$H$4&amp;$F$4&amp;$K$3&amp;$G$4&amp;K486&amp;$H$4&amp;$F$4&amp;$L$3&amp;$G$4&amp;L486&amp;$H$4&amp;$F$4&amp;$M$3&amp;$G$4&amp;M486&amp;$H$4</f>
        <v xml:space="preserve">strcpy(AMP1_A,("Not Used")); strcpy(AMP1_B,("Not Used")); strcpy(AMP1_C,("Not Used")); strcpy(AMP1_D,("Not Used")); </v>
      </c>
      <c r="C486" t="str">
        <f t="shared" si="23"/>
        <v xml:space="preserve">strcpy(AMP2_A,("Not Used")); strcpy(AMP2_B,("Not Used")); strcpy(AMP2_C,("Not Used")); strcpy(AMP2_D,("Not Used")); </v>
      </c>
      <c r="D486" s="31" t="s">
        <v>893</v>
      </c>
      <c r="E486" s="42" t="str">
        <f t="shared" si="21"/>
        <v>case 482: strcpy(AMP1_A,("Not Used")); strcpy(AMP1_B,("Not Used")); strcpy(AMP1_C,("Not Used")); strcpy(AMP1_D,("Not Used")); strcpy(AMP2_A,("Not Used")); strcpy(AMP2_B,("Not Used")); strcpy(AMP2_C,("Not Used")); strcpy(AMP2_D,("Not Used"));  break;</v>
      </c>
      <c r="F486" t="s">
        <v>893</v>
      </c>
      <c r="I486" t="s">
        <v>893</v>
      </c>
      <c r="J486" s="45" t="str">
        <f>VLOOKUP(S486,'AMP models AxeFxIII'!$D$2:$H$299,2,FALSE)</f>
        <v>Not Used</v>
      </c>
      <c r="K486" s="45" t="str">
        <f>VLOOKUP(T486,'AMP models AxeFxIII'!$D$2:$H$299,2,FALSE)</f>
        <v>Not Used</v>
      </c>
      <c r="L486" s="45" t="str">
        <f>VLOOKUP(U486,'AMP models AxeFxIII'!$D$2:$H$299,2,FALSE)</f>
        <v>Not Used</v>
      </c>
      <c r="M486" s="45" t="str">
        <f>VLOOKUP(V486,'AMP models AxeFxIII'!$D$2:$H$299,2,FALSE)</f>
        <v>Not Used</v>
      </c>
      <c r="N486" s="45" t="str">
        <f>VLOOKUP(W486,'AMP models AxeFxIII'!$D$2:$H$299,2,FALSE)</f>
        <v>Not Used</v>
      </c>
      <c r="O486" s="45" t="str">
        <f>VLOOKUP(X486,'AMP models AxeFxIII'!$D$2:$H$299,2,FALSE)</f>
        <v>Not Used</v>
      </c>
      <c r="P486" s="45" t="str">
        <f>VLOOKUP(Y486,'AMP models AxeFxIII'!$D$2:$H$299,2,FALSE)</f>
        <v>Not Used</v>
      </c>
      <c r="Q486" s="45" t="str">
        <f>VLOOKUP(Z486,'AMP models AxeFxIII'!$D$2:$H$299,2,FALSE)</f>
        <v>Not Used</v>
      </c>
      <c r="R486" s="4">
        <v>482</v>
      </c>
      <c r="S486" s="46" t="s">
        <v>555</v>
      </c>
      <c r="T486" s="46" t="s">
        <v>555</v>
      </c>
      <c r="U486" s="46" t="s">
        <v>555</v>
      </c>
      <c r="V486" s="46" t="s">
        <v>555</v>
      </c>
      <c r="W486" s="46" t="s">
        <v>555</v>
      </c>
      <c r="X486" s="46" t="s">
        <v>555</v>
      </c>
      <c r="Y486" s="46" t="s">
        <v>555</v>
      </c>
      <c r="Z486" s="46" t="s">
        <v>555</v>
      </c>
    </row>
    <row r="487" spans="1:26">
      <c r="A487" s="41">
        <f>preset_Names!A487</f>
        <v>483</v>
      </c>
      <c r="B487" t="str">
        <f t="shared" si="24"/>
        <v xml:space="preserve">strcpy(AMP1_A,("Not Used")); strcpy(AMP1_B,("Not Used")); strcpy(AMP1_C,("Not Used")); strcpy(AMP1_D,("Not Used")); </v>
      </c>
      <c r="C487" t="str">
        <f t="shared" si="23"/>
        <v xml:space="preserve">strcpy(AMP2_A,("Not Used")); strcpy(AMP2_B,("Not Used")); strcpy(AMP2_C,("Not Used")); strcpy(AMP2_D,("Not Used")); </v>
      </c>
      <c r="D487" s="31" t="s">
        <v>893</v>
      </c>
      <c r="E487" s="42" t="str">
        <f t="shared" si="21"/>
        <v>case 483: strcpy(AMP1_A,("Not Used")); strcpy(AMP1_B,("Not Used")); strcpy(AMP1_C,("Not Used")); strcpy(AMP1_D,("Not Used")); strcpy(AMP2_A,("Not Used")); strcpy(AMP2_B,("Not Used")); strcpy(AMP2_C,("Not Used")); strcpy(AMP2_D,("Not Used"));  break;</v>
      </c>
      <c r="F487" t="s">
        <v>893</v>
      </c>
      <c r="I487" t="s">
        <v>893</v>
      </c>
      <c r="J487" s="45" t="str">
        <f>VLOOKUP(S487,'AMP models AxeFxIII'!$D$2:$H$299,2,FALSE)</f>
        <v>Not Used</v>
      </c>
      <c r="K487" s="45" t="str">
        <f>VLOOKUP(T487,'AMP models AxeFxIII'!$D$2:$H$299,2,FALSE)</f>
        <v>Not Used</v>
      </c>
      <c r="L487" s="45" t="str">
        <f>VLOOKUP(U487,'AMP models AxeFxIII'!$D$2:$H$299,2,FALSE)</f>
        <v>Not Used</v>
      </c>
      <c r="M487" s="45" t="str">
        <f>VLOOKUP(V487,'AMP models AxeFxIII'!$D$2:$H$299,2,FALSE)</f>
        <v>Not Used</v>
      </c>
      <c r="N487" s="45" t="str">
        <f>VLOOKUP(W487,'AMP models AxeFxIII'!$D$2:$H$299,2,FALSE)</f>
        <v>Not Used</v>
      </c>
      <c r="O487" s="45" t="str">
        <f>VLOOKUP(X487,'AMP models AxeFxIII'!$D$2:$H$299,2,FALSE)</f>
        <v>Not Used</v>
      </c>
      <c r="P487" s="45" t="str">
        <f>VLOOKUP(Y487,'AMP models AxeFxIII'!$D$2:$H$299,2,FALSE)</f>
        <v>Not Used</v>
      </c>
      <c r="Q487" s="45" t="str">
        <f>VLOOKUP(Z487,'AMP models AxeFxIII'!$D$2:$H$299,2,FALSE)</f>
        <v>Not Used</v>
      </c>
      <c r="R487" s="4">
        <v>483</v>
      </c>
      <c r="S487" s="46" t="s">
        <v>555</v>
      </c>
      <c r="T487" s="46" t="s">
        <v>555</v>
      </c>
      <c r="U487" s="46" t="s">
        <v>555</v>
      </c>
      <c r="V487" s="46" t="s">
        <v>555</v>
      </c>
      <c r="W487" s="46" t="s">
        <v>555</v>
      </c>
      <c r="X487" s="46" t="s">
        <v>555</v>
      </c>
      <c r="Y487" s="46" t="s">
        <v>555</v>
      </c>
      <c r="Z487" s="46" t="s">
        <v>555</v>
      </c>
    </row>
    <row r="488" spans="1:26">
      <c r="A488" s="41">
        <f>preset_Names!A488</f>
        <v>484</v>
      </c>
      <c r="B488" t="str">
        <f t="shared" si="24"/>
        <v xml:space="preserve">strcpy(AMP1_A,("Not Used")); strcpy(AMP1_B,("Not Used")); strcpy(AMP1_C,("Not Used")); strcpy(AMP1_D,("Not Used")); </v>
      </c>
      <c r="C488" t="str">
        <f t="shared" si="23"/>
        <v xml:space="preserve">strcpy(AMP2_A,("Not Used")); strcpy(AMP2_B,("Not Used")); strcpy(AMP2_C,("Not Used")); strcpy(AMP2_D,("Not Used")); </v>
      </c>
      <c r="D488" s="31" t="s">
        <v>893</v>
      </c>
      <c r="E488" s="42" t="str">
        <f t="shared" si="21"/>
        <v>case 484: strcpy(AMP1_A,("Not Used")); strcpy(AMP1_B,("Not Used")); strcpy(AMP1_C,("Not Used")); strcpy(AMP1_D,("Not Used")); strcpy(AMP2_A,("Not Used")); strcpy(AMP2_B,("Not Used")); strcpy(AMP2_C,("Not Used")); strcpy(AMP2_D,("Not Used"));  break;</v>
      </c>
      <c r="F488" t="s">
        <v>893</v>
      </c>
      <c r="I488" t="s">
        <v>893</v>
      </c>
      <c r="J488" s="45" t="str">
        <f>VLOOKUP(S488,'AMP models AxeFxIII'!$D$2:$H$299,2,FALSE)</f>
        <v>Not Used</v>
      </c>
      <c r="K488" s="45" t="str">
        <f>VLOOKUP(T488,'AMP models AxeFxIII'!$D$2:$H$299,2,FALSE)</f>
        <v>Not Used</v>
      </c>
      <c r="L488" s="45" t="str">
        <f>VLOOKUP(U488,'AMP models AxeFxIII'!$D$2:$H$299,2,FALSE)</f>
        <v>Not Used</v>
      </c>
      <c r="M488" s="45" t="str">
        <f>VLOOKUP(V488,'AMP models AxeFxIII'!$D$2:$H$299,2,FALSE)</f>
        <v>Not Used</v>
      </c>
      <c r="N488" s="45" t="str">
        <f>VLOOKUP(W488,'AMP models AxeFxIII'!$D$2:$H$299,2,FALSE)</f>
        <v>Not Used</v>
      </c>
      <c r="O488" s="45" t="str">
        <f>VLOOKUP(X488,'AMP models AxeFxIII'!$D$2:$H$299,2,FALSE)</f>
        <v>Not Used</v>
      </c>
      <c r="P488" s="45" t="str">
        <f>VLOOKUP(Y488,'AMP models AxeFxIII'!$D$2:$H$299,2,FALSE)</f>
        <v>Not Used</v>
      </c>
      <c r="Q488" s="45" t="str">
        <f>VLOOKUP(Z488,'AMP models AxeFxIII'!$D$2:$H$299,2,FALSE)</f>
        <v>Not Used</v>
      </c>
      <c r="R488" s="4">
        <v>484</v>
      </c>
      <c r="S488" s="46" t="s">
        <v>555</v>
      </c>
      <c r="T488" s="46" t="s">
        <v>555</v>
      </c>
      <c r="U488" s="46" t="s">
        <v>555</v>
      </c>
      <c r="V488" s="46" t="s">
        <v>555</v>
      </c>
      <c r="W488" s="46" t="s">
        <v>555</v>
      </c>
      <c r="X488" s="46" t="s">
        <v>555</v>
      </c>
      <c r="Y488" s="46" t="s">
        <v>555</v>
      </c>
      <c r="Z488" s="46" t="s">
        <v>555</v>
      </c>
    </row>
    <row r="489" spans="1:26">
      <c r="A489" s="41">
        <f>preset_Names!A489</f>
        <v>485</v>
      </c>
      <c r="B489" t="str">
        <f t="shared" si="24"/>
        <v xml:space="preserve">strcpy(AMP1_A,("Not Used")); strcpy(AMP1_B,("Not Used")); strcpy(AMP1_C,("Not Used")); strcpy(AMP1_D,("Not Used")); </v>
      </c>
      <c r="C489" t="str">
        <f t="shared" si="23"/>
        <v xml:space="preserve">strcpy(AMP2_A,("Not Used")); strcpy(AMP2_B,("Not Used")); strcpy(AMP2_C,("Not Used")); strcpy(AMP2_D,("Not Used")); </v>
      </c>
      <c r="D489" s="31" t="s">
        <v>893</v>
      </c>
      <c r="E489" s="42" t="str">
        <f t="shared" si="21"/>
        <v>case 485: strcpy(AMP1_A,("Not Used")); strcpy(AMP1_B,("Not Used")); strcpy(AMP1_C,("Not Used")); strcpy(AMP1_D,("Not Used")); strcpy(AMP2_A,("Not Used")); strcpy(AMP2_B,("Not Used")); strcpy(AMP2_C,("Not Used")); strcpy(AMP2_D,("Not Used"));  break;</v>
      </c>
      <c r="F489" t="s">
        <v>893</v>
      </c>
      <c r="I489" t="s">
        <v>893</v>
      </c>
      <c r="J489" s="45" t="str">
        <f>VLOOKUP(S489,'AMP models AxeFxIII'!$D$2:$H$299,2,FALSE)</f>
        <v>Not Used</v>
      </c>
      <c r="K489" s="45" t="str">
        <f>VLOOKUP(T489,'AMP models AxeFxIII'!$D$2:$H$299,2,FALSE)</f>
        <v>Not Used</v>
      </c>
      <c r="L489" s="45" t="str">
        <f>VLOOKUP(U489,'AMP models AxeFxIII'!$D$2:$H$299,2,FALSE)</f>
        <v>Not Used</v>
      </c>
      <c r="M489" s="45" t="str">
        <f>VLOOKUP(V489,'AMP models AxeFxIII'!$D$2:$H$299,2,FALSE)</f>
        <v>Not Used</v>
      </c>
      <c r="N489" s="45" t="str">
        <f>VLOOKUP(W489,'AMP models AxeFxIII'!$D$2:$H$299,2,FALSE)</f>
        <v>Not Used</v>
      </c>
      <c r="O489" s="45" t="str">
        <f>VLOOKUP(X489,'AMP models AxeFxIII'!$D$2:$H$299,2,FALSE)</f>
        <v>Not Used</v>
      </c>
      <c r="P489" s="45" t="str">
        <f>VLOOKUP(Y489,'AMP models AxeFxIII'!$D$2:$H$299,2,FALSE)</f>
        <v>Not Used</v>
      </c>
      <c r="Q489" s="45" t="str">
        <f>VLOOKUP(Z489,'AMP models AxeFxIII'!$D$2:$H$299,2,FALSE)</f>
        <v>Not Used</v>
      </c>
      <c r="R489" s="4">
        <v>485</v>
      </c>
      <c r="S489" s="46" t="s">
        <v>555</v>
      </c>
      <c r="T489" s="46" t="s">
        <v>555</v>
      </c>
      <c r="U489" s="46" t="s">
        <v>555</v>
      </c>
      <c r="V489" s="46" t="s">
        <v>555</v>
      </c>
      <c r="W489" s="46" t="s">
        <v>555</v>
      </c>
      <c r="X489" s="46" t="s">
        <v>555</v>
      </c>
      <c r="Y489" s="46" t="s">
        <v>555</v>
      </c>
      <c r="Z489" s="46" t="s">
        <v>555</v>
      </c>
    </row>
    <row r="490" spans="1:26">
      <c r="A490" s="41">
        <f>preset_Names!A490</f>
        <v>486</v>
      </c>
      <c r="B490" t="str">
        <f t="shared" si="24"/>
        <v xml:space="preserve">strcpy(AMP1_A,("Not Used")); strcpy(AMP1_B,("Not Used")); strcpy(AMP1_C,("Not Used")); strcpy(AMP1_D,("Not Used")); </v>
      </c>
      <c r="C490" t="str">
        <f t="shared" si="23"/>
        <v xml:space="preserve">strcpy(AMP2_A,("Not Used")); strcpy(AMP2_B,("Not Used")); strcpy(AMP2_C,("Not Used")); strcpy(AMP2_D,("Not Used")); </v>
      </c>
      <c r="D490" s="31" t="s">
        <v>893</v>
      </c>
      <c r="E490" s="42" t="str">
        <f t="shared" si="21"/>
        <v>case 486: strcpy(AMP1_A,("Not Used")); strcpy(AMP1_B,("Not Used")); strcpy(AMP1_C,("Not Used")); strcpy(AMP1_D,("Not Used")); strcpy(AMP2_A,("Not Used")); strcpy(AMP2_B,("Not Used")); strcpy(AMP2_C,("Not Used")); strcpy(AMP2_D,("Not Used"));  break;</v>
      </c>
      <c r="F490" t="s">
        <v>893</v>
      </c>
      <c r="I490" t="s">
        <v>893</v>
      </c>
      <c r="J490" s="45" t="str">
        <f>VLOOKUP(S490,'AMP models AxeFxIII'!$D$2:$H$299,2,FALSE)</f>
        <v>Not Used</v>
      </c>
      <c r="K490" s="45" t="str">
        <f>VLOOKUP(T490,'AMP models AxeFxIII'!$D$2:$H$299,2,FALSE)</f>
        <v>Not Used</v>
      </c>
      <c r="L490" s="45" t="str">
        <f>VLOOKUP(U490,'AMP models AxeFxIII'!$D$2:$H$299,2,FALSE)</f>
        <v>Not Used</v>
      </c>
      <c r="M490" s="45" t="str">
        <f>VLOOKUP(V490,'AMP models AxeFxIII'!$D$2:$H$299,2,FALSE)</f>
        <v>Not Used</v>
      </c>
      <c r="N490" s="45" t="str">
        <f>VLOOKUP(W490,'AMP models AxeFxIII'!$D$2:$H$299,2,FALSE)</f>
        <v>Not Used</v>
      </c>
      <c r="O490" s="45" t="str">
        <f>VLOOKUP(X490,'AMP models AxeFxIII'!$D$2:$H$299,2,FALSE)</f>
        <v>Not Used</v>
      </c>
      <c r="P490" s="45" t="str">
        <f>VLOOKUP(Y490,'AMP models AxeFxIII'!$D$2:$H$299,2,FALSE)</f>
        <v>Not Used</v>
      </c>
      <c r="Q490" s="45" t="str">
        <f>VLOOKUP(Z490,'AMP models AxeFxIII'!$D$2:$H$299,2,FALSE)</f>
        <v>Not Used</v>
      </c>
      <c r="R490" s="4">
        <v>486</v>
      </c>
      <c r="S490" s="46" t="s">
        <v>555</v>
      </c>
      <c r="T490" s="46" t="s">
        <v>555</v>
      </c>
      <c r="U490" s="46" t="s">
        <v>555</v>
      </c>
      <c r="V490" s="46" t="s">
        <v>555</v>
      </c>
      <c r="W490" s="46" t="s">
        <v>555</v>
      </c>
      <c r="X490" s="46" t="s">
        <v>555</v>
      </c>
      <c r="Y490" s="46" t="s">
        <v>555</v>
      </c>
      <c r="Z490" s="46" t="s">
        <v>555</v>
      </c>
    </row>
    <row r="491" spans="1:26">
      <c r="A491" s="41">
        <f>preset_Names!A491</f>
        <v>487</v>
      </c>
      <c r="B491" t="str">
        <f t="shared" si="24"/>
        <v xml:space="preserve">strcpy(AMP1_A,("Not Used")); strcpy(AMP1_B,("Not Used")); strcpy(AMP1_C,("Not Used")); strcpy(AMP1_D,("Not Used")); </v>
      </c>
      <c r="C491" t="str">
        <f t="shared" si="23"/>
        <v xml:space="preserve">strcpy(AMP2_A,("Not Used")); strcpy(AMP2_B,("Not Used")); strcpy(AMP2_C,("Not Used")); strcpy(AMP2_D,("Not Used")); </v>
      </c>
      <c r="D491" s="31" t="s">
        <v>893</v>
      </c>
      <c r="E491" s="42" t="str">
        <f t="shared" si="21"/>
        <v>case 487: strcpy(AMP1_A,("Not Used")); strcpy(AMP1_B,("Not Used")); strcpy(AMP1_C,("Not Used")); strcpy(AMP1_D,("Not Used")); strcpy(AMP2_A,("Not Used")); strcpy(AMP2_B,("Not Used")); strcpy(AMP2_C,("Not Used")); strcpy(AMP2_D,("Not Used"));  break;</v>
      </c>
      <c r="F491" t="s">
        <v>893</v>
      </c>
      <c r="I491" t="s">
        <v>893</v>
      </c>
      <c r="J491" s="45" t="str">
        <f>VLOOKUP(S491,'AMP models AxeFxIII'!$D$2:$H$299,2,FALSE)</f>
        <v>Not Used</v>
      </c>
      <c r="K491" s="45" t="str">
        <f>VLOOKUP(T491,'AMP models AxeFxIII'!$D$2:$H$299,2,FALSE)</f>
        <v>Not Used</v>
      </c>
      <c r="L491" s="45" t="str">
        <f>VLOOKUP(U491,'AMP models AxeFxIII'!$D$2:$H$299,2,FALSE)</f>
        <v>Not Used</v>
      </c>
      <c r="M491" s="45" t="str">
        <f>VLOOKUP(V491,'AMP models AxeFxIII'!$D$2:$H$299,2,FALSE)</f>
        <v>Not Used</v>
      </c>
      <c r="N491" s="45" t="str">
        <f>VLOOKUP(W491,'AMP models AxeFxIII'!$D$2:$H$299,2,FALSE)</f>
        <v>Not Used</v>
      </c>
      <c r="O491" s="45" t="str">
        <f>VLOOKUP(X491,'AMP models AxeFxIII'!$D$2:$H$299,2,FALSE)</f>
        <v>Not Used</v>
      </c>
      <c r="P491" s="45" t="str">
        <f>VLOOKUP(Y491,'AMP models AxeFxIII'!$D$2:$H$299,2,FALSE)</f>
        <v>Not Used</v>
      </c>
      <c r="Q491" s="45" t="str">
        <f>VLOOKUP(Z491,'AMP models AxeFxIII'!$D$2:$H$299,2,FALSE)</f>
        <v>Not Used</v>
      </c>
      <c r="R491" s="4">
        <v>487</v>
      </c>
      <c r="S491" s="46" t="s">
        <v>555</v>
      </c>
      <c r="T491" s="46" t="s">
        <v>555</v>
      </c>
      <c r="U491" s="46" t="s">
        <v>555</v>
      </c>
      <c r="V491" s="46" t="s">
        <v>555</v>
      </c>
      <c r="W491" s="46" t="s">
        <v>555</v>
      </c>
      <c r="X491" s="46" t="s">
        <v>555</v>
      </c>
      <c r="Y491" s="46" t="s">
        <v>555</v>
      </c>
      <c r="Z491" s="46" t="s">
        <v>555</v>
      </c>
    </row>
    <row r="492" spans="1:26">
      <c r="A492" s="41">
        <f>preset_Names!A492</f>
        <v>488</v>
      </c>
      <c r="B492" t="str">
        <f t="shared" si="24"/>
        <v xml:space="preserve">strcpy(AMP1_A,("Not Used")); strcpy(AMP1_B,("Not Used")); strcpy(AMP1_C,("Not Used")); strcpy(AMP1_D,("Not Used")); </v>
      </c>
      <c r="C492" t="str">
        <f t="shared" si="23"/>
        <v xml:space="preserve">strcpy(AMP2_A,("Not Used")); strcpy(AMP2_B,("Not Used")); strcpy(AMP2_C,("Not Used")); strcpy(AMP2_D,("Not Used")); </v>
      </c>
      <c r="D492" s="31" t="s">
        <v>893</v>
      </c>
      <c r="E492" s="42" t="str">
        <f t="shared" si="21"/>
        <v>case 488: strcpy(AMP1_A,("Not Used")); strcpy(AMP1_B,("Not Used")); strcpy(AMP1_C,("Not Used")); strcpy(AMP1_D,("Not Used")); strcpy(AMP2_A,("Not Used")); strcpy(AMP2_B,("Not Used")); strcpy(AMP2_C,("Not Used")); strcpy(AMP2_D,("Not Used"));  break;</v>
      </c>
      <c r="F492" t="s">
        <v>893</v>
      </c>
      <c r="I492" t="s">
        <v>893</v>
      </c>
      <c r="J492" s="45" t="str">
        <f>VLOOKUP(S492,'AMP models AxeFxIII'!$D$2:$H$299,2,FALSE)</f>
        <v>Not Used</v>
      </c>
      <c r="K492" s="45" t="str">
        <f>VLOOKUP(T492,'AMP models AxeFxIII'!$D$2:$H$299,2,FALSE)</f>
        <v>Not Used</v>
      </c>
      <c r="L492" s="45" t="str">
        <f>VLOOKUP(U492,'AMP models AxeFxIII'!$D$2:$H$299,2,FALSE)</f>
        <v>Not Used</v>
      </c>
      <c r="M492" s="45" t="str">
        <f>VLOOKUP(V492,'AMP models AxeFxIII'!$D$2:$H$299,2,FALSE)</f>
        <v>Not Used</v>
      </c>
      <c r="N492" s="45" t="str">
        <f>VLOOKUP(W492,'AMP models AxeFxIII'!$D$2:$H$299,2,FALSE)</f>
        <v>Not Used</v>
      </c>
      <c r="O492" s="45" t="str">
        <f>VLOOKUP(X492,'AMP models AxeFxIII'!$D$2:$H$299,2,FALSE)</f>
        <v>Not Used</v>
      </c>
      <c r="P492" s="45" t="str">
        <f>VLOOKUP(Y492,'AMP models AxeFxIII'!$D$2:$H$299,2,FALSE)</f>
        <v>Not Used</v>
      </c>
      <c r="Q492" s="45" t="str">
        <f>VLOOKUP(Z492,'AMP models AxeFxIII'!$D$2:$H$299,2,FALSE)</f>
        <v>Not Used</v>
      </c>
      <c r="R492" s="4">
        <v>488</v>
      </c>
      <c r="S492" s="46" t="s">
        <v>555</v>
      </c>
      <c r="T492" s="46" t="s">
        <v>555</v>
      </c>
      <c r="U492" s="46" t="s">
        <v>555</v>
      </c>
      <c r="V492" s="46" t="s">
        <v>555</v>
      </c>
      <c r="W492" s="46" t="s">
        <v>555</v>
      </c>
      <c r="X492" s="46" t="s">
        <v>555</v>
      </c>
      <c r="Y492" s="46" t="s">
        <v>555</v>
      </c>
      <c r="Z492" s="46" t="s">
        <v>555</v>
      </c>
    </row>
    <row r="493" spans="1:26">
      <c r="A493" s="41">
        <f>preset_Names!A493</f>
        <v>489</v>
      </c>
      <c r="B493" t="str">
        <f t="shared" si="24"/>
        <v xml:space="preserve">strcpy(AMP1_A,("Not Used")); strcpy(AMP1_B,("Not Used")); strcpy(AMP1_C,("Not Used")); strcpy(AMP1_D,("Not Used")); </v>
      </c>
      <c r="C493" t="str">
        <f t="shared" si="23"/>
        <v xml:space="preserve">strcpy(AMP2_A,("Not Used")); strcpy(AMP2_B,("Not Used")); strcpy(AMP2_C,("Not Used")); strcpy(AMP2_D,("Not Used")); </v>
      </c>
      <c r="D493" s="31" t="s">
        <v>893</v>
      </c>
      <c r="E493" s="42" t="str">
        <f t="shared" si="21"/>
        <v>case 489: strcpy(AMP1_A,("Not Used")); strcpy(AMP1_B,("Not Used")); strcpy(AMP1_C,("Not Used")); strcpy(AMP1_D,("Not Used")); strcpy(AMP2_A,("Not Used")); strcpy(AMP2_B,("Not Used")); strcpy(AMP2_C,("Not Used")); strcpy(AMP2_D,("Not Used"));  break;</v>
      </c>
      <c r="F493" t="s">
        <v>893</v>
      </c>
      <c r="I493" t="s">
        <v>893</v>
      </c>
      <c r="J493" s="45" t="str">
        <f>VLOOKUP(S493,'AMP models AxeFxIII'!$D$2:$H$299,2,FALSE)</f>
        <v>Not Used</v>
      </c>
      <c r="K493" s="45" t="str">
        <f>VLOOKUP(T493,'AMP models AxeFxIII'!$D$2:$H$299,2,FALSE)</f>
        <v>Not Used</v>
      </c>
      <c r="L493" s="45" t="str">
        <f>VLOOKUP(U493,'AMP models AxeFxIII'!$D$2:$H$299,2,FALSE)</f>
        <v>Not Used</v>
      </c>
      <c r="M493" s="45" t="str">
        <f>VLOOKUP(V493,'AMP models AxeFxIII'!$D$2:$H$299,2,FALSE)</f>
        <v>Not Used</v>
      </c>
      <c r="N493" s="45" t="str">
        <f>VLOOKUP(W493,'AMP models AxeFxIII'!$D$2:$H$299,2,FALSE)</f>
        <v>Not Used</v>
      </c>
      <c r="O493" s="45" t="str">
        <f>VLOOKUP(X493,'AMP models AxeFxIII'!$D$2:$H$299,2,FALSE)</f>
        <v>Not Used</v>
      </c>
      <c r="P493" s="45" t="str">
        <f>VLOOKUP(Y493,'AMP models AxeFxIII'!$D$2:$H$299,2,FALSE)</f>
        <v>Not Used</v>
      </c>
      <c r="Q493" s="45" t="str">
        <f>VLOOKUP(Z493,'AMP models AxeFxIII'!$D$2:$H$299,2,FALSE)</f>
        <v>Not Used</v>
      </c>
      <c r="R493" s="4">
        <v>489</v>
      </c>
      <c r="S493" s="46" t="s">
        <v>555</v>
      </c>
      <c r="T493" s="46" t="s">
        <v>555</v>
      </c>
      <c r="U493" s="46" t="s">
        <v>555</v>
      </c>
      <c r="V493" s="46" t="s">
        <v>555</v>
      </c>
      <c r="W493" s="46" t="s">
        <v>555</v>
      </c>
      <c r="X493" s="46" t="s">
        <v>555</v>
      </c>
      <c r="Y493" s="46" t="s">
        <v>555</v>
      </c>
      <c r="Z493" s="46" t="s">
        <v>555</v>
      </c>
    </row>
    <row r="494" spans="1:26">
      <c r="A494" s="41">
        <f>preset_Names!A494</f>
        <v>490</v>
      </c>
      <c r="B494" t="str">
        <f t="shared" si="24"/>
        <v xml:space="preserve">strcpy(AMP1_A,("Not Used")); strcpy(AMP1_B,("Not Used")); strcpy(AMP1_C,("Not Used")); strcpy(AMP1_D,("Not Used")); </v>
      </c>
      <c r="C494" t="str">
        <f t="shared" si="23"/>
        <v xml:space="preserve">strcpy(AMP2_A,("Not Used")); strcpy(AMP2_B,("Not Used")); strcpy(AMP2_C,("Not Used")); strcpy(AMP2_D,("Not Used")); </v>
      </c>
      <c r="D494" s="31" t="s">
        <v>893</v>
      </c>
      <c r="E494" s="42" t="str">
        <f t="shared" si="21"/>
        <v>case 490: strcpy(AMP1_A,("Not Used")); strcpy(AMP1_B,("Not Used")); strcpy(AMP1_C,("Not Used")); strcpy(AMP1_D,("Not Used")); strcpy(AMP2_A,("Not Used")); strcpy(AMP2_B,("Not Used")); strcpy(AMP2_C,("Not Used")); strcpy(AMP2_D,("Not Used"));  break;</v>
      </c>
      <c r="F494" t="s">
        <v>893</v>
      </c>
      <c r="I494" t="s">
        <v>893</v>
      </c>
      <c r="J494" s="45" t="str">
        <f>VLOOKUP(S494,'AMP models AxeFxIII'!$D$2:$H$299,2,FALSE)</f>
        <v>Not Used</v>
      </c>
      <c r="K494" s="45" t="str">
        <f>VLOOKUP(T494,'AMP models AxeFxIII'!$D$2:$H$299,2,FALSE)</f>
        <v>Not Used</v>
      </c>
      <c r="L494" s="45" t="str">
        <f>VLOOKUP(U494,'AMP models AxeFxIII'!$D$2:$H$299,2,FALSE)</f>
        <v>Not Used</v>
      </c>
      <c r="M494" s="45" t="str">
        <f>VLOOKUP(V494,'AMP models AxeFxIII'!$D$2:$H$299,2,FALSE)</f>
        <v>Not Used</v>
      </c>
      <c r="N494" s="45" t="str">
        <f>VLOOKUP(W494,'AMP models AxeFxIII'!$D$2:$H$299,2,FALSE)</f>
        <v>Not Used</v>
      </c>
      <c r="O494" s="45" t="str">
        <f>VLOOKUP(X494,'AMP models AxeFxIII'!$D$2:$H$299,2,FALSE)</f>
        <v>Not Used</v>
      </c>
      <c r="P494" s="45" t="str">
        <f>VLOOKUP(Y494,'AMP models AxeFxIII'!$D$2:$H$299,2,FALSE)</f>
        <v>Not Used</v>
      </c>
      <c r="Q494" s="45" t="str">
        <f>VLOOKUP(Z494,'AMP models AxeFxIII'!$D$2:$H$299,2,FALSE)</f>
        <v>Not Used</v>
      </c>
      <c r="R494" s="4">
        <v>490</v>
      </c>
      <c r="S494" s="46" t="s">
        <v>555</v>
      </c>
      <c r="T494" s="46" t="s">
        <v>555</v>
      </c>
      <c r="U494" s="46" t="s">
        <v>555</v>
      </c>
      <c r="V494" s="46" t="s">
        <v>555</v>
      </c>
      <c r="W494" s="46" t="s">
        <v>555</v>
      </c>
      <c r="X494" s="46" t="s">
        <v>555</v>
      </c>
      <c r="Y494" s="46" t="s">
        <v>555</v>
      </c>
      <c r="Z494" s="46" t="s">
        <v>555</v>
      </c>
    </row>
    <row r="495" spans="1:26">
      <c r="A495" s="41">
        <f>preset_Names!A495</f>
        <v>491</v>
      </c>
      <c r="B495" t="str">
        <f t="shared" si="24"/>
        <v xml:space="preserve">strcpy(AMP1_A,("Not Used")); strcpy(AMP1_B,("Not Used")); strcpy(AMP1_C,("Not Used")); strcpy(AMP1_D,("Not Used")); </v>
      </c>
      <c r="C495" t="str">
        <f t="shared" si="23"/>
        <v xml:space="preserve">strcpy(AMP2_A,("Not Used")); strcpy(AMP2_B,("Not Used")); strcpy(AMP2_C,("Not Used")); strcpy(AMP2_D,("Not Used")); </v>
      </c>
      <c r="D495" s="31" t="s">
        <v>893</v>
      </c>
      <c r="E495" s="42" t="str">
        <f t="shared" si="21"/>
        <v>case 491: strcpy(AMP1_A,("Not Used")); strcpy(AMP1_B,("Not Used")); strcpy(AMP1_C,("Not Used")); strcpy(AMP1_D,("Not Used")); strcpy(AMP2_A,("Not Used")); strcpy(AMP2_B,("Not Used")); strcpy(AMP2_C,("Not Used")); strcpy(AMP2_D,("Not Used"));  break;</v>
      </c>
      <c r="F495" t="s">
        <v>893</v>
      </c>
      <c r="I495" t="s">
        <v>893</v>
      </c>
      <c r="J495" s="45" t="str">
        <f>VLOOKUP(S495,'AMP models AxeFxIII'!$D$2:$H$299,2,FALSE)</f>
        <v>Not Used</v>
      </c>
      <c r="K495" s="45" t="str">
        <f>VLOOKUP(T495,'AMP models AxeFxIII'!$D$2:$H$299,2,FALSE)</f>
        <v>Not Used</v>
      </c>
      <c r="L495" s="45" t="str">
        <f>VLOOKUP(U495,'AMP models AxeFxIII'!$D$2:$H$299,2,FALSE)</f>
        <v>Not Used</v>
      </c>
      <c r="M495" s="45" t="str">
        <f>VLOOKUP(V495,'AMP models AxeFxIII'!$D$2:$H$299,2,FALSE)</f>
        <v>Not Used</v>
      </c>
      <c r="N495" s="45" t="str">
        <f>VLOOKUP(W495,'AMP models AxeFxIII'!$D$2:$H$299,2,FALSE)</f>
        <v>Not Used</v>
      </c>
      <c r="O495" s="45" t="str">
        <f>VLOOKUP(X495,'AMP models AxeFxIII'!$D$2:$H$299,2,FALSE)</f>
        <v>Not Used</v>
      </c>
      <c r="P495" s="45" t="str">
        <f>VLOOKUP(Y495,'AMP models AxeFxIII'!$D$2:$H$299,2,FALSE)</f>
        <v>Not Used</v>
      </c>
      <c r="Q495" s="45" t="str">
        <f>VLOOKUP(Z495,'AMP models AxeFxIII'!$D$2:$H$299,2,FALSE)</f>
        <v>Not Used</v>
      </c>
      <c r="R495" s="4">
        <v>491</v>
      </c>
      <c r="S495" s="46" t="s">
        <v>555</v>
      </c>
      <c r="T495" s="46" t="s">
        <v>555</v>
      </c>
      <c r="U495" s="46" t="s">
        <v>555</v>
      </c>
      <c r="V495" s="46" t="s">
        <v>555</v>
      </c>
      <c r="W495" s="46" t="s">
        <v>555</v>
      </c>
      <c r="X495" s="46" t="s">
        <v>555</v>
      </c>
      <c r="Y495" s="46" t="s">
        <v>555</v>
      </c>
      <c r="Z495" s="46" t="s">
        <v>555</v>
      </c>
    </row>
    <row r="496" spans="1:26">
      <c r="A496" s="41">
        <f>preset_Names!A496</f>
        <v>492</v>
      </c>
      <c r="B496" t="str">
        <f t="shared" si="24"/>
        <v xml:space="preserve">strcpy(AMP1_A,("Not Used")); strcpy(AMP1_B,("Not Used")); strcpy(AMP1_C,("Not Used")); strcpy(AMP1_D,("Not Used")); </v>
      </c>
      <c r="C496" t="str">
        <f t="shared" si="23"/>
        <v xml:space="preserve">strcpy(AMP2_A,("Not Used")); strcpy(AMP2_B,("Not Used")); strcpy(AMP2_C,("Not Used")); strcpy(AMP2_D,("Not Used")); </v>
      </c>
      <c r="D496" s="31" t="s">
        <v>893</v>
      </c>
      <c r="E496" s="42" t="str">
        <f t="shared" si="21"/>
        <v>case 492: strcpy(AMP1_A,("Not Used")); strcpy(AMP1_B,("Not Used")); strcpy(AMP1_C,("Not Used")); strcpy(AMP1_D,("Not Used")); strcpy(AMP2_A,("Not Used")); strcpy(AMP2_B,("Not Used")); strcpy(AMP2_C,("Not Used")); strcpy(AMP2_D,("Not Used"));  break;</v>
      </c>
      <c r="F496" t="s">
        <v>893</v>
      </c>
      <c r="I496" t="s">
        <v>893</v>
      </c>
      <c r="J496" s="45" t="str">
        <f>VLOOKUP(S496,'AMP models AxeFxIII'!$D$2:$H$299,2,FALSE)</f>
        <v>Not Used</v>
      </c>
      <c r="K496" s="45" t="str">
        <f>VLOOKUP(T496,'AMP models AxeFxIII'!$D$2:$H$299,2,FALSE)</f>
        <v>Not Used</v>
      </c>
      <c r="L496" s="45" t="str">
        <f>VLOOKUP(U496,'AMP models AxeFxIII'!$D$2:$H$299,2,FALSE)</f>
        <v>Not Used</v>
      </c>
      <c r="M496" s="45" t="str">
        <f>VLOOKUP(V496,'AMP models AxeFxIII'!$D$2:$H$299,2,FALSE)</f>
        <v>Not Used</v>
      </c>
      <c r="N496" s="45" t="str">
        <f>VLOOKUP(W496,'AMP models AxeFxIII'!$D$2:$H$299,2,FALSE)</f>
        <v>Not Used</v>
      </c>
      <c r="O496" s="45" t="str">
        <f>VLOOKUP(X496,'AMP models AxeFxIII'!$D$2:$H$299,2,FALSE)</f>
        <v>Not Used</v>
      </c>
      <c r="P496" s="45" t="str">
        <f>VLOOKUP(Y496,'AMP models AxeFxIII'!$D$2:$H$299,2,FALSE)</f>
        <v>Not Used</v>
      </c>
      <c r="Q496" s="45" t="str">
        <f>VLOOKUP(Z496,'AMP models AxeFxIII'!$D$2:$H$299,2,FALSE)</f>
        <v>Not Used</v>
      </c>
      <c r="R496" s="4">
        <v>492</v>
      </c>
      <c r="S496" s="46" t="s">
        <v>555</v>
      </c>
      <c r="T496" s="46" t="s">
        <v>555</v>
      </c>
      <c r="U496" s="46" t="s">
        <v>555</v>
      </c>
      <c r="V496" s="46" t="s">
        <v>555</v>
      </c>
      <c r="W496" s="46" t="s">
        <v>555</v>
      </c>
      <c r="X496" s="46" t="s">
        <v>555</v>
      </c>
      <c r="Y496" s="46" t="s">
        <v>555</v>
      </c>
      <c r="Z496" s="46" t="s">
        <v>555</v>
      </c>
    </row>
    <row r="497" spans="1:26">
      <c r="A497" s="41">
        <f>preset_Names!A497</f>
        <v>493</v>
      </c>
      <c r="B497" t="str">
        <f t="shared" si="24"/>
        <v xml:space="preserve">strcpy(AMP1_A,("Not Used")); strcpy(AMP1_B,("Not Used")); strcpy(AMP1_C,("Not Used")); strcpy(AMP1_D,("Not Used")); </v>
      </c>
      <c r="C497" t="str">
        <f t="shared" si="23"/>
        <v xml:space="preserve">strcpy(AMP2_A,("Not Used")); strcpy(AMP2_B,("Not Used")); strcpy(AMP2_C,("Not Used")); strcpy(AMP2_D,("Not Used")); </v>
      </c>
      <c r="D497" s="31" t="s">
        <v>893</v>
      </c>
      <c r="E497" s="42" t="str">
        <f t="shared" si="21"/>
        <v>case 493: strcpy(AMP1_A,("Not Used")); strcpy(AMP1_B,("Not Used")); strcpy(AMP1_C,("Not Used")); strcpy(AMP1_D,("Not Used")); strcpy(AMP2_A,("Not Used")); strcpy(AMP2_B,("Not Used")); strcpy(AMP2_C,("Not Used")); strcpy(AMP2_D,("Not Used"));  break;</v>
      </c>
      <c r="F497" t="s">
        <v>893</v>
      </c>
      <c r="I497" t="s">
        <v>893</v>
      </c>
      <c r="J497" s="45" t="str">
        <f>VLOOKUP(S497,'AMP models AxeFxIII'!$D$2:$H$299,2,FALSE)</f>
        <v>Not Used</v>
      </c>
      <c r="K497" s="45" t="str">
        <f>VLOOKUP(T497,'AMP models AxeFxIII'!$D$2:$H$299,2,FALSE)</f>
        <v>Not Used</v>
      </c>
      <c r="L497" s="45" t="str">
        <f>VLOOKUP(U497,'AMP models AxeFxIII'!$D$2:$H$299,2,FALSE)</f>
        <v>Not Used</v>
      </c>
      <c r="M497" s="45" t="str">
        <f>VLOOKUP(V497,'AMP models AxeFxIII'!$D$2:$H$299,2,FALSE)</f>
        <v>Not Used</v>
      </c>
      <c r="N497" s="45" t="str">
        <f>VLOOKUP(W497,'AMP models AxeFxIII'!$D$2:$H$299,2,FALSE)</f>
        <v>Not Used</v>
      </c>
      <c r="O497" s="45" t="str">
        <f>VLOOKUP(X497,'AMP models AxeFxIII'!$D$2:$H$299,2,FALSE)</f>
        <v>Not Used</v>
      </c>
      <c r="P497" s="45" t="str">
        <f>VLOOKUP(Y497,'AMP models AxeFxIII'!$D$2:$H$299,2,FALSE)</f>
        <v>Not Used</v>
      </c>
      <c r="Q497" s="45" t="str">
        <f>VLOOKUP(Z497,'AMP models AxeFxIII'!$D$2:$H$299,2,FALSE)</f>
        <v>Not Used</v>
      </c>
      <c r="R497" s="4">
        <v>493</v>
      </c>
      <c r="S497" s="46" t="s">
        <v>555</v>
      </c>
      <c r="T497" s="46" t="s">
        <v>555</v>
      </c>
      <c r="U497" s="46" t="s">
        <v>555</v>
      </c>
      <c r="V497" s="46" t="s">
        <v>555</v>
      </c>
      <c r="W497" s="46" t="s">
        <v>555</v>
      </c>
      <c r="X497" s="46" t="s">
        <v>555</v>
      </c>
      <c r="Y497" s="46" t="s">
        <v>555</v>
      </c>
      <c r="Z497" s="46" t="s">
        <v>555</v>
      </c>
    </row>
    <row r="498" spans="1:26">
      <c r="A498" s="41">
        <f>preset_Names!A498</f>
        <v>494</v>
      </c>
      <c r="B498" t="str">
        <f t="shared" si="24"/>
        <v xml:space="preserve">strcpy(AMP1_A,("Not Used")); strcpy(AMP1_B,("Not Used")); strcpy(AMP1_C,("Not Used")); strcpy(AMP1_D,("Not Used")); </v>
      </c>
      <c r="C498" t="str">
        <f t="shared" si="23"/>
        <v xml:space="preserve">strcpy(AMP2_A,("Not Used")); strcpy(AMP2_B,("Not Used")); strcpy(AMP2_C,("Not Used")); strcpy(AMP2_D,("Not Used")); </v>
      </c>
      <c r="D498" s="31" t="s">
        <v>893</v>
      </c>
      <c r="E498" s="42" t="str">
        <f t="shared" si="21"/>
        <v>case 494: strcpy(AMP1_A,("Not Used")); strcpy(AMP1_B,("Not Used")); strcpy(AMP1_C,("Not Used")); strcpy(AMP1_D,("Not Used")); strcpy(AMP2_A,("Not Used")); strcpy(AMP2_B,("Not Used")); strcpy(AMP2_C,("Not Used")); strcpy(AMP2_D,("Not Used"));  break;</v>
      </c>
      <c r="F498" t="s">
        <v>893</v>
      </c>
      <c r="I498" t="s">
        <v>893</v>
      </c>
      <c r="J498" s="45" t="str">
        <f>VLOOKUP(S498,'AMP models AxeFxIII'!$D$2:$H$299,2,FALSE)</f>
        <v>Not Used</v>
      </c>
      <c r="K498" s="45" t="str">
        <f>VLOOKUP(T498,'AMP models AxeFxIII'!$D$2:$H$299,2,FALSE)</f>
        <v>Not Used</v>
      </c>
      <c r="L498" s="45" t="str">
        <f>VLOOKUP(U498,'AMP models AxeFxIII'!$D$2:$H$299,2,FALSE)</f>
        <v>Not Used</v>
      </c>
      <c r="M498" s="45" t="str">
        <f>VLOOKUP(V498,'AMP models AxeFxIII'!$D$2:$H$299,2,FALSE)</f>
        <v>Not Used</v>
      </c>
      <c r="N498" s="45" t="str">
        <f>VLOOKUP(W498,'AMP models AxeFxIII'!$D$2:$H$299,2,FALSE)</f>
        <v>Not Used</v>
      </c>
      <c r="O498" s="45" t="str">
        <f>VLOOKUP(X498,'AMP models AxeFxIII'!$D$2:$H$299,2,FALSE)</f>
        <v>Not Used</v>
      </c>
      <c r="P498" s="45" t="str">
        <f>VLOOKUP(Y498,'AMP models AxeFxIII'!$D$2:$H$299,2,FALSE)</f>
        <v>Not Used</v>
      </c>
      <c r="Q498" s="45" t="str">
        <f>VLOOKUP(Z498,'AMP models AxeFxIII'!$D$2:$H$299,2,FALSE)</f>
        <v>Not Used</v>
      </c>
      <c r="R498" s="4">
        <v>494</v>
      </c>
      <c r="S498" s="46" t="s">
        <v>555</v>
      </c>
      <c r="T498" s="46" t="s">
        <v>555</v>
      </c>
      <c r="U498" s="46" t="s">
        <v>555</v>
      </c>
      <c r="V498" s="46" t="s">
        <v>555</v>
      </c>
      <c r="W498" s="46" t="s">
        <v>555</v>
      </c>
      <c r="X498" s="46" t="s">
        <v>555</v>
      </c>
      <c r="Y498" s="46" t="s">
        <v>555</v>
      </c>
      <c r="Z498" s="46" t="s">
        <v>555</v>
      </c>
    </row>
    <row r="499" spans="1:26">
      <c r="A499" s="41">
        <f>preset_Names!A499</f>
        <v>495</v>
      </c>
      <c r="B499" t="str">
        <f t="shared" si="24"/>
        <v xml:space="preserve">strcpy(AMP1_A,("Not Used")); strcpy(AMP1_B,("Not Used")); strcpy(AMP1_C,("Not Used")); strcpy(AMP1_D,("Not Used")); </v>
      </c>
      <c r="C499" t="str">
        <f t="shared" si="23"/>
        <v xml:space="preserve">strcpy(AMP2_A,("Not Used")); strcpy(AMP2_B,("Not Used")); strcpy(AMP2_C,("Not Used")); strcpy(AMP2_D,("Not Used")); </v>
      </c>
      <c r="D499" s="31" t="s">
        <v>893</v>
      </c>
      <c r="E499" s="42" t="str">
        <f t="shared" si="21"/>
        <v>case 495: strcpy(AMP1_A,("Not Used")); strcpy(AMP1_B,("Not Used")); strcpy(AMP1_C,("Not Used")); strcpy(AMP1_D,("Not Used")); strcpy(AMP2_A,("Not Used")); strcpy(AMP2_B,("Not Used")); strcpy(AMP2_C,("Not Used")); strcpy(AMP2_D,("Not Used"));  break;</v>
      </c>
      <c r="F499" t="s">
        <v>893</v>
      </c>
      <c r="I499" t="s">
        <v>893</v>
      </c>
      <c r="J499" s="45" t="str">
        <f>VLOOKUP(S499,'AMP models AxeFxIII'!$D$2:$H$299,2,FALSE)</f>
        <v>Not Used</v>
      </c>
      <c r="K499" s="45" t="str">
        <f>VLOOKUP(T499,'AMP models AxeFxIII'!$D$2:$H$299,2,FALSE)</f>
        <v>Not Used</v>
      </c>
      <c r="L499" s="45" t="str">
        <f>VLOOKUP(U499,'AMP models AxeFxIII'!$D$2:$H$299,2,FALSE)</f>
        <v>Not Used</v>
      </c>
      <c r="M499" s="45" t="str">
        <f>VLOOKUP(V499,'AMP models AxeFxIII'!$D$2:$H$299,2,FALSE)</f>
        <v>Not Used</v>
      </c>
      <c r="N499" s="45" t="str">
        <f>VLOOKUP(W499,'AMP models AxeFxIII'!$D$2:$H$299,2,FALSE)</f>
        <v>Not Used</v>
      </c>
      <c r="O499" s="45" t="str">
        <f>VLOOKUP(X499,'AMP models AxeFxIII'!$D$2:$H$299,2,FALSE)</f>
        <v>Not Used</v>
      </c>
      <c r="P499" s="45" t="str">
        <f>VLOOKUP(Y499,'AMP models AxeFxIII'!$D$2:$H$299,2,FALSE)</f>
        <v>Not Used</v>
      </c>
      <c r="Q499" s="45" t="str">
        <f>VLOOKUP(Z499,'AMP models AxeFxIII'!$D$2:$H$299,2,FALSE)</f>
        <v>Not Used</v>
      </c>
      <c r="R499" s="4">
        <v>495</v>
      </c>
      <c r="S499" s="46" t="s">
        <v>555</v>
      </c>
      <c r="T499" s="46" t="s">
        <v>555</v>
      </c>
      <c r="U499" s="46" t="s">
        <v>555</v>
      </c>
      <c r="V499" s="46" t="s">
        <v>555</v>
      </c>
      <c r="W499" s="46" t="s">
        <v>555</v>
      </c>
      <c r="X499" s="46" t="s">
        <v>555</v>
      </c>
      <c r="Y499" s="46" t="s">
        <v>555</v>
      </c>
      <c r="Z499" s="46" t="s">
        <v>555</v>
      </c>
    </row>
    <row r="500" spans="1:26">
      <c r="A500" s="41">
        <f>preset_Names!A500</f>
        <v>496</v>
      </c>
      <c r="B500" t="str">
        <f t="shared" si="24"/>
        <v xml:space="preserve">strcpy(AMP1_A,("Not Used")); strcpy(AMP1_B,("Not Used")); strcpy(AMP1_C,("Not Used")); strcpy(AMP1_D,("Not Used")); </v>
      </c>
      <c r="C500" t="str">
        <f t="shared" si="23"/>
        <v xml:space="preserve">strcpy(AMP2_A,("Not Used")); strcpy(AMP2_B,("Not Used")); strcpy(AMP2_C,("Not Used")); strcpy(AMP2_D,("Not Used")); </v>
      </c>
      <c r="D500" s="31" t="s">
        <v>893</v>
      </c>
      <c r="E500" s="42" t="str">
        <f t="shared" si="21"/>
        <v>case 496: strcpy(AMP1_A,("Not Used")); strcpy(AMP1_B,("Not Used")); strcpy(AMP1_C,("Not Used")); strcpy(AMP1_D,("Not Used")); strcpy(AMP2_A,("Not Used")); strcpy(AMP2_B,("Not Used")); strcpy(AMP2_C,("Not Used")); strcpy(AMP2_D,("Not Used"));  break;</v>
      </c>
      <c r="F500" t="s">
        <v>893</v>
      </c>
      <c r="I500" t="s">
        <v>893</v>
      </c>
      <c r="J500" s="45" t="str">
        <f>VLOOKUP(S500,'AMP models AxeFxIII'!$D$2:$H$299,2,FALSE)</f>
        <v>Not Used</v>
      </c>
      <c r="K500" s="45" t="str">
        <f>VLOOKUP(T500,'AMP models AxeFxIII'!$D$2:$H$299,2,FALSE)</f>
        <v>Not Used</v>
      </c>
      <c r="L500" s="45" t="str">
        <f>VLOOKUP(U500,'AMP models AxeFxIII'!$D$2:$H$299,2,FALSE)</f>
        <v>Not Used</v>
      </c>
      <c r="M500" s="45" t="str">
        <f>VLOOKUP(V500,'AMP models AxeFxIII'!$D$2:$H$299,2,FALSE)</f>
        <v>Not Used</v>
      </c>
      <c r="N500" s="45" t="str">
        <f>VLOOKUP(W500,'AMP models AxeFxIII'!$D$2:$H$299,2,FALSE)</f>
        <v>Not Used</v>
      </c>
      <c r="O500" s="45" t="str">
        <f>VLOOKUP(X500,'AMP models AxeFxIII'!$D$2:$H$299,2,FALSE)</f>
        <v>Not Used</v>
      </c>
      <c r="P500" s="45" t="str">
        <f>VLOOKUP(Y500,'AMP models AxeFxIII'!$D$2:$H$299,2,FALSE)</f>
        <v>Not Used</v>
      </c>
      <c r="Q500" s="45" t="str">
        <f>VLOOKUP(Z500,'AMP models AxeFxIII'!$D$2:$H$299,2,FALSE)</f>
        <v>Not Used</v>
      </c>
      <c r="R500" s="4">
        <v>496</v>
      </c>
      <c r="S500" s="46" t="s">
        <v>555</v>
      </c>
      <c r="T500" s="46" t="s">
        <v>555</v>
      </c>
      <c r="U500" s="46" t="s">
        <v>555</v>
      </c>
      <c r="V500" s="46" t="s">
        <v>555</v>
      </c>
      <c r="W500" s="46" t="s">
        <v>555</v>
      </c>
      <c r="X500" s="46" t="s">
        <v>555</v>
      </c>
      <c r="Y500" s="46" t="s">
        <v>555</v>
      </c>
      <c r="Z500" s="46" t="s">
        <v>555</v>
      </c>
    </row>
    <row r="501" spans="1:26">
      <c r="A501" s="41">
        <f>preset_Names!A501</f>
        <v>497</v>
      </c>
      <c r="B501" t="str">
        <f t="shared" si="24"/>
        <v xml:space="preserve">strcpy(AMP1_A,("Not Used")); strcpy(AMP1_B,("Not Used")); strcpy(AMP1_C,("Not Used")); strcpy(AMP1_D,("Not Used")); </v>
      </c>
      <c r="C501" t="str">
        <f t="shared" si="23"/>
        <v xml:space="preserve">strcpy(AMP2_A,("Not Used")); strcpy(AMP2_B,("Not Used")); strcpy(AMP2_C,("Not Used")); strcpy(AMP2_D,("Not Used")); </v>
      </c>
      <c r="D501" s="31" t="s">
        <v>893</v>
      </c>
      <c r="E501" s="42" t="str">
        <f t="shared" si="21"/>
        <v>case 497: strcpy(AMP1_A,("Not Used")); strcpy(AMP1_B,("Not Used")); strcpy(AMP1_C,("Not Used")); strcpy(AMP1_D,("Not Used")); strcpy(AMP2_A,("Not Used")); strcpy(AMP2_B,("Not Used")); strcpy(AMP2_C,("Not Used")); strcpy(AMP2_D,("Not Used"));  break;</v>
      </c>
      <c r="F501" t="s">
        <v>893</v>
      </c>
      <c r="I501" t="s">
        <v>893</v>
      </c>
      <c r="J501" s="45" t="str">
        <f>VLOOKUP(S501,'AMP models AxeFxIII'!$D$2:$H$299,2,FALSE)</f>
        <v>Not Used</v>
      </c>
      <c r="K501" s="45" t="str">
        <f>VLOOKUP(T501,'AMP models AxeFxIII'!$D$2:$H$299,2,FALSE)</f>
        <v>Not Used</v>
      </c>
      <c r="L501" s="45" t="str">
        <f>VLOOKUP(U501,'AMP models AxeFxIII'!$D$2:$H$299,2,FALSE)</f>
        <v>Not Used</v>
      </c>
      <c r="M501" s="45" t="str">
        <f>VLOOKUP(V501,'AMP models AxeFxIII'!$D$2:$H$299,2,FALSE)</f>
        <v>Not Used</v>
      </c>
      <c r="N501" s="45" t="str">
        <f>VLOOKUP(W501,'AMP models AxeFxIII'!$D$2:$H$299,2,FALSE)</f>
        <v>Not Used</v>
      </c>
      <c r="O501" s="45" t="str">
        <f>VLOOKUP(X501,'AMP models AxeFxIII'!$D$2:$H$299,2,FALSE)</f>
        <v>Not Used</v>
      </c>
      <c r="P501" s="45" t="str">
        <f>VLOOKUP(Y501,'AMP models AxeFxIII'!$D$2:$H$299,2,FALSE)</f>
        <v>Not Used</v>
      </c>
      <c r="Q501" s="45" t="str">
        <f>VLOOKUP(Z501,'AMP models AxeFxIII'!$D$2:$H$299,2,FALSE)</f>
        <v>Not Used</v>
      </c>
      <c r="R501" s="4">
        <v>497</v>
      </c>
      <c r="S501" s="46" t="s">
        <v>555</v>
      </c>
      <c r="T501" s="46" t="s">
        <v>555</v>
      </c>
      <c r="U501" s="46" t="s">
        <v>555</v>
      </c>
      <c r="V501" s="46" t="s">
        <v>555</v>
      </c>
      <c r="W501" s="46" t="s">
        <v>555</v>
      </c>
      <c r="X501" s="46" t="s">
        <v>555</v>
      </c>
      <c r="Y501" s="46" t="s">
        <v>555</v>
      </c>
      <c r="Z501" s="46" t="s">
        <v>555</v>
      </c>
    </row>
    <row r="502" spans="1:26">
      <c r="A502" s="41">
        <f>preset_Names!A502</f>
        <v>498</v>
      </c>
      <c r="B502" t="str">
        <f t="shared" si="24"/>
        <v xml:space="preserve">strcpy(AMP1_A,("Not Used")); strcpy(AMP1_B,("Not Used")); strcpy(AMP1_C,("Not Used")); strcpy(AMP1_D,("Not Used")); </v>
      </c>
      <c r="C502" t="str">
        <f t="shared" si="23"/>
        <v xml:space="preserve">strcpy(AMP2_A,("Not Used")); strcpy(AMP2_B,("Not Used")); strcpy(AMP2_C,("Not Used")); strcpy(AMP2_D,("Not Used")); </v>
      </c>
      <c r="D502" s="31" t="s">
        <v>893</v>
      </c>
      <c r="E502" s="42" t="str">
        <f t="shared" si="21"/>
        <v>case 498: strcpy(AMP1_A,("Not Used")); strcpy(AMP1_B,("Not Used")); strcpy(AMP1_C,("Not Used")); strcpy(AMP1_D,("Not Used")); strcpy(AMP2_A,("Not Used")); strcpy(AMP2_B,("Not Used")); strcpy(AMP2_C,("Not Used")); strcpy(AMP2_D,("Not Used"));  break;</v>
      </c>
      <c r="F502" t="s">
        <v>893</v>
      </c>
      <c r="I502" t="s">
        <v>893</v>
      </c>
      <c r="J502" s="45" t="str">
        <f>VLOOKUP(S502,'AMP models AxeFxIII'!$D$2:$H$299,2,FALSE)</f>
        <v>Not Used</v>
      </c>
      <c r="K502" s="45" t="str">
        <f>VLOOKUP(T502,'AMP models AxeFxIII'!$D$2:$H$299,2,FALSE)</f>
        <v>Not Used</v>
      </c>
      <c r="L502" s="45" t="str">
        <f>VLOOKUP(U502,'AMP models AxeFxIII'!$D$2:$H$299,2,FALSE)</f>
        <v>Not Used</v>
      </c>
      <c r="M502" s="45" t="str">
        <f>VLOOKUP(V502,'AMP models AxeFxIII'!$D$2:$H$299,2,FALSE)</f>
        <v>Not Used</v>
      </c>
      <c r="N502" s="45" t="str">
        <f>VLOOKUP(W502,'AMP models AxeFxIII'!$D$2:$H$299,2,FALSE)</f>
        <v>Not Used</v>
      </c>
      <c r="O502" s="45" t="str">
        <f>VLOOKUP(X502,'AMP models AxeFxIII'!$D$2:$H$299,2,FALSE)</f>
        <v>Not Used</v>
      </c>
      <c r="P502" s="45" t="str">
        <f>VLOOKUP(Y502,'AMP models AxeFxIII'!$D$2:$H$299,2,FALSE)</f>
        <v>Not Used</v>
      </c>
      <c r="Q502" s="45" t="str">
        <f>VLOOKUP(Z502,'AMP models AxeFxIII'!$D$2:$H$299,2,FALSE)</f>
        <v>Not Used</v>
      </c>
      <c r="R502" s="4">
        <v>498</v>
      </c>
      <c r="S502" s="46" t="s">
        <v>555</v>
      </c>
      <c r="T502" s="46" t="s">
        <v>555</v>
      </c>
      <c r="U502" s="46" t="s">
        <v>555</v>
      </c>
      <c r="V502" s="46" t="s">
        <v>555</v>
      </c>
      <c r="W502" s="46" t="s">
        <v>555</v>
      </c>
      <c r="X502" s="46" t="s">
        <v>555</v>
      </c>
      <c r="Y502" s="46" t="s">
        <v>555</v>
      </c>
      <c r="Z502" s="46" t="s">
        <v>555</v>
      </c>
    </row>
    <row r="503" spans="1:26">
      <c r="A503" s="41">
        <f>preset_Names!A503</f>
        <v>499</v>
      </c>
      <c r="B503" t="str">
        <f t="shared" si="24"/>
        <v xml:space="preserve">strcpy(AMP1_A,("Not Used")); strcpy(AMP1_B,("Not Used")); strcpy(AMP1_C,("Not Used")); strcpy(AMP1_D,("Not Used")); </v>
      </c>
      <c r="C503" t="str">
        <f t="shared" si="23"/>
        <v xml:space="preserve">strcpy(AMP2_A,("Not Used")); strcpy(AMP2_B,("Not Used")); strcpy(AMP2_C,("Not Used")); strcpy(AMP2_D,("Not Used")); </v>
      </c>
      <c r="D503" s="31" t="s">
        <v>893</v>
      </c>
      <c r="E503" s="42" t="str">
        <f t="shared" si="21"/>
        <v>case 499: strcpy(AMP1_A,("Not Used")); strcpy(AMP1_B,("Not Used")); strcpy(AMP1_C,("Not Used")); strcpy(AMP1_D,("Not Used")); strcpy(AMP2_A,("Not Used")); strcpy(AMP2_B,("Not Used")); strcpy(AMP2_C,("Not Used")); strcpy(AMP2_D,("Not Used"));  break;</v>
      </c>
      <c r="F503" t="s">
        <v>893</v>
      </c>
      <c r="I503" t="s">
        <v>893</v>
      </c>
      <c r="J503" s="45" t="str">
        <f>VLOOKUP(S503,'AMP models AxeFxIII'!$D$2:$H$299,2,FALSE)</f>
        <v>Not Used</v>
      </c>
      <c r="K503" s="45" t="str">
        <f>VLOOKUP(T503,'AMP models AxeFxIII'!$D$2:$H$299,2,FALSE)</f>
        <v>Not Used</v>
      </c>
      <c r="L503" s="45" t="str">
        <f>VLOOKUP(U503,'AMP models AxeFxIII'!$D$2:$H$299,2,FALSE)</f>
        <v>Not Used</v>
      </c>
      <c r="M503" s="45" t="str">
        <f>VLOOKUP(V503,'AMP models AxeFxIII'!$D$2:$H$299,2,FALSE)</f>
        <v>Not Used</v>
      </c>
      <c r="N503" s="45" t="str">
        <f>VLOOKUP(W503,'AMP models AxeFxIII'!$D$2:$H$299,2,FALSE)</f>
        <v>Not Used</v>
      </c>
      <c r="O503" s="45" t="str">
        <f>VLOOKUP(X503,'AMP models AxeFxIII'!$D$2:$H$299,2,FALSE)</f>
        <v>Not Used</v>
      </c>
      <c r="P503" s="45" t="str">
        <f>VLOOKUP(Y503,'AMP models AxeFxIII'!$D$2:$H$299,2,FALSE)</f>
        <v>Not Used</v>
      </c>
      <c r="Q503" s="45" t="str">
        <f>VLOOKUP(Z503,'AMP models AxeFxIII'!$D$2:$H$299,2,FALSE)</f>
        <v>Not Used</v>
      </c>
      <c r="R503" s="4">
        <v>499</v>
      </c>
      <c r="S503" s="46" t="s">
        <v>555</v>
      </c>
      <c r="T503" s="46" t="s">
        <v>555</v>
      </c>
      <c r="U503" s="46" t="s">
        <v>555</v>
      </c>
      <c r="V503" s="46" t="s">
        <v>555</v>
      </c>
      <c r="W503" s="46" t="s">
        <v>555</v>
      </c>
      <c r="X503" s="46" t="s">
        <v>555</v>
      </c>
      <c r="Y503" s="46" t="s">
        <v>555</v>
      </c>
      <c r="Z503" s="46" t="s">
        <v>555</v>
      </c>
    </row>
    <row r="504" spans="1:26">
      <c r="A504" s="41">
        <f>preset_Names!A504</f>
        <v>500</v>
      </c>
      <c r="B504" t="str">
        <f t="shared" si="24"/>
        <v xml:space="preserve">strcpy(AMP1_A,("Not Used")); strcpy(AMP1_B,("Not Used")); strcpy(AMP1_C,("Not Used")); strcpy(AMP1_D,("Not Used")); </v>
      </c>
      <c r="C504" t="str">
        <f t="shared" si="23"/>
        <v xml:space="preserve">strcpy(AMP2_A,("Not Used")); strcpy(AMP2_B,("Not Used")); strcpy(AMP2_C,("Not Used")); strcpy(AMP2_D,("Not Used")); </v>
      </c>
      <c r="D504" s="31" t="s">
        <v>893</v>
      </c>
      <c r="E504" s="42" t="str">
        <f t="shared" si="21"/>
        <v>case 500: strcpy(AMP1_A,("Not Used")); strcpy(AMP1_B,("Not Used")); strcpy(AMP1_C,("Not Used")); strcpy(AMP1_D,("Not Used")); strcpy(AMP2_A,("Not Used")); strcpy(AMP2_B,("Not Used")); strcpy(AMP2_C,("Not Used")); strcpy(AMP2_D,("Not Used"));  break;</v>
      </c>
      <c r="F504" t="s">
        <v>893</v>
      </c>
      <c r="I504" t="s">
        <v>893</v>
      </c>
      <c r="J504" s="45" t="str">
        <f>VLOOKUP(S504,'AMP models AxeFxIII'!$D$2:$H$299,2,FALSE)</f>
        <v>Not Used</v>
      </c>
      <c r="K504" s="45" t="str">
        <f>VLOOKUP(T504,'AMP models AxeFxIII'!$D$2:$H$299,2,FALSE)</f>
        <v>Not Used</v>
      </c>
      <c r="L504" s="45" t="str">
        <f>VLOOKUP(U504,'AMP models AxeFxIII'!$D$2:$H$299,2,FALSE)</f>
        <v>Not Used</v>
      </c>
      <c r="M504" s="45" t="str">
        <f>VLOOKUP(V504,'AMP models AxeFxIII'!$D$2:$H$299,2,FALSE)</f>
        <v>Not Used</v>
      </c>
      <c r="N504" s="45" t="str">
        <f>VLOOKUP(W504,'AMP models AxeFxIII'!$D$2:$H$299,2,FALSE)</f>
        <v>Not Used</v>
      </c>
      <c r="O504" s="45" t="str">
        <f>VLOOKUP(X504,'AMP models AxeFxIII'!$D$2:$H$299,2,FALSE)</f>
        <v>Not Used</v>
      </c>
      <c r="P504" s="45" t="str">
        <f>VLOOKUP(Y504,'AMP models AxeFxIII'!$D$2:$H$299,2,FALSE)</f>
        <v>Not Used</v>
      </c>
      <c r="Q504" s="45" t="str">
        <f>VLOOKUP(Z504,'AMP models AxeFxIII'!$D$2:$H$299,2,FALSE)</f>
        <v>Not Used</v>
      </c>
      <c r="R504" s="4">
        <v>500</v>
      </c>
      <c r="S504" s="46" t="s">
        <v>555</v>
      </c>
      <c r="T504" s="46" t="s">
        <v>555</v>
      </c>
      <c r="U504" s="46" t="s">
        <v>555</v>
      </c>
      <c r="V504" s="46" t="s">
        <v>555</v>
      </c>
      <c r="W504" s="46" t="s">
        <v>555</v>
      </c>
      <c r="X504" s="46" t="s">
        <v>555</v>
      </c>
      <c r="Y504" s="46" t="s">
        <v>555</v>
      </c>
      <c r="Z504" s="46" t="s">
        <v>555</v>
      </c>
    </row>
    <row r="505" spans="1:26">
      <c r="A505" s="41">
        <f>preset_Names!A505</f>
        <v>501</v>
      </c>
      <c r="B505" t="str">
        <f t="shared" si="24"/>
        <v xml:space="preserve">strcpy(AMP1_A,("Not Used")); strcpy(AMP1_B,("Not Used")); strcpy(AMP1_C,("Not Used")); strcpy(AMP1_D,("Not Used")); </v>
      </c>
      <c r="C505" t="str">
        <f t="shared" si="23"/>
        <v xml:space="preserve">strcpy(AMP2_A,("Not Used")); strcpy(AMP2_B,("Not Used")); strcpy(AMP2_C,("Not Used")); strcpy(AMP2_D,("Not Used")); </v>
      </c>
      <c r="D505" s="31" t="s">
        <v>893</v>
      </c>
      <c r="E505" s="42" t="str">
        <f t="shared" si="21"/>
        <v>case 501: strcpy(AMP1_A,("Not Used")); strcpy(AMP1_B,("Not Used")); strcpy(AMP1_C,("Not Used")); strcpy(AMP1_D,("Not Used")); strcpy(AMP2_A,("Not Used")); strcpy(AMP2_B,("Not Used")); strcpy(AMP2_C,("Not Used")); strcpy(AMP2_D,("Not Used"));  break;</v>
      </c>
      <c r="F505" t="s">
        <v>893</v>
      </c>
      <c r="I505" t="s">
        <v>893</v>
      </c>
      <c r="J505" s="45" t="str">
        <f>VLOOKUP(S505,'AMP models AxeFxIII'!$D$2:$H$299,2,FALSE)</f>
        <v>Not Used</v>
      </c>
      <c r="K505" s="45" t="str">
        <f>VLOOKUP(T505,'AMP models AxeFxIII'!$D$2:$H$299,2,FALSE)</f>
        <v>Not Used</v>
      </c>
      <c r="L505" s="45" t="str">
        <f>VLOOKUP(U505,'AMP models AxeFxIII'!$D$2:$H$299,2,FALSE)</f>
        <v>Not Used</v>
      </c>
      <c r="M505" s="45" t="str">
        <f>VLOOKUP(V505,'AMP models AxeFxIII'!$D$2:$H$299,2,FALSE)</f>
        <v>Not Used</v>
      </c>
      <c r="N505" s="45" t="str">
        <f>VLOOKUP(W505,'AMP models AxeFxIII'!$D$2:$H$299,2,FALSE)</f>
        <v>Not Used</v>
      </c>
      <c r="O505" s="45" t="str">
        <f>VLOOKUP(X505,'AMP models AxeFxIII'!$D$2:$H$299,2,FALSE)</f>
        <v>Not Used</v>
      </c>
      <c r="P505" s="45" t="str">
        <f>VLOOKUP(Y505,'AMP models AxeFxIII'!$D$2:$H$299,2,FALSE)</f>
        <v>Not Used</v>
      </c>
      <c r="Q505" s="45" t="str">
        <f>VLOOKUP(Z505,'AMP models AxeFxIII'!$D$2:$H$299,2,FALSE)</f>
        <v>Not Used</v>
      </c>
      <c r="R505" s="4">
        <v>501</v>
      </c>
      <c r="S505" s="46" t="s">
        <v>555</v>
      </c>
      <c r="T505" s="46" t="s">
        <v>555</v>
      </c>
      <c r="U505" s="46" t="s">
        <v>555</v>
      </c>
      <c r="V505" s="46" t="s">
        <v>555</v>
      </c>
      <c r="W505" s="46" t="s">
        <v>555</v>
      </c>
      <c r="X505" s="46" t="s">
        <v>555</v>
      </c>
      <c r="Y505" s="46" t="s">
        <v>555</v>
      </c>
      <c r="Z505" s="46" t="s">
        <v>555</v>
      </c>
    </row>
    <row r="506" spans="1:26">
      <c r="A506" s="41">
        <f>preset_Names!A506</f>
        <v>502</v>
      </c>
      <c r="B506" t="str">
        <f t="shared" si="24"/>
        <v xml:space="preserve">strcpy(AMP1_A,("Not Used")); strcpy(AMP1_B,("Not Used")); strcpy(AMP1_C,("Not Used")); strcpy(AMP1_D,("Not Used")); </v>
      </c>
      <c r="C506" t="str">
        <f t="shared" si="23"/>
        <v xml:space="preserve">strcpy(AMP2_A,("Not Used")); strcpy(AMP2_B,("Not Used")); strcpy(AMP2_C,("Not Used")); strcpy(AMP2_D,("Not Used")); </v>
      </c>
      <c r="D506" s="31" t="s">
        <v>893</v>
      </c>
      <c r="E506" s="42" t="str">
        <f t="shared" si="21"/>
        <v>case 502: strcpy(AMP1_A,("Not Used")); strcpy(AMP1_B,("Not Used")); strcpy(AMP1_C,("Not Used")); strcpy(AMP1_D,("Not Used")); strcpy(AMP2_A,("Not Used")); strcpy(AMP2_B,("Not Used")); strcpy(AMP2_C,("Not Used")); strcpy(AMP2_D,("Not Used"));  break;</v>
      </c>
      <c r="F506" t="s">
        <v>893</v>
      </c>
      <c r="I506" t="s">
        <v>893</v>
      </c>
      <c r="J506" s="45" t="str">
        <f>VLOOKUP(S506,'AMP models AxeFxIII'!$D$2:$H$299,2,FALSE)</f>
        <v>Not Used</v>
      </c>
      <c r="K506" s="45" t="str">
        <f>VLOOKUP(T506,'AMP models AxeFxIII'!$D$2:$H$299,2,FALSE)</f>
        <v>Not Used</v>
      </c>
      <c r="L506" s="45" t="str">
        <f>VLOOKUP(U506,'AMP models AxeFxIII'!$D$2:$H$299,2,FALSE)</f>
        <v>Not Used</v>
      </c>
      <c r="M506" s="45" t="str">
        <f>VLOOKUP(V506,'AMP models AxeFxIII'!$D$2:$H$299,2,FALSE)</f>
        <v>Not Used</v>
      </c>
      <c r="N506" s="45" t="str">
        <f>VLOOKUP(W506,'AMP models AxeFxIII'!$D$2:$H$299,2,FALSE)</f>
        <v>Not Used</v>
      </c>
      <c r="O506" s="45" t="str">
        <f>VLOOKUP(X506,'AMP models AxeFxIII'!$D$2:$H$299,2,FALSE)</f>
        <v>Not Used</v>
      </c>
      <c r="P506" s="45" t="str">
        <f>VLOOKUP(Y506,'AMP models AxeFxIII'!$D$2:$H$299,2,FALSE)</f>
        <v>Not Used</v>
      </c>
      <c r="Q506" s="45" t="str">
        <f>VLOOKUP(Z506,'AMP models AxeFxIII'!$D$2:$H$299,2,FALSE)</f>
        <v>Not Used</v>
      </c>
      <c r="R506" s="4">
        <v>502</v>
      </c>
      <c r="S506" s="46" t="s">
        <v>555</v>
      </c>
      <c r="T506" s="46" t="s">
        <v>555</v>
      </c>
      <c r="U506" s="46" t="s">
        <v>555</v>
      </c>
      <c r="V506" s="46" t="s">
        <v>555</v>
      </c>
      <c r="W506" s="46" t="s">
        <v>555</v>
      </c>
      <c r="X506" s="46" t="s">
        <v>555</v>
      </c>
      <c r="Y506" s="46" t="s">
        <v>555</v>
      </c>
      <c r="Z506" s="46" t="s">
        <v>555</v>
      </c>
    </row>
    <row r="507" spans="1:26">
      <c r="A507" s="41">
        <f>preset_Names!A507</f>
        <v>503</v>
      </c>
      <c r="B507" t="str">
        <f t="shared" si="24"/>
        <v xml:space="preserve">strcpy(AMP1_A,("Not Used")); strcpy(AMP1_B,("Not Used")); strcpy(AMP1_C,("Not Used")); strcpy(AMP1_D,("Not Used")); </v>
      </c>
      <c r="C507" t="str">
        <f t="shared" si="23"/>
        <v xml:space="preserve">strcpy(AMP2_A,("Not Used")); strcpy(AMP2_B,("Not Used")); strcpy(AMP2_C,("Not Used")); strcpy(AMP2_D,("Not Used")); </v>
      </c>
      <c r="D507" s="31" t="s">
        <v>893</v>
      </c>
      <c r="E507" s="42" t="str">
        <f t="shared" si="21"/>
        <v>case 503: strcpy(AMP1_A,("Not Used")); strcpy(AMP1_B,("Not Used")); strcpy(AMP1_C,("Not Used")); strcpy(AMP1_D,("Not Used")); strcpy(AMP2_A,("Not Used")); strcpy(AMP2_B,("Not Used")); strcpy(AMP2_C,("Not Used")); strcpy(AMP2_D,("Not Used"));  break;</v>
      </c>
      <c r="F507" t="s">
        <v>893</v>
      </c>
      <c r="I507" t="s">
        <v>893</v>
      </c>
      <c r="J507" s="45" t="str">
        <f>VLOOKUP(S507,'AMP models AxeFxIII'!$D$2:$H$299,2,FALSE)</f>
        <v>Not Used</v>
      </c>
      <c r="K507" s="45" t="str">
        <f>VLOOKUP(T507,'AMP models AxeFxIII'!$D$2:$H$299,2,FALSE)</f>
        <v>Not Used</v>
      </c>
      <c r="L507" s="45" t="str">
        <f>VLOOKUP(U507,'AMP models AxeFxIII'!$D$2:$H$299,2,FALSE)</f>
        <v>Not Used</v>
      </c>
      <c r="M507" s="45" t="str">
        <f>VLOOKUP(V507,'AMP models AxeFxIII'!$D$2:$H$299,2,FALSE)</f>
        <v>Not Used</v>
      </c>
      <c r="N507" s="45" t="str">
        <f>VLOOKUP(W507,'AMP models AxeFxIII'!$D$2:$H$299,2,FALSE)</f>
        <v>Not Used</v>
      </c>
      <c r="O507" s="45" t="str">
        <f>VLOOKUP(X507,'AMP models AxeFxIII'!$D$2:$H$299,2,FALSE)</f>
        <v>Not Used</v>
      </c>
      <c r="P507" s="45" t="str">
        <f>VLOOKUP(Y507,'AMP models AxeFxIII'!$D$2:$H$299,2,FALSE)</f>
        <v>Not Used</v>
      </c>
      <c r="Q507" s="45" t="str">
        <f>VLOOKUP(Z507,'AMP models AxeFxIII'!$D$2:$H$299,2,FALSE)</f>
        <v>Not Used</v>
      </c>
      <c r="R507" s="4">
        <v>503</v>
      </c>
      <c r="S507" s="46" t="s">
        <v>555</v>
      </c>
      <c r="T507" s="46" t="s">
        <v>555</v>
      </c>
      <c r="U507" s="46" t="s">
        <v>555</v>
      </c>
      <c r="V507" s="46" t="s">
        <v>555</v>
      </c>
      <c r="W507" s="46" t="s">
        <v>555</v>
      </c>
      <c r="X507" s="46" t="s">
        <v>555</v>
      </c>
      <c r="Y507" s="46" t="s">
        <v>555</v>
      </c>
      <c r="Z507" s="46" t="s">
        <v>555</v>
      </c>
    </row>
    <row r="508" spans="1:26">
      <c r="A508" s="41">
        <f>preset_Names!A508</f>
        <v>504</v>
      </c>
      <c r="B508" t="str">
        <f t="shared" si="24"/>
        <v xml:space="preserve">strcpy(AMP1_A,("Not Used")); strcpy(AMP1_B,("Not Used")); strcpy(AMP1_C,("Not Used")); strcpy(AMP1_D,("Not Used")); </v>
      </c>
      <c r="C508" t="str">
        <f t="shared" si="23"/>
        <v xml:space="preserve">strcpy(AMP2_A,("Not Used")); strcpy(AMP2_B,("Not Used")); strcpy(AMP2_C,("Not Used")); strcpy(AMP2_D,("Not Used")); </v>
      </c>
      <c r="D508" s="31" t="s">
        <v>893</v>
      </c>
      <c r="E508" s="42" t="str">
        <f t="shared" si="21"/>
        <v>case 504: strcpy(AMP1_A,("Not Used")); strcpy(AMP1_B,("Not Used")); strcpy(AMP1_C,("Not Used")); strcpy(AMP1_D,("Not Used")); strcpy(AMP2_A,("Not Used")); strcpy(AMP2_B,("Not Used")); strcpy(AMP2_C,("Not Used")); strcpy(AMP2_D,("Not Used"));  break;</v>
      </c>
      <c r="F508" t="s">
        <v>893</v>
      </c>
      <c r="I508" t="s">
        <v>893</v>
      </c>
      <c r="J508" s="45" t="str">
        <f>VLOOKUP(S508,'AMP models AxeFxIII'!$D$2:$H$299,2,FALSE)</f>
        <v>Not Used</v>
      </c>
      <c r="K508" s="45" t="str">
        <f>VLOOKUP(T508,'AMP models AxeFxIII'!$D$2:$H$299,2,FALSE)</f>
        <v>Not Used</v>
      </c>
      <c r="L508" s="45" t="str">
        <f>VLOOKUP(U508,'AMP models AxeFxIII'!$D$2:$H$299,2,FALSE)</f>
        <v>Not Used</v>
      </c>
      <c r="M508" s="45" t="str">
        <f>VLOOKUP(V508,'AMP models AxeFxIII'!$D$2:$H$299,2,FALSE)</f>
        <v>Not Used</v>
      </c>
      <c r="N508" s="45" t="str">
        <f>VLOOKUP(W508,'AMP models AxeFxIII'!$D$2:$H$299,2,FALSE)</f>
        <v>Not Used</v>
      </c>
      <c r="O508" s="45" t="str">
        <f>VLOOKUP(X508,'AMP models AxeFxIII'!$D$2:$H$299,2,FALSE)</f>
        <v>Not Used</v>
      </c>
      <c r="P508" s="45" t="str">
        <f>VLOOKUP(Y508,'AMP models AxeFxIII'!$D$2:$H$299,2,FALSE)</f>
        <v>Not Used</v>
      </c>
      <c r="Q508" s="45" t="str">
        <f>VLOOKUP(Z508,'AMP models AxeFxIII'!$D$2:$H$299,2,FALSE)</f>
        <v>Not Used</v>
      </c>
      <c r="R508" s="4">
        <v>504</v>
      </c>
      <c r="S508" s="46" t="s">
        <v>555</v>
      </c>
      <c r="T508" s="46" t="s">
        <v>555</v>
      </c>
      <c r="U508" s="46" t="s">
        <v>555</v>
      </c>
      <c r="V508" s="46" t="s">
        <v>555</v>
      </c>
      <c r="W508" s="46" t="s">
        <v>555</v>
      </c>
      <c r="X508" s="46" t="s">
        <v>555</v>
      </c>
      <c r="Y508" s="46" t="s">
        <v>555</v>
      </c>
      <c r="Z508" s="46" t="s">
        <v>555</v>
      </c>
    </row>
    <row r="509" spans="1:26">
      <c r="A509" s="41">
        <f>preset_Names!A509</f>
        <v>505</v>
      </c>
      <c r="B509" t="str">
        <f t="shared" si="24"/>
        <v xml:space="preserve">strcpy(AMP1_A,("Not Used")); strcpy(AMP1_B,("Not Used")); strcpy(AMP1_C,("Not Used")); strcpy(AMP1_D,("Not Used")); </v>
      </c>
      <c r="C509" t="str">
        <f t="shared" si="23"/>
        <v xml:space="preserve">strcpy(AMP2_A,("Not Used")); strcpy(AMP2_B,("Not Used")); strcpy(AMP2_C,("Not Used")); strcpy(AMP2_D,("Not Used")); </v>
      </c>
      <c r="D509" s="31" t="s">
        <v>893</v>
      </c>
      <c r="E509" s="42" t="str">
        <f t="shared" si="21"/>
        <v>case 505: strcpy(AMP1_A,("Not Used")); strcpy(AMP1_B,("Not Used")); strcpy(AMP1_C,("Not Used")); strcpy(AMP1_D,("Not Used")); strcpy(AMP2_A,("Not Used")); strcpy(AMP2_B,("Not Used")); strcpy(AMP2_C,("Not Used")); strcpy(AMP2_D,("Not Used"));  break;</v>
      </c>
      <c r="F509" t="s">
        <v>893</v>
      </c>
      <c r="I509" t="s">
        <v>893</v>
      </c>
      <c r="J509" s="45" t="str">
        <f>VLOOKUP(S509,'AMP models AxeFxIII'!$D$2:$H$299,2,FALSE)</f>
        <v>Not Used</v>
      </c>
      <c r="K509" s="45" t="str">
        <f>VLOOKUP(T509,'AMP models AxeFxIII'!$D$2:$H$299,2,FALSE)</f>
        <v>Not Used</v>
      </c>
      <c r="L509" s="45" t="str">
        <f>VLOOKUP(U509,'AMP models AxeFxIII'!$D$2:$H$299,2,FALSE)</f>
        <v>Not Used</v>
      </c>
      <c r="M509" s="45" t="str">
        <f>VLOOKUP(V509,'AMP models AxeFxIII'!$D$2:$H$299,2,FALSE)</f>
        <v>Not Used</v>
      </c>
      <c r="N509" s="45" t="str">
        <f>VLOOKUP(W509,'AMP models AxeFxIII'!$D$2:$H$299,2,FALSE)</f>
        <v>Not Used</v>
      </c>
      <c r="O509" s="45" t="str">
        <f>VLOOKUP(X509,'AMP models AxeFxIII'!$D$2:$H$299,2,FALSE)</f>
        <v>Not Used</v>
      </c>
      <c r="P509" s="45" t="str">
        <f>VLOOKUP(Y509,'AMP models AxeFxIII'!$D$2:$H$299,2,FALSE)</f>
        <v>Not Used</v>
      </c>
      <c r="Q509" s="45" t="str">
        <f>VLOOKUP(Z509,'AMP models AxeFxIII'!$D$2:$H$299,2,FALSE)</f>
        <v>Not Used</v>
      </c>
      <c r="R509" s="4">
        <v>505</v>
      </c>
      <c r="S509" s="46" t="s">
        <v>555</v>
      </c>
      <c r="T509" s="46" t="s">
        <v>555</v>
      </c>
      <c r="U509" s="46" t="s">
        <v>555</v>
      </c>
      <c r="V509" s="46" t="s">
        <v>555</v>
      </c>
      <c r="W509" s="46" t="s">
        <v>555</v>
      </c>
      <c r="X509" s="46" t="s">
        <v>555</v>
      </c>
      <c r="Y509" s="46" t="s">
        <v>555</v>
      </c>
      <c r="Z509" s="46" t="s">
        <v>555</v>
      </c>
    </row>
    <row r="510" spans="1:26">
      <c r="A510" s="41">
        <f>preset_Names!A510</f>
        <v>506</v>
      </c>
      <c r="B510" t="str">
        <f t="shared" si="24"/>
        <v xml:space="preserve">strcpy(AMP1_A,("Not Used")); strcpy(AMP1_B,("Not Used")); strcpy(AMP1_C,("Not Used")); strcpy(AMP1_D,("Not Used")); </v>
      </c>
      <c r="C510" t="str">
        <f t="shared" si="23"/>
        <v xml:space="preserve">strcpy(AMP2_A,("Not Used")); strcpy(AMP2_B,("Not Used")); strcpy(AMP2_C,("Not Used")); strcpy(AMP2_D,("Not Used")); </v>
      </c>
      <c r="D510" s="31" t="s">
        <v>893</v>
      </c>
      <c r="E510" s="42" t="str">
        <f t="shared" si="21"/>
        <v>case 506: strcpy(AMP1_A,("Not Used")); strcpy(AMP1_B,("Not Used")); strcpy(AMP1_C,("Not Used")); strcpy(AMP1_D,("Not Used")); strcpy(AMP2_A,("Not Used")); strcpy(AMP2_B,("Not Used")); strcpy(AMP2_C,("Not Used")); strcpy(AMP2_D,("Not Used"));  break;</v>
      </c>
      <c r="F510" t="s">
        <v>893</v>
      </c>
      <c r="I510" t="s">
        <v>893</v>
      </c>
      <c r="J510" s="45" t="str">
        <f>VLOOKUP(S510,'AMP models AxeFxIII'!$D$2:$H$299,2,FALSE)</f>
        <v>Not Used</v>
      </c>
      <c r="K510" s="45" t="str">
        <f>VLOOKUP(T510,'AMP models AxeFxIII'!$D$2:$H$299,2,FALSE)</f>
        <v>Not Used</v>
      </c>
      <c r="L510" s="45" t="str">
        <f>VLOOKUP(U510,'AMP models AxeFxIII'!$D$2:$H$299,2,FALSE)</f>
        <v>Not Used</v>
      </c>
      <c r="M510" s="45" t="str">
        <f>VLOOKUP(V510,'AMP models AxeFxIII'!$D$2:$H$299,2,FALSE)</f>
        <v>Not Used</v>
      </c>
      <c r="N510" s="45" t="str">
        <f>VLOOKUP(W510,'AMP models AxeFxIII'!$D$2:$H$299,2,FALSE)</f>
        <v>Not Used</v>
      </c>
      <c r="O510" s="45" t="str">
        <f>VLOOKUP(X510,'AMP models AxeFxIII'!$D$2:$H$299,2,FALSE)</f>
        <v>Not Used</v>
      </c>
      <c r="P510" s="45" t="str">
        <f>VLOOKUP(Y510,'AMP models AxeFxIII'!$D$2:$H$299,2,FALSE)</f>
        <v>Not Used</v>
      </c>
      <c r="Q510" s="45" t="str">
        <f>VLOOKUP(Z510,'AMP models AxeFxIII'!$D$2:$H$299,2,FALSE)</f>
        <v>Not Used</v>
      </c>
      <c r="R510" s="4">
        <v>506</v>
      </c>
      <c r="S510" s="46" t="s">
        <v>555</v>
      </c>
      <c r="T510" s="46" t="s">
        <v>555</v>
      </c>
      <c r="U510" s="46" t="s">
        <v>555</v>
      </c>
      <c r="V510" s="46" t="s">
        <v>555</v>
      </c>
      <c r="W510" s="46" t="s">
        <v>555</v>
      </c>
      <c r="X510" s="46" t="s">
        <v>555</v>
      </c>
      <c r="Y510" s="46" t="s">
        <v>555</v>
      </c>
      <c r="Z510" s="46" t="s">
        <v>555</v>
      </c>
    </row>
    <row r="511" spans="1:26">
      <c r="A511" s="41">
        <f>preset_Names!A511</f>
        <v>507</v>
      </c>
      <c r="B511" t="str">
        <f t="shared" si="24"/>
        <v xml:space="preserve">strcpy(AMP1_A,("Not Used")); strcpy(AMP1_B,("Not Used")); strcpy(AMP1_C,("Not Used")); strcpy(AMP1_D,("Not Used")); </v>
      </c>
      <c r="C511" t="str">
        <f t="shared" si="23"/>
        <v xml:space="preserve">strcpy(AMP2_A,("Not Used")); strcpy(AMP2_B,("Not Used")); strcpy(AMP2_C,("Not Used")); strcpy(AMP2_D,("Not Used")); </v>
      </c>
      <c r="D511" s="31" t="s">
        <v>893</v>
      </c>
      <c r="E511" s="42" t="str">
        <f t="shared" si="21"/>
        <v>case 507: strcpy(AMP1_A,("Not Used")); strcpy(AMP1_B,("Not Used")); strcpy(AMP1_C,("Not Used")); strcpy(AMP1_D,("Not Used")); strcpy(AMP2_A,("Not Used")); strcpy(AMP2_B,("Not Used")); strcpy(AMP2_C,("Not Used")); strcpy(AMP2_D,("Not Used"));  break;</v>
      </c>
      <c r="F511" t="s">
        <v>893</v>
      </c>
      <c r="I511" t="s">
        <v>893</v>
      </c>
      <c r="J511" s="45" t="str">
        <f>VLOOKUP(S511,'AMP models AxeFxIII'!$D$2:$H$299,2,FALSE)</f>
        <v>Not Used</v>
      </c>
      <c r="K511" s="45" t="str">
        <f>VLOOKUP(T511,'AMP models AxeFxIII'!$D$2:$H$299,2,FALSE)</f>
        <v>Not Used</v>
      </c>
      <c r="L511" s="45" t="str">
        <f>VLOOKUP(U511,'AMP models AxeFxIII'!$D$2:$H$299,2,FALSE)</f>
        <v>Not Used</v>
      </c>
      <c r="M511" s="45" t="str">
        <f>VLOOKUP(V511,'AMP models AxeFxIII'!$D$2:$H$299,2,FALSE)</f>
        <v>Not Used</v>
      </c>
      <c r="N511" s="45" t="str">
        <f>VLOOKUP(W511,'AMP models AxeFxIII'!$D$2:$H$299,2,FALSE)</f>
        <v>Not Used</v>
      </c>
      <c r="O511" s="45" t="str">
        <f>VLOOKUP(X511,'AMP models AxeFxIII'!$D$2:$H$299,2,FALSE)</f>
        <v>Not Used</v>
      </c>
      <c r="P511" s="45" t="str">
        <f>VLOOKUP(Y511,'AMP models AxeFxIII'!$D$2:$H$299,2,FALSE)</f>
        <v>Not Used</v>
      </c>
      <c r="Q511" s="45" t="str">
        <f>VLOOKUP(Z511,'AMP models AxeFxIII'!$D$2:$H$299,2,FALSE)</f>
        <v>Not Used</v>
      </c>
      <c r="R511" s="4">
        <v>507</v>
      </c>
      <c r="S511" s="46" t="s">
        <v>555</v>
      </c>
      <c r="T511" s="46" t="s">
        <v>555</v>
      </c>
      <c r="U511" s="46" t="s">
        <v>555</v>
      </c>
      <c r="V511" s="46" t="s">
        <v>555</v>
      </c>
      <c r="W511" s="46" t="s">
        <v>555</v>
      </c>
      <c r="X511" s="46" t="s">
        <v>555</v>
      </c>
      <c r="Y511" s="46" t="s">
        <v>555</v>
      </c>
      <c r="Z511" s="46" t="s">
        <v>555</v>
      </c>
    </row>
    <row r="512" spans="1:26">
      <c r="A512" s="41">
        <f>preset_Names!A512</f>
        <v>508</v>
      </c>
      <c r="B512" t="str">
        <f t="shared" si="24"/>
        <v xml:space="preserve">strcpy(AMP1_A,("Not Used")); strcpy(AMP1_B,("Not Used")); strcpy(AMP1_C,("Not Used")); strcpy(AMP1_D,("Not Used")); </v>
      </c>
      <c r="C512" t="str">
        <f t="shared" si="23"/>
        <v xml:space="preserve">strcpy(AMP2_A,("Not Used")); strcpy(AMP2_B,("Not Used")); strcpy(AMP2_C,("Not Used")); strcpy(AMP2_D,("Not Used")); </v>
      </c>
      <c r="D512" s="31" t="s">
        <v>893</v>
      </c>
      <c r="E512" s="42" t="str">
        <f t="shared" si="21"/>
        <v>case 508: strcpy(AMP1_A,("Not Used")); strcpy(AMP1_B,("Not Used")); strcpy(AMP1_C,("Not Used")); strcpy(AMP1_D,("Not Used")); strcpy(AMP2_A,("Not Used")); strcpy(AMP2_B,("Not Used")); strcpy(AMP2_C,("Not Used")); strcpy(AMP2_D,("Not Used"));  break;</v>
      </c>
      <c r="F512" t="s">
        <v>893</v>
      </c>
      <c r="I512" t="s">
        <v>893</v>
      </c>
      <c r="J512" s="45" t="str">
        <f>VLOOKUP(S512,'AMP models AxeFxIII'!$D$2:$H$299,2,FALSE)</f>
        <v>Not Used</v>
      </c>
      <c r="K512" s="45" t="str">
        <f>VLOOKUP(T512,'AMP models AxeFxIII'!$D$2:$H$299,2,FALSE)</f>
        <v>Not Used</v>
      </c>
      <c r="L512" s="45" t="str">
        <f>VLOOKUP(U512,'AMP models AxeFxIII'!$D$2:$H$299,2,FALSE)</f>
        <v>Not Used</v>
      </c>
      <c r="M512" s="45" t="str">
        <f>VLOOKUP(V512,'AMP models AxeFxIII'!$D$2:$H$299,2,FALSE)</f>
        <v>Not Used</v>
      </c>
      <c r="N512" s="45" t="str">
        <f>VLOOKUP(W512,'AMP models AxeFxIII'!$D$2:$H$299,2,FALSE)</f>
        <v>Not Used</v>
      </c>
      <c r="O512" s="45" t="str">
        <f>VLOOKUP(X512,'AMP models AxeFxIII'!$D$2:$H$299,2,FALSE)</f>
        <v>Not Used</v>
      </c>
      <c r="P512" s="45" t="str">
        <f>VLOOKUP(Y512,'AMP models AxeFxIII'!$D$2:$H$299,2,FALSE)</f>
        <v>Not Used</v>
      </c>
      <c r="Q512" s="45" t="str">
        <f>VLOOKUP(Z512,'AMP models AxeFxIII'!$D$2:$H$299,2,FALSE)</f>
        <v>Not Used</v>
      </c>
      <c r="R512" s="4">
        <v>508</v>
      </c>
      <c r="S512" s="46" t="s">
        <v>555</v>
      </c>
      <c r="T512" s="46" t="s">
        <v>555</v>
      </c>
      <c r="U512" s="46" t="s">
        <v>555</v>
      </c>
      <c r="V512" s="46" t="s">
        <v>555</v>
      </c>
      <c r="W512" s="46" t="s">
        <v>555</v>
      </c>
      <c r="X512" s="46" t="s">
        <v>555</v>
      </c>
      <c r="Y512" s="46" t="s">
        <v>555</v>
      </c>
      <c r="Z512" s="46" t="s">
        <v>555</v>
      </c>
    </row>
    <row r="513" spans="1:26">
      <c r="A513" s="41">
        <f>preset_Names!A513</f>
        <v>509</v>
      </c>
      <c r="B513" t="str">
        <f t="shared" si="24"/>
        <v xml:space="preserve">strcpy(AMP1_A,("Not Used")); strcpy(AMP1_B,("Not Used")); strcpy(AMP1_C,("Not Used")); strcpy(AMP1_D,("Not Used")); </v>
      </c>
      <c r="C513" t="str">
        <f t="shared" si="23"/>
        <v xml:space="preserve">strcpy(AMP2_A,("Not Used")); strcpy(AMP2_B,("Not Used")); strcpy(AMP2_C,("Not Used")); strcpy(AMP2_D,("Not Used")); </v>
      </c>
      <c r="D513" s="31" t="s">
        <v>893</v>
      </c>
      <c r="E513" s="42" t="str">
        <f t="shared" si="21"/>
        <v>case 509: strcpy(AMP1_A,("Not Used")); strcpy(AMP1_B,("Not Used")); strcpy(AMP1_C,("Not Used")); strcpy(AMP1_D,("Not Used")); strcpy(AMP2_A,("Not Used")); strcpy(AMP2_B,("Not Used")); strcpy(AMP2_C,("Not Used")); strcpy(AMP2_D,("Not Used"));  break;</v>
      </c>
      <c r="F513" t="s">
        <v>893</v>
      </c>
      <c r="I513" t="s">
        <v>893</v>
      </c>
      <c r="J513" s="45" t="str">
        <f>VLOOKUP(S513,'AMP models AxeFxIII'!$D$2:$H$299,2,FALSE)</f>
        <v>Not Used</v>
      </c>
      <c r="K513" s="45" t="str">
        <f>VLOOKUP(T513,'AMP models AxeFxIII'!$D$2:$H$299,2,FALSE)</f>
        <v>Not Used</v>
      </c>
      <c r="L513" s="45" t="str">
        <f>VLOOKUP(U513,'AMP models AxeFxIII'!$D$2:$H$299,2,FALSE)</f>
        <v>Not Used</v>
      </c>
      <c r="M513" s="45" t="str">
        <f>VLOOKUP(V513,'AMP models AxeFxIII'!$D$2:$H$299,2,FALSE)</f>
        <v>Not Used</v>
      </c>
      <c r="N513" s="45" t="str">
        <f>VLOOKUP(W513,'AMP models AxeFxIII'!$D$2:$H$299,2,FALSE)</f>
        <v>Not Used</v>
      </c>
      <c r="O513" s="45" t="str">
        <f>VLOOKUP(X513,'AMP models AxeFxIII'!$D$2:$H$299,2,FALSE)</f>
        <v>Not Used</v>
      </c>
      <c r="P513" s="45" t="str">
        <f>VLOOKUP(Y513,'AMP models AxeFxIII'!$D$2:$H$299,2,FALSE)</f>
        <v>Not Used</v>
      </c>
      <c r="Q513" s="45" t="str">
        <f>VLOOKUP(Z513,'AMP models AxeFxIII'!$D$2:$H$299,2,FALSE)</f>
        <v>Not Used</v>
      </c>
      <c r="R513" s="4">
        <v>509</v>
      </c>
      <c r="S513" s="46" t="s">
        <v>555</v>
      </c>
      <c r="T513" s="46" t="s">
        <v>555</v>
      </c>
      <c r="U513" s="46" t="s">
        <v>555</v>
      </c>
      <c r="V513" s="46" t="s">
        <v>555</v>
      </c>
      <c r="W513" s="46" t="s">
        <v>555</v>
      </c>
      <c r="X513" s="46" t="s">
        <v>555</v>
      </c>
      <c r="Y513" s="46" t="s">
        <v>555</v>
      </c>
      <c r="Z513" s="46" t="s">
        <v>555</v>
      </c>
    </row>
    <row r="514" spans="1:26">
      <c r="A514" s="41">
        <f>preset_Names!A514</f>
        <v>510</v>
      </c>
      <c r="B514" t="str">
        <f t="shared" si="24"/>
        <v xml:space="preserve">strcpy(AMP1_A,("Not Used")); strcpy(AMP1_B,("Not Used")); strcpy(AMP1_C,("Not Used")); strcpy(AMP1_D,("Not Used")); </v>
      </c>
      <c r="C514" t="str">
        <f t="shared" si="23"/>
        <v xml:space="preserve">strcpy(AMP2_A,("Not Used")); strcpy(AMP2_B,("Not Used")); strcpy(AMP2_C,("Not Used")); strcpy(AMP2_D,("Not Used")); </v>
      </c>
      <c r="D514" s="31" t="s">
        <v>893</v>
      </c>
      <c r="E514" s="42" t="str">
        <f t="shared" si="21"/>
        <v>case 510: strcpy(AMP1_A,("Not Used")); strcpy(AMP1_B,("Not Used")); strcpy(AMP1_C,("Not Used")); strcpy(AMP1_D,("Not Used")); strcpy(AMP2_A,("Not Used")); strcpy(AMP2_B,("Not Used")); strcpy(AMP2_C,("Not Used")); strcpy(AMP2_D,("Not Used"));  break;</v>
      </c>
      <c r="F514" t="s">
        <v>893</v>
      </c>
      <c r="I514" t="s">
        <v>893</v>
      </c>
      <c r="J514" s="45" t="str">
        <f>VLOOKUP(S514,'AMP models AxeFxIII'!$D$2:$H$299,2,FALSE)</f>
        <v>Not Used</v>
      </c>
      <c r="K514" s="45" t="str">
        <f>VLOOKUP(T514,'AMP models AxeFxIII'!$D$2:$H$299,2,FALSE)</f>
        <v>Not Used</v>
      </c>
      <c r="L514" s="45" t="str">
        <f>VLOOKUP(U514,'AMP models AxeFxIII'!$D$2:$H$299,2,FALSE)</f>
        <v>Not Used</v>
      </c>
      <c r="M514" s="45" t="str">
        <f>VLOOKUP(V514,'AMP models AxeFxIII'!$D$2:$H$299,2,FALSE)</f>
        <v>Not Used</v>
      </c>
      <c r="N514" s="45" t="str">
        <f>VLOOKUP(W514,'AMP models AxeFxIII'!$D$2:$H$299,2,FALSE)</f>
        <v>Not Used</v>
      </c>
      <c r="O514" s="45" t="str">
        <f>VLOOKUP(X514,'AMP models AxeFxIII'!$D$2:$H$299,2,FALSE)</f>
        <v>Not Used</v>
      </c>
      <c r="P514" s="45" t="str">
        <f>VLOOKUP(Y514,'AMP models AxeFxIII'!$D$2:$H$299,2,FALSE)</f>
        <v>Not Used</v>
      </c>
      <c r="Q514" s="45" t="str">
        <f>VLOOKUP(Z514,'AMP models AxeFxIII'!$D$2:$H$299,2,FALSE)</f>
        <v>Not Used</v>
      </c>
      <c r="R514" s="4">
        <v>510</v>
      </c>
      <c r="S514" s="46" t="s">
        <v>555</v>
      </c>
      <c r="T514" s="46" t="s">
        <v>555</v>
      </c>
      <c r="U514" s="46" t="s">
        <v>555</v>
      </c>
      <c r="V514" s="46" t="s">
        <v>555</v>
      </c>
      <c r="W514" s="46" t="s">
        <v>555</v>
      </c>
      <c r="X514" s="46" t="s">
        <v>555</v>
      </c>
      <c r="Y514" s="46" t="s">
        <v>555</v>
      </c>
      <c r="Z514" s="46" t="s">
        <v>555</v>
      </c>
    </row>
    <row r="515" spans="1:26">
      <c r="A515" s="41">
        <f>preset_Names!A515</f>
        <v>511</v>
      </c>
      <c r="B515" t="str">
        <f t="shared" si="24"/>
        <v xml:space="preserve">strcpy(AMP1_A,("Not Used")); strcpy(AMP1_B,("Not Used")); strcpy(AMP1_C,("Not Used")); strcpy(AMP1_D,("Not Used")); </v>
      </c>
      <c r="C515" t="str">
        <f t="shared" si="23"/>
        <v xml:space="preserve">strcpy(AMP2_A,("Not Used")); strcpy(AMP2_B,("Not Used")); strcpy(AMP2_C,("Not Used")); strcpy(AMP2_D,("Not Used")); </v>
      </c>
      <c r="D515" s="31" t="s">
        <v>893</v>
      </c>
      <c r="E515" s="42" t="str">
        <f t="shared" si="21"/>
        <v>case 511: strcpy(AMP1_A,("Not Used")); strcpy(AMP1_B,("Not Used")); strcpy(AMP1_C,("Not Used")); strcpy(AMP1_D,("Not Used")); strcpy(AMP2_A,("Not Used")); strcpy(AMP2_B,("Not Used")); strcpy(AMP2_C,("Not Used")); strcpy(AMP2_D,("Not Used"));  break;</v>
      </c>
      <c r="F515" t="s">
        <v>893</v>
      </c>
      <c r="I515" t="s">
        <v>893</v>
      </c>
      <c r="J515" s="45" t="str">
        <f>VLOOKUP(S515,'AMP models AxeFxIII'!$D$2:$H$299,2,FALSE)</f>
        <v>Not Used</v>
      </c>
      <c r="K515" s="45" t="str">
        <f>VLOOKUP(T515,'AMP models AxeFxIII'!$D$2:$H$299,2,FALSE)</f>
        <v>Not Used</v>
      </c>
      <c r="L515" s="45" t="str">
        <f>VLOOKUP(U515,'AMP models AxeFxIII'!$D$2:$H$299,2,FALSE)</f>
        <v>Not Used</v>
      </c>
      <c r="M515" s="45" t="str">
        <f>VLOOKUP(V515,'AMP models AxeFxIII'!$D$2:$H$299,2,FALSE)</f>
        <v>Not Used</v>
      </c>
      <c r="N515" s="45" t="str">
        <f>VLOOKUP(W515,'AMP models AxeFxIII'!$D$2:$H$299,2,FALSE)</f>
        <v>Not Used</v>
      </c>
      <c r="O515" s="45" t="str">
        <f>VLOOKUP(X515,'AMP models AxeFxIII'!$D$2:$H$299,2,FALSE)</f>
        <v>Not Used</v>
      </c>
      <c r="P515" s="45" t="str">
        <f>VLOOKUP(Y515,'AMP models AxeFxIII'!$D$2:$H$299,2,FALSE)</f>
        <v>Not Used</v>
      </c>
      <c r="Q515" s="45" t="str">
        <f>VLOOKUP(Z515,'AMP models AxeFxIII'!$D$2:$H$299,2,FALSE)</f>
        <v>Not Used</v>
      </c>
      <c r="R515" s="4">
        <v>511</v>
      </c>
      <c r="S515" s="46" t="s">
        <v>555</v>
      </c>
      <c r="T515" s="46" t="s">
        <v>555</v>
      </c>
      <c r="U515" s="46" t="s">
        <v>555</v>
      </c>
      <c r="V515" s="46" t="s">
        <v>555</v>
      </c>
      <c r="W515" s="46" t="s">
        <v>555</v>
      </c>
      <c r="X515" s="46" t="s">
        <v>555</v>
      </c>
      <c r="Y515" s="46" t="s">
        <v>555</v>
      </c>
      <c r="Z515" s="46" t="s">
        <v>555</v>
      </c>
    </row>
    <row r="516" spans="1:26">
      <c r="E516" s="68" t="s">
        <v>105</v>
      </c>
    </row>
    <row r="517" spans="1:26">
      <c r="E517" s="68" t="s">
        <v>105</v>
      </c>
    </row>
  </sheetData>
  <mergeCells count="6">
    <mergeCell ref="W2:Z2"/>
    <mergeCell ref="J1:M1"/>
    <mergeCell ref="N1:Q1"/>
    <mergeCell ref="J2:M2"/>
    <mergeCell ref="N2:Q2"/>
    <mergeCell ref="S2:V2"/>
  </mergeCells>
  <conditionalFormatting sqref="J1:Q1048576">
    <cfRule type="cellIs" dxfId="25" priority="1" operator="equal">
      <formula>"&lt; EMPTY | NO AMP &gt;"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boBox1">
          <controlPr defaultSize="0" autoLine="0" autoPict="0" r:id="rId5">
            <anchor moveWithCells="1" sizeWithCells="1">
              <from>
                <xdr:col>27</xdr:col>
                <xdr:colOff>9525</xdr:colOff>
                <xdr:row>3</xdr:row>
                <xdr:rowOff>38100</xdr:rowOff>
              </from>
              <to>
                <xdr:col>31</xdr:col>
                <xdr:colOff>590550</xdr:colOff>
                <xdr:row>7</xdr:row>
                <xdr:rowOff>47625</xdr:rowOff>
              </to>
            </anchor>
          </controlPr>
        </control>
      </mc:Choice>
      <mc:Fallback>
        <control shapeId="3078" r:id="rId4" name="ComboBox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E5BC-96EE-4C56-BC71-421BDD9CE1C4}">
  <sheetPr codeName="Blad3"/>
  <dimension ref="A1:Y299"/>
  <sheetViews>
    <sheetView topLeftCell="A210" zoomScale="85" zoomScaleNormal="85" workbookViewId="0">
      <selection activeCell="E282" sqref="E282"/>
    </sheetView>
  </sheetViews>
  <sheetFormatPr defaultRowHeight="18.75"/>
  <cols>
    <col min="1" max="1" width="7.5703125" style="1" bestFit="1" customWidth="1"/>
    <col min="2" max="2" width="74.42578125" bestFit="1" customWidth="1"/>
    <col min="3" max="3" width="2.85546875" customWidth="1"/>
    <col min="4" max="4" width="8.28515625" style="41" customWidth="1"/>
    <col min="5" max="5" width="69" style="34" customWidth="1"/>
    <col min="6" max="6" width="11.85546875" customWidth="1"/>
    <col min="7" max="7" width="9.85546875" style="1" customWidth="1"/>
    <col min="8" max="8" width="63.5703125" bestFit="1" customWidth="1"/>
    <col min="9" max="9" width="58.140625" bestFit="1" customWidth="1"/>
    <col min="10" max="10" width="38.5703125" customWidth="1"/>
    <col min="20" max="20" width="28.42578125" style="17" customWidth="1"/>
    <col min="21" max="25" width="9.140625" style="16"/>
  </cols>
  <sheetData>
    <row r="1" spans="1:25">
      <c r="A1" s="5" t="s">
        <v>908</v>
      </c>
      <c r="B1" s="4" t="s">
        <v>909</v>
      </c>
      <c r="D1" s="57" t="s">
        <v>908</v>
      </c>
      <c r="E1" s="54" t="s">
        <v>909</v>
      </c>
      <c r="F1" s="49" t="s">
        <v>908</v>
      </c>
      <c r="G1"/>
      <c r="S1" s="17"/>
      <c r="T1" s="16"/>
      <c r="Y1"/>
    </row>
    <row r="2" spans="1:25">
      <c r="A2" s="1" t="s">
        <v>555</v>
      </c>
      <c r="B2" t="s">
        <v>1313</v>
      </c>
      <c r="C2" s="61" t="s">
        <v>985</v>
      </c>
      <c r="D2" s="58" t="s">
        <v>555</v>
      </c>
      <c r="E2" s="69" t="s">
        <v>1314</v>
      </c>
      <c r="F2" s="50" t="s">
        <v>555</v>
      </c>
      <c r="G2"/>
      <c r="H2" s="53"/>
      <c r="S2" s="17"/>
      <c r="T2" s="16"/>
      <c r="Y2"/>
    </row>
    <row r="3" spans="1:25">
      <c r="A3" s="1">
        <v>1</v>
      </c>
      <c r="B3" t="s">
        <v>107</v>
      </c>
      <c r="C3" s="61" t="s">
        <v>986</v>
      </c>
      <c r="D3" s="59">
        <v>1</v>
      </c>
      <c r="E3" s="55" t="s">
        <v>916</v>
      </c>
      <c r="F3" s="51">
        <v>1</v>
      </c>
      <c r="G3"/>
      <c r="H3" s="53"/>
      <c r="S3" s="17"/>
      <c r="T3" s="16"/>
      <c r="Y3"/>
    </row>
    <row r="4" spans="1:25">
      <c r="A4" s="1">
        <v>2</v>
      </c>
      <c r="B4" t="s">
        <v>108</v>
      </c>
      <c r="C4" s="61" t="s">
        <v>987</v>
      </c>
      <c r="D4" s="58">
        <v>2</v>
      </c>
      <c r="E4" s="56" t="s">
        <v>108</v>
      </c>
      <c r="F4" s="50">
        <v>2</v>
      </c>
      <c r="G4"/>
      <c r="H4" s="53"/>
      <c r="S4" s="17"/>
      <c r="T4" s="16"/>
      <c r="Y4"/>
    </row>
    <row r="5" spans="1:25">
      <c r="A5" s="1">
        <v>3</v>
      </c>
      <c r="B5" t="s">
        <v>109</v>
      </c>
      <c r="C5" s="61" t="s">
        <v>988</v>
      </c>
      <c r="D5" s="59">
        <v>3</v>
      </c>
      <c r="E5" s="55" t="s">
        <v>109</v>
      </c>
      <c r="F5" s="51">
        <v>3</v>
      </c>
      <c r="G5"/>
      <c r="H5" s="53"/>
      <c r="S5" s="23"/>
      <c r="T5" s="16"/>
      <c r="Y5"/>
    </row>
    <row r="6" spans="1:25">
      <c r="A6" s="1">
        <v>4</v>
      </c>
      <c r="B6" t="s">
        <v>110</v>
      </c>
      <c r="C6" s="61" t="s">
        <v>989</v>
      </c>
      <c r="D6" s="58">
        <v>4</v>
      </c>
      <c r="E6" s="56" t="s">
        <v>917</v>
      </c>
      <c r="F6" s="50">
        <v>4</v>
      </c>
      <c r="G6"/>
      <c r="H6" s="53"/>
      <c r="S6" s="17"/>
      <c r="T6" s="16"/>
      <c r="Y6"/>
    </row>
    <row r="7" spans="1:25">
      <c r="A7" s="1">
        <v>5</v>
      </c>
      <c r="B7" t="s">
        <v>111</v>
      </c>
      <c r="C7" s="61" t="s">
        <v>990</v>
      </c>
      <c r="D7" s="59">
        <v>5</v>
      </c>
      <c r="E7" s="55" t="s">
        <v>111</v>
      </c>
      <c r="F7" s="51">
        <v>5</v>
      </c>
      <c r="G7"/>
      <c r="H7" s="53"/>
      <c r="S7" s="17"/>
      <c r="T7" s="16"/>
      <c r="Y7"/>
    </row>
    <row r="8" spans="1:25">
      <c r="A8" s="1">
        <v>6</v>
      </c>
      <c r="B8" t="s">
        <v>112</v>
      </c>
      <c r="C8" s="61" t="s">
        <v>991</v>
      </c>
      <c r="D8" s="58">
        <v>6</v>
      </c>
      <c r="E8" s="56" t="s">
        <v>112</v>
      </c>
      <c r="F8" s="50">
        <v>6</v>
      </c>
      <c r="G8"/>
      <c r="H8" s="53"/>
      <c r="S8" s="17"/>
      <c r="T8" s="16"/>
      <c r="Y8"/>
    </row>
    <row r="9" spans="1:25">
      <c r="A9" s="1">
        <v>7</v>
      </c>
      <c r="B9" t="s">
        <v>113</v>
      </c>
      <c r="C9" s="61" t="s">
        <v>992</v>
      </c>
      <c r="D9" s="59">
        <v>7</v>
      </c>
      <c r="E9" s="55" t="s">
        <v>918</v>
      </c>
      <c r="F9" s="51">
        <v>7</v>
      </c>
      <c r="G9"/>
      <c r="H9" s="53"/>
      <c r="S9" s="17"/>
      <c r="T9" s="16"/>
      <c r="Y9"/>
    </row>
    <row r="10" spans="1:25">
      <c r="A10" s="1">
        <v>8</v>
      </c>
      <c r="B10" t="s">
        <v>114</v>
      </c>
      <c r="C10" s="61" t="s">
        <v>993</v>
      </c>
      <c r="D10" s="58">
        <v>8</v>
      </c>
      <c r="E10" s="56" t="s">
        <v>114</v>
      </c>
      <c r="F10" s="50">
        <v>8</v>
      </c>
      <c r="G10"/>
      <c r="H10" s="53"/>
      <c r="S10" s="17"/>
      <c r="T10" s="16"/>
      <c r="Y10"/>
    </row>
    <row r="11" spans="1:25">
      <c r="A11" s="1">
        <v>9</v>
      </c>
      <c r="B11" t="s">
        <v>115</v>
      </c>
      <c r="C11" s="61" t="s">
        <v>994</v>
      </c>
      <c r="D11" s="59">
        <v>9</v>
      </c>
      <c r="E11" s="55" t="s">
        <v>115</v>
      </c>
      <c r="F11" s="51">
        <v>9</v>
      </c>
      <c r="G11"/>
      <c r="H11" s="53"/>
      <c r="S11" s="17"/>
      <c r="T11" s="16"/>
      <c r="Y11"/>
    </row>
    <row r="12" spans="1:25">
      <c r="A12" s="1">
        <v>10</v>
      </c>
      <c r="B12" t="s">
        <v>116</v>
      </c>
      <c r="C12" s="61" t="s">
        <v>995</v>
      </c>
      <c r="D12" s="58">
        <v>10</v>
      </c>
      <c r="E12" s="56" t="s">
        <v>116</v>
      </c>
      <c r="F12" s="50">
        <v>10</v>
      </c>
      <c r="G12"/>
      <c r="H12" s="53"/>
      <c r="S12" s="17"/>
      <c r="T12" s="20"/>
      <c r="Y12"/>
    </row>
    <row r="13" spans="1:25">
      <c r="A13" s="1">
        <v>11</v>
      </c>
      <c r="B13" t="s">
        <v>898</v>
      </c>
      <c r="C13" s="61" t="s">
        <v>996</v>
      </c>
      <c r="D13" s="59">
        <v>11</v>
      </c>
      <c r="E13" s="55" t="s">
        <v>1328</v>
      </c>
      <c r="F13" s="51">
        <v>11</v>
      </c>
      <c r="G13"/>
      <c r="H13" s="53"/>
      <c r="S13" s="17"/>
      <c r="T13" s="20"/>
      <c r="Y13"/>
    </row>
    <row r="14" spans="1:25">
      <c r="A14" s="1">
        <v>12</v>
      </c>
      <c r="B14" t="s">
        <v>117</v>
      </c>
      <c r="C14" s="61" t="s">
        <v>997</v>
      </c>
      <c r="D14" s="58">
        <v>12</v>
      </c>
      <c r="E14" s="56" t="s">
        <v>117</v>
      </c>
      <c r="F14" s="50">
        <v>12</v>
      </c>
      <c r="G14"/>
      <c r="H14" s="53"/>
      <c r="S14" s="17"/>
      <c r="T14" s="20"/>
      <c r="Y14"/>
    </row>
    <row r="15" spans="1:25">
      <c r="A15" s="1">
        <v>13</v>
      </c>
      <c r="B15" t="s">
        <v>899</v>
      </c>
      <c r="C15" s="61" t="s">
        <v>998</v>
      </c>
      <c r="D15" s="59">
        <v>13</v>
      </c>
      <c r="E15" s="55" t="s">
        <v>899</v>
      </c>
      <c r="F15" s="51">
        <v>13</v>
      </c>
      <c r="G15"/>
      <c r="H15" s="53"/>
      <c r="S15" s="17"/>
      <c r="T15" s="20"/>
      <c r="Y15"/>
    </row>
    <row r="16" spans="1:25">
      <c r="A16" s="1">
        <v>14</v>
      </c>
      <c r="B16" t="s">
        <v>118</v>
      </c>
      <c r="C16" s="61" t="s">
        <v>999</v>
      </c>
      <c r="D16" s="58">
        <v>14</v>
      </c>
      <c r="E16" s="56" t="s">
        <v>1329</v>
      </c>
      <c r="F16" s="50">
        <v>14</v>
      </c>
      <c r="G16"/>
      <c r="H16" s="53"/>
      <c r="S16" s="17"/>
      <c r="T16" s="20"/>
      <c r="Y16"/>
    </row>
    <row r="17" spans="1:25">
      <c r="A17" s="1">
        <v>15</v>
      </c>
      <c r="B17" t="s">
        <v>119</v>
      </c>
      <c r="C17" s="61" t="s">
        <v>1000</v>
      </c>
      <c r="D17" s="59">
        <v>15</v>
      </c>
      <c r="E17" s="55" t="s">
        <v>919</v>
      </c>
      <c r="F17" s="51">
        <v>15</v>
      </c>
      <c r="G17"/>
      <c r="H17" s="53"/>
      <c r="S17" s="17"/>
      <c r="T17" s="20"/>
      <c r="Y17"/>
    </row>
    <row r="18" spans="1:25">
      <c r="A18" s="1">
        <v>16</v>
      </c>
      <c r="B18" t="s">
        <v>910</v>
      </c>
      <c r="C18" s="61" t="s">
        <v>1001</v>
      </c>
      <c r="D18" s="58">
        <v>16</v>
      </c>
      <c r="E18" s="56" t="s">
        <v>915</v>
      </c>
      <c r="F18" s="50">
        <v>16</v>
      </c>
      <c r="G18"/>
      <c r="H18" s="53"/>
      <c r="S18" s="17"/>
      <c r="T18" s="16"/>
      <c r="Y18"/>
    </row>
    <row r="19" spans="1:25">
      <c r="A19" s="1">
        <v>17</v>
      </c>
      <c r="B19" t="s">
        <v>900</v>
      </c>
      <c r="C19" s="61" t="s">
        <v>1002</v>
      </c>
      <c r="D19" s="59">
        <v>17</v>
      </c>
      <c r="E19" s="55" t="s">
        <v>900</v>
      </c>
      <c r="F19" s="51">
        <v>17</v>
      </c>
      <c r="G19"/>
      <c r="H19" s="53"/>
      <c r="S19" s="17"/>
      <c r="T19" s="16"/>
      <c r="Y19"/>
    </row>
    <row r="20" spans="1:25">
      <c r="A20" s="1">
        <v>18</v>
      </c>
      <c r="B20" t="s">
        <v>901</v>
      </c>
      <c r="C20" s="61" t="s">
        <v>1003</v>
      </c>
      <c r="D20" s="58">
        <v>18</v>
      </c>
      <c r="E20" s="56" t="s">
        <v>901</v>
      </c>
      <c r="F20" s="50">
        <v>18</v>
      </c>
      <c r="G20"/>
      <c r="H20" s="53"/>
      <c r="S20" s="17"/>
      <c r="T20" s="16"/>
      <c r="Y20"/>
    </row>
    <row r="21" spans="1:25">
      <c r="A21" s="1">
        <v>19</v>
      </c>
      <c r="B21" t="s">
        <v>911</v>
      </c>
      <c r="C21" s="61" t="s">
        <v>1004</v>
      </c>
      <c r="D21" s="59">
        <v>19</v>
      </c>
      <c r="E21" s="55" t="s">
        <v>920</v>
      </c>
      <c r="F21" s="51">
        <v>19</v>
      </c>
      <c r="G21"/>
      <c r="H21" s="53"/>
      <c r="S21" s="17"/>
      <c r="T21" s="16"/>
      <c r="Y21"/>
    </row>
    <row r="22" spans="1:25">
      <c r="A22" s="1">
        <v>20</v>
      </c>
      <c r="B22" t="s">
        <v>120</v>
      </c>
      <c r="C22" s="61" t="s">
        <v>1005</v>
      </c>
      <c r="D22" s="58">
        <v>20</v>
      </c>
      <c r="E22" s="56" t="s">
        <v>120</v>
      </c>
      <c r="F22" s="50">
        <v>20</v>
      </c>
      <c r="G22"/>
      <c r="H22" s="53"/>
      <c r="S22" s="17"/>
      <c r="T22" s="16"/>
      <c r="Y22"/>
    </row>
    <row r="23" spans="1:25">
      <c r="A23" s="1">
        <v>21</v>
      </c>
      <c r="B23" t="s">
        <v>121</v>
      </c>
      <c r="C23" s="61" t="s">
        <v>1006</v>
      </c>
      <c r="D23" s="59">
        <v>21</v>
      </c>
      <c r="E23" s="55" t="s">
        <v>921</v>
      </c>
      <c r="F23" s="51">
        <v>21</v>
      </c>
      <c r="G23"/>
      <c r="H23" s="53"/>
      <c r="S23" s="17"/>
      <c r="T23" s="16"/>
      <c r="Y23"/>
    </row>
    <row r="24" spans="1:25">
      <c r="A24" s="1">
        <v>22</v>
      </c>
      <c r="B24" t="s">
        <v>122</v>
      </c>
      <c r="C24" s="61" t="s">
        <v>1007</v>
      </c>
      <c r="D24" s="58">
        <v>22</v>
      </c>
      <c r="E24" s="56" t="s">
        <v>922</v>
      </c>
      <c r="F24" s="50">
        <v>22</v>
      </c>
      <c r="G24"/>
      <c r="H24" s="53"/>
      <c r="S24" s="17"/>
      <c r="T24" s="16"/>
      <c r="Y24"/>
    </row>
    <row r="25" spans="1:25">
      <c r="A25" s="1">
        <v>23</v>
      </c>
      <c r="B25" t="s">
        <v>123</v>
      </c>
      <c r="C25" s="61" t="s">
        <v>1008</v>
      </c>
      <c r="D25" s="59">
        <v>23</v>
      </c>
      <c r="E25" s="55" t="s">
        <v>923</v>
      </c>
      <c r="F25" s="51">
        <v>23</v>
      </c>
      <c r="G25"/>
      <c r="H25" s="53"/>
      <c r="S25" s="17"/>
      <c r="T25" s="16"/>
      <c r="Y25"/>
    </row>
    <row r="26" spans="1:25">
      <c r="A26" s="1">
        <v>24</v>
      </c>
      <c r="B26" t="s">
        <v>124</v>
      </c>
      <c r="C26" s="61" t="s">
        <v>1009</v>
      </c>
      <c r="D26" s="58">
        <v>24</v>
      </c>
      <c r="E26" s="56" t="s">
        <v>124</v>
      </c>
      <c r="F26" s="50">
        <v>24</v>
      </c>
      <c r="G26"/>
      <c r="H26" s="53"/>
      <c r="S26" s="17"/>
      <c r="T26" s="16"/>
      <c r="Y26"/>
    </row>
    <row r="27" spans="1:25">
      <c r="A27" s="1">
        <v>25</v>
      </c>
      <c r="B27" t="s">
        <v>125</v>
      </c>
      <c r="C27" s="61" t="s">
        <v>1010</v>
      </c>
      <c r="D27" s="59">
        <v>25</v>
      </c>
      <c r="E27" s="55" t="s">
        <v>125</v>
      </c>
      <c r="F27" s="51">
        <v>25</v>
      </c>
      <c r="G27"/>
      <c r="H27" s="53"/>
      <c r="S27" s="17"/>
      <c r="T27" s="16"/>
      <c r="Y27"/>
    </row>
    <row r="28" spans="1:25">
      <c r="A28" s="1">
        <v>26</v>
      </c>
      <c r="B28" t="s">
        <v>126</v>
      </c>
      <c r="C28" s="61" t="s">
        <v>1011</v>
      </c>
      <c r="D28" s="58">
        <v>26</v>
      </c>
      <c r="E28" s="56" t="s">
        <v>126</v>
      </c>
      <c r="F28" s="50">
        <v>26</v>
      </c>
      <c r="G28"/>
      <c r="H28" s="53"/>
      <c r="S28" s="17"/>
      <c r="T28" s="16"/>
      <c r="Y28"/>
    </row>
    <row r="29" spans="1:25">
      <c r="A29" s="1">
        <v>27</v>
      </c>
      <c r="B29" t="s">
        <v>127</v>
      </c>
      <c r="C29" s="61" t="s">
        <v>1012</v>
      </c>
      <c r="D29" s="59">
        <v>27</v>
      </c>
      <c r="E29" s="55" t="s">
        <v>924</v>
      </c>
      <c r="F29" s="51">
        <v>27</v>
      </c>
      <c r="G29"/>
      <c r="H29" s="53"/>
      <c r="S29" s="17"/>
      <c r="T29" s="16"/>
      <c r="Y29"/>
    </row>
    <row r="30" spans="1:25">
      <c r="A30" s="1">
        <v>28</v>
      </c>
      <c r="B30" t="s">
        <v>128</v>
      </c>
      <c r="C30" s="61" t="s">
        <v>1013</v>
      </c>
      <c r="D30" s="58">
        <v>28</v>
      </c>
      <c r="E30" s="56" t="s">
        <v>128</v>
      </c>
      <c r="F30" s="50">
        <v>28</v>
      </c>
      <c r="G30"/>
      <c r="H30" s="53"/>
      <c r="S30" s="17"/>
      <c r="T30" s="16"/>
      <c r="Y30"/>
    </row>
    <row r="31" spans="1:25">
      <c r="A31" s="1">
        <v>29</v>
      </c>
      <c r="B31" t="s">
        <v>129</v>
      </c>
      <c r="C31" s="61" t="s">
        <v>1014</v>
      </c>
      <c r="D31" s="59">
        <v>29</v>
      </c>
      <c r="E31" s="55" t="s">
        <v>925</v>
      </c>
      <c r="F31" s="51">
        <v>29</v>
      </c>
      <c r="G31"/>
      <c r="H31" s="53"/>
      <c r="S31" s="17"/>
      <c r="T31" s="16"/>
      <c r="Y31"/>
    </row>
    <row r="32" spans="1:25">
      <c r="A32" s="1">
        <v>30</v>
      </c>
      <c r="B32" t="s">
        <v>130</v>
      </c>
      <c r="C32" s="61" t="s">
        <v>1015</v>
      </c>
      <c r="D32" s="58">
        <v>30</v>
      </c>
      <c r="E32" s="56" t="s">
        <v>130</v>
      </c>
      <c r="F32" s="50">
        <v>30</v>
      </c>
      <c r="G32"/>
      <c r="H32" s="53"/>
      <c r="S32" s="17"/>
      <c r="T32" s="16"/>
      <c r="Y32"/>
    </row>
    <row r="33" spans="1:25">
      <c r="A33" s="1">
        <v>31</v>
      </c>
      <c r="B33" t="s">
        <v>131</v>
      </c>
      <c r="C33" s="61" t="s">
        <v>1016</v>
      </c>
      <c r="D33" s="59">
        <v>31</v>
      </c>
      <c r="E33" s="55" t="s">
        <v>131</v>
      </c>
      <c r="F33" s="51">
        <v>31</v>
      </c>
      <c r="G33"/>
      <c r="H33" s="53"/>
      <c r="S33" s="17"/>
      <c r="T33" s="16"/>
      <c r="Y33"/>
    </row>
    <row r="34" spans="1:25">
      <c r="A34" s="1">
        <v>32</v>
      </c>
      <c r="B34" t="s">
        <v>132</v>
      </c>
      <c r="C34" s="61" t="s">
        <v>1017</v>
      </c>
      <c r="D34" s="58">
        <v>32</v>
      </c>
      <c r="E34" s="56" t="s">
        <v>926</v>
      </c>
      <c r="F34" s="50">
        <v>32</v>
      </c>
      <c r="G34"/>
      <c r="H34" s="53"/>
      <c r="S34" s="17"/>
      <c r="T34" s="16"/>
      <c r="Y34"/>
    </row>
    <row r="35" spans="1:25">
      <c r="A35" s="1">
        <v>33</v>
      </c>
      <c r="B35" t="s">
        <v>133</v>
      </c>
      <c r="C35" s="61" t="s">
        <v>1018</v>
      </c>
      <c r="D35" s="59">
        <v>33</v>
      </c>
      <c r="E35" s="55" t="s">
        <v>133</v>
      </c>
      <c r="F35" s="51">
        <v>33</v>
      </c>
      <c r="G35"/>
      <c r="H35" s="53"/>
      <c r="S35" s="17"/>
      <c r="T35" s="16"/>
      <c r="Y35"/>
    </row>
    <row r="36" spans="1:25">
      <c r="A36" s="1">
        <v>34</v>
      </c>
      <c r="B36" t="s">
        <v>134</v>
      </c>
      <c r="C36" s="61" t="s">
        <v>1019</v>
      </c>
      <c r="D36" s="58">
        <v>34</v>
      </c>
      <c r="E36" s="56" t="s">
        <v>927</v>
      </c>
      <c r="F36" s="50">
        <v>34</v>
      </c>
      <c r="G36"/>
      <c r="H36" s="53"/>
      <c r="S36" s="17"/>
      <c r="T36" s="16"/>
      <c r="Y36"/>
    </row>
    <row r="37" spans="1:25">
      <c r="A37" s="1">
        <v>35</v>
      </c>
      <c r="B37" t="s">
        <v>135</v>
      </c>
      <c r="C37" s="61" t="s">
        <v>1020</v>
      </c>
      <c r="D37" s="59">
        <v>35</v>
      </c>
      <c r="E37" s="55" t="s">
        <v>928</v>
      </c>
      <c r="F37" s="51">
        <v>35</v>
      </c>
      <c r="G37"/>
      <c r="H37" s="53"/>
      <c r="S37" s="17"/>
      <c r="T37" s="16"/>
      <c r="Y37"/>
    </row>
    <row r="38" spans="1:25">
      <c r="A38" s="1">
        <v>36</v>
      </c>
      <c r="B38" t="s">
        <v>912</v>
      </c>
      <c r="C38" s="61" t="s">
        <v>1021</v>
      </c>
      <c r="D38" s="58">
        <v>36</v>
      </c>
      <c r="E38" s="56" t="s">
        <v>1311</v>
      </c>
      <c r="F38" s="50">
        <v>36</v>
      </c>
      <c r="G38"/>
      <c r="H38" s="53"/>
      <c r="S38" s="17"/>
      <c r="T38" s="16"/>
      <c r="Y38"/>
    </row>
    <row r="39" spans="1:25">
      <c r="A39" s="1">
        <v>37</v>
      </c>
      <c r="B39" t="s">
        <v>136</v>
      </c>
      <c r="C39" s="61" t="s">
        <v>1022</v>
      </c>
      <c r="D39" s="59">
        <v>37</v>
      </c>
      <c r="E39" s="55" t="s">
        <v>929</v>
      </c>
      <c r="F39" s="51">
        <v>37</v>
      </c>
      <c r="G39"/>
      <c r="H39" s="53"/>
      <c r="S39" s="17"/>
      <c r="T39" s="16"/>
      <c r="Y39"/>
    </row>
    <row r="40" spans="1:25">
      <c r="A40" s="1">
        <v>38</v>
      </c>
      <c r="B40" t="s">
        <v>137</v>
      </c>
      <c r="C40" s="61" t="s">
        <v>1023</v>
      </c>
      <c r="D40" s="58">
        <v>38</v>
      </c>
      <c r="E40" s="56" t="s">
        <v>137</v>
      </c>
      <c r="F40" s="50">
        <v>38</v>
      </c>
      <c r="G40"/>
      <c r="H40" s="53"/>
      <c r="S40" s="17"/>
      <c r="T40" s="16"/>
      <c r="Y40"/>
    </row>
    <row r="41" spans="1:25">
      <c r="A41" s="1">
        <v>39</v>
      </c>
      <c r="B41" t="s">
        <v>138</v>
      </c>
      <c r="C41" s="61" t="s">
        <v>1024</v>
      </c>
      <c r="D41" s="59">
        <v>39</v>
      </c>
      <c r="E41" s="55" t="s">
        <v>138</v>
      </c>
      <c r="F41" s="51">
        <v>39</v>
      </c>
      <c r="G41"/>
      <c r="H41" s="53"/>
      <c r="S41" s="17"/>
      <c r="T41" s="16"/>
      <c r="Y41"/>
    </row>
    <row r="42" spans="1:25">
      <c r="A42" s="1">
        <v>40</v>
      </c>
      <c r="B42" t="s">
        <v>139</v>
      </c>
      <c r="C42" s="61" t="s">
        <v>1025</v>
      </c>
      <c r="D42" s="58">
        <v>40</v>
      </c>
      <c r="E42" s="56" t="s">
        <v>930</v>
      </c>
      <c r="F42" s="50">
        <v>40</v>
      </c>
      <c r="G42"/>
      <c r="H42" s="53"/>
      <c r="S42" s="17"/>
      <c r="T42" s="16"/>
      <c r="Y42"/>
    </row>
    <row r="43" spans="1:25">
      <c r="A43" s="1">
        <v>41</v>
      </c>
      <c r="B43" t="s">
        <v>140</v>
      </c>
      <c r="C43" s="61" t="s">
        <v>1026</v>
      </c>
      <c r="D43" s="59">
        <v>41</v>
      </c>
      <c r="E43" s="55" t="s">
        <v>140</v>
      </c>
      <c r="F43" s="51">
        <v>41</v>
      </c>
      <c r="G43"/>
      <c r="H43" s="53"/>
      <c r="S43" s="17"/>
      <c r="T43" s="16"/>
      <c r="Y43"/>
    </row>
    <row r="44" spans="1:25">
      <c r="A44" s="1">
        <v>42</v>
      </c>
      <c r="B44" t="s">
        <v>141</v>
      </c>
      <c r="C44" s="61" t="s">
        <v>1027</v>
      </c>
      <c r="D44" s="58">
        <v>42</v>
      </c>
      <c r="E44" s="56" t="s">
        <v>1330</v>
      </c>
      <c r="F44" s="50">
        <v>42</v>
      </c>
      <c r="G44"/>
      <c r="H44" s="53"/>
      <c r="S44" s="17"/>
      <c r="T44" s="16"/>
      <c r="Y44"/>
    </row>
    <row r="45" spans="1:25">
      <c r="A45" s="1">
        <v>43</v>
      </c>
      <c r="B45" t="s">
        <v>142</v>
      </c>
      <c r="C45" s="61" t="s">
        <v>1028</v>
      </c>
      <c r="D45" s="59">
        <v>43</v>
      </c>
      <c r="E45" s="55" t="s">
        <v>1331</v>
      </c>
      <c r="F45" s="51">
        <v>43</v>
      </c>
      <c r="G45"/>
      <c r="H45" s="53"/>
      <c r="S45" s="17"/>
      <c r="T45" s="16"/>
      <c r="Y45"/>
    </row>
    <row r="46" spans="1:25">
      <c r="A46" s="1">
        <v>44</v>
      </c>
      <c r="B46" t="s">
        <v>143</v>
      </c>
      <c r="C46" s="61" t="s">
        <v>1029</v>
      </c>
      <c r="D46" s="58">
        <v>44</v>
      </c>
      <c r="E46" s="56" t="s">
        <v>1332</v>
      </c>
      <c r="F46" s="50">
        <v>44</v>
      </c>
      <c r="G46"/>
      <c r="H46" s="53"/>
      <c r="S46" s="17"/>
      <c r="T46" s="16"/>
      <c r="Y46"/>
    </row>
    <row r="47" spans="1:25">
      <c r="A47" s="1">
        <v>45</v>
      </c>
      <c r="B47" t="s">
        <v>144</v>
      </c>
      <c r="C47" s="61" t="s">
        <v>1030</v>
      </c>
      <c r="D47" s="59">
        <v>45</v>
      </c>
      <c r="E47" s="55" t="s">
        <v>1333</v>
      </c>
      <c r="F47" s="51">
        <v>45</v>
      </c>
      <c r="G47"/>
      <c r="H47" s="53"/>
      <c r="S47" s="17"/>
      <c r="T47" s="16"/>
      <c r="Y47"/>
    </row>
    <row r="48" spans="1:25">
      <c r="A48" s="1">
        <v>46</v>
      </c>
      <c r="B48" t="s">
        <v>145</v>
      </c>
      <c r="C48" s="61" t="s">
        <v>1031</v>
      </c>
      <c r="D48" s="58">
        <v>46</v>
      </c>
      <c r="E48" s="56" t="s">
        <v>145</v>
      </c>
      <c r="F48" s="50">
        <v>46</v>
      </c>
      <c r="G48"/>
      <c r="H48" s="53"/>
      <c r="S48" s="17"/>
      <c r="T48" s="16"/>
      <c r="Y48"/>
    </row>
    <row r="49" spans="1:25">
      <c r="A49" s="1">
        <v>47</v>
      </c>
      <c r="B49" t="s">
        <v>146</v>
      </c>
      <c r="C49" s="61" t="s">
        <v>1032</v>
      </c>
      <c r="D49" s="59">
        <v>47</v>
      </c>
      <c r="E49" s="55" t="s">
        <v>1334</v>
      </c>
      <c r="F49" s="51">
        <v>47</v>
      </c>
      <c r="G49"/>
      <c r="H49" s="53"/>
      <c r="S49" s="17"/>
      <c r="T49" s="16"/>
      <c r="Y49"/>
    </row>
    <row r="50" spans="1:25">
      <c r="A50" s="1">
        <v>48</v>
      </c>
      <c r="B50" t="s">
        <v>147</v>
      </c>
      <c r="C50" s="61" t="s">
        <v>1033</v>
      </c>
      <c r="D50" s="58">
        <v>48</v>
      </c>
      <c r="E50" s="56" t="s">
        <v>931</v>
      </c>
      <c r="F50" s="50">
        <v>48</v>
      </c>
      <c r="G50"/>
      <c r="H50" s="53"/>
      <c r="S50" s="17"/>
      <c r="T50" s="16"/>
      <c r="Y50"/>
    </row>
    <row r="51" spans="1:25">
      <c r="A51" s="1">
        <v>49</v>
      </c>
      <c r="B51" t="s">
        <v>148</v>
      </c>
      <c r="C51" s="61" t="s">
        <v>1034</v>
      </c>
      <c r="D51" s="59">
        <v>49</v>
      </c>
      <c r="E51" s="55" t="s">
        <v>148</v>
      </c>
      <c r="F51" s="51">
        <v>49</v>
      </c>
      <c r="G51"/>
      <c r="H51" s="53"/>
      <c r="S51" s="17"/>
      <c r="T51" s="16"/>
      <c r="Y51"/>
    </row>
    <row r="52" spans="1:25">
      <c r="A52" s="1">
        <v>50</v>
      </c>
      <c r="B52" t="s">
        <v>149</v>
      </c>
      <c r="C52" s="61" t="s">
        <v>1035</v>
      </c>
      <c r="D52" s="58">
        <v>50</v>
      </c>
      <c r="E52" s="56" t="s">
        <v>932</v>
      </c>
      <c r="F52" s="50">
        <v>50</v>
      </c>
      <c r="G52"/>
      <c r="H52" s="53"/>
      <c r="S52" s="17"/>
      <c r="T52" s="16"/>
      <c r="Y52"/>
    </row>
    <row r="53" spans="1:25">
      <c r="A53" s="1">
        <v>51</v>
      </c>
      <c r="B53" t="s">
        <v>150</v>
      </c>
      <c r="C53" s="61" t="s">
        <v>1036</v>
      </c>
      <c r="D53" s="59">
        <v>51</v>
      </c>
      <c r="E53" s="55" t="s">
        <v>1335</v>
      </c>
      <c r="F53" s="51">
        <v>51</v>
      </c>
      <c r="G53"/>
      <c r="H53" s="53"/>
      <c r="S53" s="17"/>
      <c r="T53" s="16"/>
      <c r="Y53"/>
    </row>
    <row r="54" spans="1:25">
      <c r="A54" s="1">
        <v>52</v>
      </c>
      <c r="B54" t="s">
        <v>151</v>
      </c>
      <c r="C54" s="61" t="s">
        <v>1037</v>
      </c>
      <c r="D54" s="58">
        <v>52</v>
      </c>
      <c r="E54" s="56" t="s">
        <v>1336</v>
      </c>
      <c r="F54" s="50">
        <v>52</v>
      </c>
      <c r="G54"/>
      <c r="H54" s="53"/>
      <c r="S54" s="17"/>
      <c r="T54" s="16"/>
      <c r="Y54"/>
    </row>
    <row r="55" spans="1:25">
      <c r="A55" s="1">
        <v>53</v>
      </c>
      <c r="B55" t="s">
        <v>152</v>
      </c>
      <c r="C55" s="61" t="s">
        <v>1038</v>
      </c>
      <c r="D55" s="59">
        <v>53</v>
      </c>
      <c r="E55" s="55" t="s">
        <v>1337</v>
      </c>
      <c r="F55" s="51">
        <v>53</v>
      </c>
      <c r="G55"/>
      <c r="H55" s="53"/>
      <c r="S55" s="17"/>
      <c r="T55" s="16"/>
      <c r="Y55"/>
    </row>
    <row r="56" spans="1:25">
      <c r="A56" s="1">
        <v>54</v>
      </c>
      <c r="B56" t="s">
        <v>153</v>
      </c>
      <c r="C56" s="61" t="s">
        <v>1039</v>
      </c>
      <c r="D56" s="58">
        <v>54</v>
      </c>
      <c r="E56" s="56" t="s">
        <v>1338</v>
      </c>
      <c r="F56" s="50">
        <v>54</v>
      </c>
      <c r="G56"/>
      <c r="H56" s="53"/>
      <c r="S56" s="17"/>
      <c r="T56" s="16"/>
      <c r="Y56"/>
    </row>
    <row r="57" spans="1:25">
      <c r="A57" s="1">
        <v>55</v>
      </c>
      <c r="B57" t="s">
        <v>154</v>
      </c>
      <c r="C57" s="61" t="s">
        <v>1040</v>
      </c>
      <c r="D57" s="59">
        <v>55</v>
      </c>
      <c r="E57" s="55" t="s">
        <v>1339</v>
      </c>
      <c r="F57" s="51">
        <v>55</v>
      </c>
      <c r="G57"/>
      <c r="H57" s="53"/>
      <c r="S57" s="17"/>
      <c r="T57" s="16"/>
      <c r="Y57"/>
    </row>
    <row r="58" spans="1:25">
      <c r="A58" s="1">
        <v>56</v>
      </c>
      <c r="B58" t="s">
        <v>155</v>
      </c>
      <c r="C58" s="61" t="s">
        <v>1041</v>
      </c>
      <c r="D58" s="58">
        <v>56</v>
      </c>
      <c r="E58" s="56" t="s">
        <v>933</v>
      </c>
      <c r="F58" s="50">
        <v>56</v>
      </c>
      <c r="G58"/>
      <c r="H58" s="53"/>
      <c r="S58" s="17"/>
      <c r="T58" s="16"/>
      <c r="Y58"/>
    </row>
    <row r="59" spans="1:25">
      <c r="A59" s="1">
        <v>57</v>
      </c>
      <c r="B59" t="s">
        <v>156</v>
      </c>
      <c r="C59" s="61" t="s">
        <v>1042</v>
      </c>
      <c r="D59" s="59">
        <v>57</v>
      </c>
      <c r="E59" s="55" t="s">
        <v>1340</v>
      </c>
      <c r="F59" s="51">
        <v>57</v>
      </c>
      <c r="G59"/>
      <c r="H59" s="53"/>
      <c r="S59" s="17"/>
      <c r="T59" s="16"/>
      <c r="Y59"/>
    </row>
    <row r="60" spans="1:25">
      <c r="A60" s="1">
        <v>58</v>
      </c>
      <c r="B60" t="s">
        <v>157</v>
      </c>
      <c r="C60" s="61" t="s">
        <v>1043</v>
      </c>
      <c r="D60" s="58">
        <v>58</v>
      </c>
      <c r="E60" s="56" t="s">
        <v>934</v>
      </c>
      <c r="F60" s="50">
        <v>58</v>
      </c>
      <c r="G60"/>
      <c r="H60" s="53"/>
      <c r="S60" s="17"/>
      <c r="T60" s="16"/>
      <c r="Y60"/>
    </row>
    <row r="61" spans="1:25">
      <c r="A61" s="1">
        <v>59</v>
      </c>
      <c r="B61" t="s">
        <v>158</v>
      </c>
      <c r="C61" s="61" t="s">
        <v>1044</v>
      </c>
      <c r="D61" s="59">
        <v>59</v>
      </c>
      <c r="E61" t="s">
        <v>1310</v>
      </c>
      <c r="F61" s="51">
        <v>59</v>
      </c>
      <c r="G61"/>
      <c r="H61" s="53"/>
      <c r="S61" s="17"/>
      <c r="T61" s="16"/>
      <c r="Y61"/>
    </row>
    <row r="62" spans="1:25">
      <c r="A62" s="1">
        <v>60</v>
      </c>
      <c r="B62" t="s">
        <v>159</v>
      </c>
      <c r="C62" s="61" t="s">
        <v>1045</v>
      </c>
      <c r="D62" s="58">
        <v>60</v>
      </c>
      <c r="E62" s="56" t="s">
        <v>1284</v>
      </c>
      <c r="F62" s="50">
        <v>60</v>
      </c>
      <c r="G62"/>
      <c r="H62" s="53"/>
      <c r="S62" s="17"/>
      <c r="T62" s="16"/>
      <c r="Y62"/>
    </row>
    <row r="63" spans="1:25">
      <c r="A63" s="1">
        <v>61</v>
      </c>
      <c r="B63" t="s">
        <v>160</v>
      </c>
      <c r="C63" s="61" t="s">
        <v>1046</v>
      </c>
      <c r="D63" s="59">
        <v>61</v>
      </c>
      <c r="E63" s="55" t="s">
        <v>160</v>
      </c>
      <c r="F63" s="51">
        <v>61</v>
      </c>
      <c r="G63"/>
      <c r="H63" s="53"/>
      <c r="S63" s="17"/>
      <c r="T63" s="16"/>
      <c r="Y63"/>
    </row>
    <row r="64" spans="1:25">
      <c r="A64" s="1">
        <v>62</v>
      </c>
      <c r="B64" t="s">
        <v>161</v>
      </c>
      <c r="C64" s="61" t="s">
        <v>1047</v>
      </c>
      <c r="D64" s="58">
        <v>62</v>
      </c>
      <c r="E64" s="56" t="s">
        <v>161</v>
      </c>
      <c r="F64" s="50">
        <v>62</v>
      </c>
      <c r="G64"/>
      <c r="H64" s="53"/>
      <c r="S64" s="17"/>
      <c r="T64" s="16"/>
      <c r="Y64"/>
    </row>
    <row r="65" spans="1:25">
      <c r="A65" s="1">
        <v>63</v>
      </c>
      <c r="B65" t="s">
        <v>162</v>
      </c>
      <c r="C65" s="61" t="s">
        <v>1048</v>
      </c>
      <c r="D65" s="59">
        <v>63</v>
      </c>
      <c r="E65" s="55" t="s">
        <v>935</v>
      </c>
      <c r="F65" s="51">
        <v>63</v>
      </c>
      <c r="G65"/>
      <c r="H65" s="53"/>
      <c r="S65" s="17"/>
      <c r="T65" s="16"/>
      <c r="Y65"/>
    </row>
    <row r="66" spans="1:25">
      <c r="A66" s="1">
        <v>64</v>
      </c>
      <c r="B66" t="s">
        <v>163</v>
      </c>
      <c r="C66" s="61" t="s">
        <v>1049</v>
      </c>
      <c r="D66" s="58">
        <v>64</v>
      </c>
      <c r="E66" s="56" t="s">
        <v>163</v>
      </c>
      <c r="F66" s="50">
        <v>64</v>
      </c>
      <c r="G66"/>
      <c r="H66" s="53"/>
      <c r="S66" s="17"/>
      <c r="T66" s="16"/>
      <c r="Y66"/>
    </row>
    <row r="67" spans="1:25">
      <c r="A67" s="1">
        <v>65</v>
      </c>
      <c r="B67" t="s">
        <v>164</v>
      </c>
      <c r="C67" s="61" t="s">
        <v>1050</v>
      </c>
      <c r="D67" s="59">
        <v>65</v>
      </c>
      <c r="E67" s="55" t="s">
        <v>164</v>
      </c>
      <c r="F67" s="51">
        <v>65</v>
      </c>
      <c r="G67"/>
      <c r="H67" s="53"/>
      <c r="S67" s="17"/>
      <c r="T67" s="16"/>
      <c r="Y67"/>
    </row>
    <row r="68" spans="1:25">
      <c r="A68" s="1">
        <v>66</v>
      </c>
      <c r="B68" t="s">
        <v>165</v>
      </c>
      <c r="C68" s="61" t="s">
        <v>1051</v>
      </c>
      <c r="D68" s="58">
        <v>66</v>
      </c>
      <c r="E68" s="56" t="s">
        <v>165</v>
      </c>
      <c r="F68" s="50">
        <v>66</v>
      </c>
      <c r="G68"/>
      <c r="H68" s="53"/>
      <c r="S68" s="17"/>
      <c r="T68" s="16"/>
      <c r="Y68"/>
    </row>
    <row r="69" spans="1:25">
      <c r="A69" s="1">
        <v>67</v>
      </c>
      <c r="B69" t="s">
        <v>166</v>
      </c>
      <c r="C69" s="61" t="s">
        <v>1052</v>
      </c>
      <c r="D69" s="59">
        <v>67</v>
      </c>
      <c r="E69" s="55" t="s">
        <v>166</v>
      </c>
      <c r="F69" s="51">
        <v>67</v>
      </c>
      <c r="G69"/>
      <c r="H69" s="53"/>
      <c r="S69" s="17"/>
      <c r="T69" s="16"/>
      <c r="Y69"/>
    </row>
    <row r="70" spans="1:25">
      <c r="A70" s="1">
        <v>68</v>
      </c>
      <c r="B70" t="s">
        <v>167</v>
      </c>
      <c r="C70" s="61" t="s">
        <v>1053</v>
      </c>
      <c r="D70" s="58">
        <v>68</v>
      </c>
      <c r="E70" s="56" t="s">
        <v>167</v>
      </c>
      <c r="F70" s="50">
        <v>68</v>
      </c>
      <c r="G70"/>
      <c r="H70" s="53"/>
      <c r="S70" s="17"/>
      <c r="T70" s="16"/>
      <c r="Y70"/>
    </row>
    <row r="71" spans="1:25">
      <c r="A71" s="1">
        <v>69</v>
      </c>
      <c r="B71" t="s">
        <v>168</v>
      </c>
      <c r="C71" s="61" t="s">
        <v>1054</v>
      </c>
      <c r="D71" s="59">
        <v>69</v>
      </c>
      <c r="E71" t="s">
        <v>168</v>
      </c>
      <c r="F71" s="51">
        <v>69</v>
      </c>
      <c r="G71"/>
      <c r="H71" s="53"/>
      <c r="S71" s="17"/>
      <c r="T71" s="16"/>
      <c r="Y71"/>
    </row>
    <row r="72" spans="1:25">
      <c r="A72" s="1">
        <v>70</v>
      </c>
      <c r="B72" t="s">
        <v>169</v>
      </c>
      <c r="C72" s="61" t="s">
        <v>1055</v>
      </c>
      <c r="D72" s="58">
        <v>70</v>
      </c>
      <c r="E72" s="56" t="s">
        <v>169</v>
      </c>
      <c r="F72" s="50">
        <v>70</v>
      </c>
      <c r="G72"/>
      <c r="H72" s="53"/>
      <c r="S72" s="17"/>
      <c r="T72" s="16"/>
      <c r="Y72"/>
    </row>
    <row r="73" spans="1:25">
      <c r="A73" s="1">
        <v>71</v>
      </c>
      <c r="B73" t="s">
        <v>170</v>
      </c>
      <c r="C73" s="61" t="s">
        <v>1056</v>
      </c>
      <c r="D73" s="59">
        <v>71</v>
      </c>
      <c r="E73" s="55" t="s">
        <v>170</v>
      </c>
      <c r="F73" s="51">
        <v>71</v>
      </c>
      <c r="G73"/>
      <c r="H73" s="53"/>
      <c r="S73" s="17"/>
      <c r="T73" s="16"/>
      <c r="Y73"/>
    </row>
    <row r="74" spans="1:25">
      <c r="A74" s="1">
        <v>72</v>
      </c>
      <c r="B74" t="s">
        <v>171</v>
      </c>
      <c r="C74" s="61" t="s">
        <v>1057</v>
      </c>
      <c r="D74" s="58">
        <v>72</v>
      </c>
      <c r="E74" s="56" t="s">
        <v>171</v>
      </c>
      <c r="F74" s="50">
        <v>72</v>
      </c>
      <c r="G74"/>
      <c r="H74" s="53"/>
      <c r="S74" s="17"/>
      <c r="T74" s="16"/>
      <c r="Y74"/>
    </row>
    <row r="75" spans="1:25">
      <c r="A75" s="1">
        <v>73</v>
      </c>
      <c r="B75" t="s">
        <v>172</v>
      </c>
      <c r="C75" s="61" t="s">
        <v>1058</v>
      </c>
      <c r="D75" s="59">
        <v>73</v>
      </c>
      <c r="E75" s="55" t="s">
        <v>172</v>
      </c>
      <c r="F75" s="51">
        <v>73</v>
      </c>
      <c r="G75"/>
      <c r="H75" s="53"/>
      <c r="S75" s="17"/>
      <c r="T75" s="16"/>
      <c r="Y75"/>
    </row>
    <row r="76" spans="1:25">
      <c r="A76" s="1">
        <v>74</v>
      </c>
      <c r="B76" t="s">
        <v>173</v>
      </c>
      <c r="C76" s="61" t="s">
        <v>1059</v>
      </c>
      <c r="D76" s="58">
        <v>74</v>
      </c>
      <c r="E76" s="56" t="s">
        <v>173</v>
      </c>
      <c r="F76" s="50">
        <v>74</v>
      </c>
      <c r="G76"/>
      <c r="H76" s="53"/>
      <c r="S76" s="17"/>
      <c r="T76" s="16"/>
      <c r="Y76"/>
    </row>
    <row r="77" spans="1:25">
      <c r="A77" s="1">
        <v>75</v>
      </c>
      <c r="B77" t="s">
        <v>174</v>
      </c>
      <c r="C77" s="61" t="s">
        <v>1060</v>
      </c>
      <c r="D77" s="59">
        <v>75</v>
      </c>
      <c r="E77" t="s">
        <v>174</v>
      </c>
      <c r="F77" s="51">
        <v>75</v>
      </c>
      <c r="G77"/>
      <c r="H77" s="53"/>
      <c r="S77" s="17"/>
      <c r="T77" s="16"/>
      <c r="Y77"/>
    </row>
    <row r="78" spans="1:25">
      <c r="A78" s="1">
        <v>76</v>
      </c>
      <c r="B78" t="s">
        <v>175</v>
      </c>
      <c r="C78" s="61" t="s">
        <v>1061</v>
      </c>
      <c r="D78" s="58">
        <v>76</v>
      </c>
      <c r="E78" s="56" t="s">
        <v>936</v>
      </c>
      <c r="F78" s="50">
        <v>76</v>
      </c>
      <c r="G78"/>
      <c r="H78" s="53"/>
      <c r="S78" s="17"/>
      <c r="T78" s="16"/>
      <c r="Y78"/>
    </row>
    <row r="79" spans="1:25">
      <c r="A79" s="1">
        <v>77</v>
      </c>
      <c r="B79" t="s">
        <v>176</v>
      </c>
      <c r="C79" s="61" t="s">
        <v>1062</v>
      </c>
      <c r="D79" s="59">
        <v>77</v>
      </c>
      <c r="E79" t="s">
        <v>176</v>
      </c>
      <c r="F79" s="51">
        <v>77</v>
      </c>
      <c r="G79"/>
      <c r="H79" s="53"/>
      <c r="S79" s="17"/>
      <c r="T79" s="16"/>
      <c r="Y79"/>
    </row>
    <row r="80" spans="1:25">
      <c r="A80" s="1">
        <v>78</v>
      </c>
      <c r="B80" t="s">
        <v>177</v>
      </c>
      <c r="C80" s="61" t="s">
        <v>1063</v>
      </c>
      <c r="D80" s="58">
        <v>78</v>
      </c>
      <c r="E80" s="56" t="s">
        <v>177</v>
      </c>
      <c r="F80" s="50">
        <v>78</v>
      </c>
      <c r="G80"/>
      <c r="H80" s="53"/>
      <c r="S80" s="17"/>
      <c r="T80" s="16"/>
      <c r="Y80"/>
    </row>
    <row r="81" spans="1:25">
      <c r="A81" s="1">
        <v>79</v>
      </c>
      <c r="B81" t="s">
        <v>178</v>
      </c>
      <c r="C81" s="61" t="s">
        <v>1064</v>
      </c>
      <c r="D81" s="59">
        <v>79</v>
      </c>
      <c r="E81" s="55" t="s">
        <v>178</v>
      </c>
      <c r="F81" s="51">
        <v>79</v>
      </c>
      <c r="G81"/>
      <c r="H81" s="53"/>
      <c r="S81" s="17"/>
      <c r="T81" s="16"/>
      <c r="Y81"/>
    </row>
    <row r="82" spans="1:25">
      <c r="A82" s="1">
        <v>80</v>
      </c>
      <c r="B82" t="s">
        <v>179</v>
      </c>
      <c r="C82" s="61" t="s">
        <v>1065</v>
      </c>
      <c r="D82" s="58">
        <v>80</v>
      </c>
      <c r="E82" s="56" t="s">
        <v>1341</v>
      </c>
      <c r="F82" s="50">
        <v>80</v>
      </c>
      <c r="G82"/>
      <c r="H82" s="53"/>
      <c r="S82" s="17"/>
      <c r="T82" s="16"/>
      <c r="Y82"/>
    </row>
    <row r="83" spans="1:25">
      <c r="A83" s="1">
        <v>81</v>
      </c>
      <c r="B83" t="s">
        <v>180</v>
      </c>
      <c r="C83" s="61" t="s">
        <v>1066</v>
      </c>
      <c r="D83" s="59">
        <v>81</v>
      </c>
      <c r="E83" s="55" t="s">
        <v>180</v>
      </c>
      <c r="F83" s="51">
        <v>81</v>
      </c>
      <c r="G83"/>
      <c r="H83" s="53"/>
      <c r="S83" s="17"/>
      <c r="T83" s="16"/>
      <c r="Y83"/>
    </row>
    <row r="84" spans="1:25">
      <c r="A84" s="1">
        <v>82</v>
      </c>
      <c r="B84" t="s">
        <v>181</v>
      </c>
      <c r="C84" s="61" t="s">
        <v>1067</v>
      </c>
      <c r="D84" s="58">
        <v>82</v>
      </c>
      <c r="E84" s="56" t="s">
        <v>181</v>
      </c>
      <c r="F84" s="50">
        <v>82</v>
      </c>
      <c r="G84"/>
      <c r="H84" s="53"/>
      <c r="S84" s="17"/>
      <c r="T84" s="16"/>
      <c r="Y84"/>
    </row>
    <row r="85" spans="1:25">
      <c r="A85" s="1">
        <v>83</v>
      </c>
      <c r="B85" t="s">
        <v>182</v>
      </c>
      <c r="C85" s="61" t="s">
        <v>1068</v>
      </c>
      <c r="D85" s="59">
        <v>83</v>
      </c>
      <c r="E85" s="55" t="s">
        <v>182</v>
      </c>
      <c r="F85" s="51">
        <v>83</v>
      </c>
      <c r="G85"/>
      <c r="H85" s="53"/>
      <c r="S85" s="17"/>
      <c r="T85" s="16"/>
      <c r="Y85"/>
    </row>
    <row r="86" spans="1:25">
      <c r="A86" s="1">
        <v>84</v>
      </c>
      <c r="B86" t="s">
        <v>183</v>
      </c>
      <c r="C86" s="61" t="s">
        <v>1069</v>
      </c>
      <c r="D86" s="58">
        <v>84</v>
      </c>
      <c r="E86" s="56" t="s">
        <v>1342</v>
      </c>
      <c r="F86" s="50">
        <v>84</v>
      </c>
      <c r="G86"/>
      <c r="H86" s="53"/>
      <c r="S86" s="17"/>
      <c r="T86" s="16"/>
      <c r="Y86"/>
    </row>
    <row r="87" spans="1:25">
      <c r="A87" s="1">
        <v>85</v>
      </c>
      <c r="B87" t="s">
        <v>184</v>
      </c>
      <c r="C87" s="61" t="s">
        <v>1070</v>
      </c>
      <c r="D87" s="59">
        <v>85</v>
      </c>
      <c r="E87" t="s">
        <v>1343</v>
      </c>
      <c r="F87" s="51">
        <v>85</v>
      </c>
      <c r="G87"/>
      <c r="H87" s="53"/>
      <c r="S87" s="17"/>
      <c r="T87" s="16"/>
      <c r="Y87"/>
    </row>
    <row r="88" spans="1:25">
      <c r="A88" s="1">
        <v>86</v>
      </c>
      <c r="B88" t="s">
        <v>185</v>
      </c>
      <c r="C88" s="61" t="s">
        <v>1071</v>
      </c>
      <c r="D88" s="58">
        <v>86</v>
      </c>
      <c r="E88" s="56" t="s">
        <v>937</v>
      </c>
      <c r="F88" s="50">
        <v>86</v>
      </c>
      <c r="G88"/>
      <c r="H88" s="53"/>
      <c r="S88" s="17"/>
      <c r="T88" s="16"/>
      <c r="Y88"/>
    </row>
    <row r="89" spans="1:25">
      <c r="A89" s="1">
        <v>87</v>
      </c>
      <c r="B89" t="s">
        <v>186</v>
      </c>
      <c r="C89" s="61" t="s">
        <v>1072</v>
      </c>
      <c r="D89" s="59">
        <v>87</v>
      </c>
      <c r="E89" s="55" t="s">
        <v>1344</v>
      </c>
      <c r="F89" s="51">
        <v>87</v>
      </c>
      <c r="G89"/>
      <c r="H89" s="53"/>
      <c r="S89" s="17"/>
      <c r="T89" s="16"/>
      <c r="Y89"/>
    </row>
    <row r="90" spans="1:25">
      <c r="A90" s="1">
        <v>88</v>
      </c>
      <c r="B90" t="s">
        <v>187</v>
      </c>
      <c r="C90" s="61" t="s">
        <v>1073</v>
      </c>
      <c r="D90" s="58">
        <v>88</v>
      </c>
      <c r="E90" s="56" t="s">
        <v>938</v>
      </c>
      <c r="F90" s="50">
        <v>88</v>
      </c>
      <c r="G90"/>
      <c r="H90" s="53"/>
      <c r="S90" s="17"/>
      <c r="T90" s="16"/>
      <c r="Y90"/>
    </row>
    <row r="91" spans="1:25">
      <c r="A91" s="1">
        <v>89</v>
      </c>
      <c r="B91" t="s">
        <v>188</v>
      </c>
      <c r="C91" s="61" t="s">
        <v>1074</v>
      </c>
      <c r="D91" s="59">
        <v>89</v>
      </c>
      <c r="E91" s="55" t="s">
        <v>188</v>
      </c>
      <c r="F91" s="51">
        <v>89</v>
      </c>
      <c r="G91"/>
      <c r="H91" s="53"/>
      <c r="S91" s="17"/>
      <c r="T91" s="16"/>
      <c r="Y91"/>
    </row>
    <row r="92" spans="1:25">
      <c r="A92" s="1">
        <v>90</v>
      </c>
      <c r="B92" t="s">
        <v>189</v>
      </c>
      <c r="C92" s="61" t="s">
        <v>1075</v>
      </c>
      <c r="D92" s="58">
        <v>90</v>
      </c>
      <c r="E92" s="56" t="s">
        <v>189</v>
      </c>
      <c r="F92" s="50">
        <v>90</v>
      </c>
      <c r="G92"/>
      <c r="H92" s="53"/>
      <c r="S92" s="17"/>
      <c r="T92" s="16"/>
      <c r="Y92"/>
    </row>
    <row r="93" spans="1:25">
      <c r="A93" s="1">
        <v>91</v>
      </c>
      <c r="B93" t="s">
        <v>190</v>
      </c>
      <c r="C93" s="61" t="s">
        <v>1076</v>
      </c>
      <c r="D93" s="59">
        <v>91</v>
      </c>
      <c r="E93" s="55" t="s">
        <v>190</v>
      </c>
      <c r="F93" s="51">
        <v>91</v>
      </c>
      <c r="G93"/>
      <c r="H93" s="53"/>
      <c r="S93" s="17"/>
      <c r="T93" s="16"/>
      <c r="Y93"/>
    </row>
    <row r="94" spans="1:25">
      <c r="A94" s="1">
        <v>92</v>
      </c>
      <c r="B94" t="s">
        <v>191</v>
      </c>
      <c r="C94" s="61" t="s">
        <v>1077</v>
      </c>
      <c r="D94" s="58">
        <v>92</v>
      </c>
      <c r="E94" s="56" t="s">
        <v>939</v>
      </c>
      <c r="F94" s="50">
        <v>92</v>
      </c>
      <c r="G94"/>
      <c r="H94" s="53"/>
      <c r="S94" s="17"/>
      <c r="T94" s="16"/>
      <c r="Y94"/>
    </row>
    <row r="95" spans="1:25">
      <c r="A95" s="1">
        <v>93</v>
      </c>
      <c r="B95" t="s">
        <v>192</v>
      </c>
      <c r="C95" s="61" t="s">
        <v>1078</v>
      </c>
      <c r="D95" s="59">
        <v>93</v>
      </c>
      <c r="E95" s="55" t="s">
        <v>940</v>
      </c>
      <c r="F95" s="51">
        <v>93</v>
      </c>
      <c r="G95"/>
      <c r="H95" s="53"/>
      <c r="S95" s="17"/>
      <c r="T95" s="16"/>
      <c r="Y95"/>
    </row>
    <row r="96" spans="1:25">
      <c r="A96" s="1">
        <v>94</v>
      </c>
      <c r="B96" t="s">
        <v>193</v>
      </c>
      <c r="C96" s="61" t="s">
        <v>1079</v>
      </c>
      <c r="D96" s="58">
        <v>94</v>
      </c>
      <c r="E96" s="56" t="s">
        <v>941</v>
      </c>
      <c r="F96" s="50">
        <v>94</v>
      </c>
      <c r="G96"/>
      <c r="H96" s="53"/>
      <c r="S96" s="17"/>
      <c r="T96" s="16"/>
      <c r="Y96"/>
    </row>
    <row r="97" spans="1:25">
      <c r="A97" s="1">
        <v>95</v>
      </c>
      <c r="B97" t="s">
        <v>194</v>
      </c>
      <c r="C97" s="61" t="s">
        <v>1080</v>
      </c>
      <c r="D97" s="59">
        <v>95</v>
      </c>
      <c r="E97" t="s">
        <v>942</v>
      </c>
      <c r="F97" s="51">
        <v>95</v>
      </c>
      <c r="G97"/>
      <c r="H97" s="53"/>
      <c r="S97" s="17"/>
      <c r="T97" s="16"/>
      <c r="Y97"/>
    </row>
    <row r="98" spans="1:25">
      <c r="A98" s="1">
        <v>96</v>
      </c>
      <c r="B98" t="s">
        <v>195</v>
      </c>
      <c r="C98" s="61" t="s">
        <v>1081</v>
      </c>
      <c r="D98" s="58">
        <v>96</v>
      </c>
      <c r="E98" s="56" t="s">
        <v>943</v>
      </c>
      <c r="F98" s="50">
        <v>96</v>
      </c>
      <c r="G98"/>
      <c r="H98" s="53"/>
      <c r="S98" s="17"/>
      <c r="T98" s="16"/>
      <c r="Y98"/>
    </row>
    <row r="99" spans="1:25">
      <c r="A99" s="1">
        <v>97</v>
      </c>
      <c r="B99" t="s">
        <v>196</v>
      </c>
      <c r="C99" s="61" t="s">
        <v>1082</v>
      </c>
      <c r="D99" s="59">
        <v>97</v>
      </c>
      <c r="E99" s="55" t="s">
        <v>196</v>
      </c>
      <c r="F99" s="51">
        <v>97</v>
      </c>
      <c r="G99"/>
      <c r="H99" s="53"/>
      <c r="S99" s="17"/>
      <c r="T99" s="16"/>
      <c r="Y99"/>
    </row>
    <row r="100" spans="1:25">
      <c r="A100" s="1">
        <v>98</v>
      </c>
      <c r="B100" t="s">
        <v>197</v>
      </c>
      <c r="C100" s="61" t="s">
        <v>1083</v>
      </c>
      <c r="D100" s="58">
        <v>98</v>
      </c>
      <c r="E100" s="56" t="s">
        <v>944</v>
      </c>
      <c r="F100" s="50">
        <v>98</v>
      </c>
      <c r="G100"/>
      <c r="H100" s="53"/>
      <c r="S100" s="17"/>
      <c r="T100" s="16"/>
      <c r="Y100"/>
    </row>
    <row r="101" spans="1:25">
      <c r="A101" s="1">
        <v>99</v>
      </c>
      <c r="B101" t="s">
        <v>198</v>
      </c>
      <c r="C101" s="61" t="s">
        <v>1084</v>
      </c>
      <c r="D101" s="59">
        <v>99</v>
      </c>
      <c r="E101" s="55" t="s">
        <v>198</v>
      </c>
      <c r="F101" s="51">
        <v>99</v>
      </c>
      <c r="G101"/>
      <c r="H101" s="53"/>
      <c r="S101" s="17"/>
      <c r="T101" s="16"/>
      <c r="Y101"/>
    </row>
    <row r="102" spans="1:25">
      <c r="A102" s="1">
        <v>100</v>
      </c>
      <c r="B102" t="s">
        <v>199</v>
      </c>
      <c r="C102" s="61" t="s">
        <v>1085</v>
      </c>
      <c r="D102" s="58">
        <v>100</v>
      </c>
      <c r="E102" s="56" t="s">
        <v>1345</v>
      </c>
      <c r="F102" s="50">
        <v>100</v>
      </c>
      <c r="G102"/>
      <c r="H102" s="53"/>
      <c r="S102" s="17"/>
      <c r="T102" s="16"/>
      <c r="Y102"/>
    </row>
    <row r="103" spans="1:25">
      <c r="A103" s="1">
        <v>101</v>
      </c>
      <c r="B103" t="s">
        <v>200</v>
      </c>
      <c r="C103" s="61" t="s">
        <v>1086</v>
      </c>
      <c r="D103" s="59">
        <v>101</v>
      </c>
      <c r="E103" s="55" t="s">
        <v>200</v>
      </c>
      <c r="F103" s="51">
        <v>101</v>
      </c>
      <c r="G103"/>
      <c r="H103" s="53"/>
      <c r="S103" s="17"/>
      <c r="T103" s="16"/>
      <c r="Y103"/>
    </row>
    <row r="104" spans="1:25">
      <c r="A104" s="1">
        <v>102</v>
      </c>
      <c r="B104" t="s">
        <v>201</v>
      </c>
      <c r="C104" s="61" t="s">
        <v>1087</v>
      </c>
      <c r="D104" s="58">
        <v>102</v>
      </c>
      <c r="E104" s="56" t="s">
        <v>1346</v>
      </c>
      <c r="F104" s="50">
        <v>102</v>
      </c>
      <c r="G104"/>
      <c r="H104" s="53"/>
      <c r="S104" s="17"/>
      <c r="T104" s="16"/>
      <c r="Y104"/>
    </row>
    <row r="105" spans="1:25">
      <c r="A105" s="1">
        <v>103</v>
      </c>
      <c r="B105" t="s">
        <v>202</v>
      </c>
      <c r="C105" s="61" t="s">
        <v>1088</v>
      </c>
      <c r="D105" s="59">
        <v>103</v>
      </c>
      <c r="E105" s="55" t="s">
        <v>202</v>
      </c>
      <c r="F105" s="51">
        <v>103</v>
      </c>
      <c r="G105"/>
      <c r="H105" s="53"/>
      <c r="S105" s="17"/>
      <c r="T105" s="16"/>
      <c r="Y105"/>
    </row>
    <row r="106" spans="1:25">
      <c r="A106" s="1">
        <v>104</v>
      </c>
      <c r="B106" t="s">
        <v>203</v>
      </c>
      <c r="C106" s="61" t="s">
        <v>1089</v>
      </c>
      <c r="D106" s="58">
        <v>104</v>
      </c>
      <c r="E106" s="56" t="s">
        <v>1347</v>
      </c>
      <c r="F106" s="50">
        <v>104</v>
      </c>
      <c r="G106"/>
      <c r="H106" s="53"/>
      <c r="S106" s="17"/>
      <c r="T106" s="16"/>
      <c r="Y106"/>
    </row>
    <row r="107" spans="1:25">
      <c r="A107" s="1">
        <v>105</v>
      </c>
      <c r="B107" t="s">
        <v>204</v>
      </c>
      <c r="C107" s="61" t="s">
        <v>1090</v>
      </c>
      <c r="D107" s="59">
        <v>105</v>
      </c>
      <c r="E107" s="55" t="s">
        <v>204</v>
      </c>
      <c r="F107" s="51">
        <v>105</v>
      </c>
      <c r="G107"/>
      <c r="H107" s="53"/>
      <c r="S107" s="17"/>
      <c r="T107" s="16"/>
      <c r="Y107"/>
    </row>
    <row r="108" spans="1:25">
      <c r="A108" s="1">
        <v>106</v>
      </c>
      <c r="B108" t="s">
        <v>205</v>
      </c>
      <c r="C108" s="61" t="s">
        <v>1091</v>
      </c>
      <c r="D108" s="58">
        <v>106</v>
      </c>
      <c r="E108" s="56" t="s">
        <v>942</v>
      </c>
      <c r="F108" s="50">
        <v>106</v>
      </c>
      <c r="G108"/>
      <c r="H108" s="53"/>
      <c r="S108" s="17"/>
      <c r="T108" s="16"/>
      <c r="Y108"/>
    </row>
    <row r="109" spans="1:25">
      <c r="A109" s="1">
        <v>107</v>
      </c>
      <c r="B109" t="s">
        <v>206</v>
      </c>
      <c r="C109" s="61" t="s">
        <v>1092</v>
      </c>
      <c r="D109" s="59">
        <v>107</v>
      </c>
      <c r="E109" s="55" t="s">
        <v>1348</v>
      </c>
      <c r="F109" s="51">
        <v>107</v>
      </c>
      <c r="G109"/>
      <c r="H109" s="53"/>
      <c r="S109" s="17"/>
      <c r="T109" s="16"/>
      <c r="Y109"/>
    </row>
    <row r="110" spans="1:25">
      <c r="A110" s="1">
        <v>108</v>
      </c>
      <c r="B110" t="s">
        <v>207</v>
      </c>
      <c r="C110" s="61" t="s">
        <v>1093</v>
      </c>
      <c r="D110" s="58">
        <v>108</v>
      </c>
      <c r="E110" s="56" t="s">
        <v>1349</v>
      </c>
      <c r="F110" s="50">
        <v>108</v>
      </c>
      <c r="G110"/>
      <c r="H110" s="53"/>
      <c r="S110" s="17"/>
      <c r="T110" s="16"/>
      <c r="Y110"/>
    </row>
    <row r="111" spans="1:25">
      <c r="A111" s="1">
        <v>109</v>
      </c>
      <c r="B111" t="s">
        <v>208</v>
      </c>
      <c r="C111" s="61" t="s">
        <v>1094</v>
      </c>
      <c r="D111" s="59">
        <v>109</v>
      </c>
      <c r="E111" s="55" t="s">
        <v>1350</v>
      </c>
      <c r="F111" s="51">
        <v>109</v>
      </c>
      <c r="G111"/>
      <c r="H111" s="53"/>
      <c r="S111" s="17"/>
      <c r="T111" s="16"/>
      <c r="Y111"/>
    </row>
    <row r="112" spans="1:25">
      <c r="A112" s="1">
        <v>110</v>
      </c>
      <c r="B112" t="s">
        <v>209</v>
      </c>
      <c r="C112" s="61" t="s">
        <v>1095</v>
      </c>
      <c r="D112" s="58">
        <v>110</v>
      </c>
      <c r="E112" s="56" t="s">
        <v>1351</v>
      </c>
      <c r="F112" s="50">
        <v>110</v>
      </c>
      <c r="G112"/>
      <c r="H112" s="53"/>
      <c r="S112" s="17"/>
      <c r="T112" s="16"/>
      <c r="Y112"/>
    </row>
    <row r="113" spans="1:25">
      <c r="A113" s="1">
        <v>111</v>
      </c>
      <c r="B113" t="s">
        <v>210</v>
      </c>
      <c r="C113" s="61" t="s">
        <v>1096</v>
      </c>
      <c r="D113" s="59">
        <v>111</v>
      </c>
      <c r="E113" s="55" t="s">
        <v>1352</v>
      </c>
      <c r="F113" s="51">
        <v>111</v>
      </c>
      <c r="G113"/>
      <c r="H113" s="53"/>
      <c r="S113" s="17"/>
      <c r="T113" s="16"/>
      <c r="Y113"/>
    </row>
    <row r="114" spans="1:25">
      <c r="A114" s="1">
        <v>112</v>
      </c>
      <c r="B114" t="s">
        <v>211</v>
      </c>
      <c r="C114" s="61" t="s">
        <v>1097</v>
      </c>
      <c r="D114" s="58">
        <v>112</v>
      </c>
      <c r="E114" s="56" t="s">
        <v>1353</v>
      </c>
      <c r="F114" s="50">
        <v>112</v>
      </c>
      <c r="G114"/>
      <c r="H114" s="53"/>
      <c r="S114" s="17"/>
      <c r="T114" s="16"/>
      <c r="Y114"/>
    </row>
    <row r="115" spans="1:25">
      <c r="A115" s="1">
        <v>113</v>
      </c>
      <c r="B115" t="s">
        <v>212</v>
      </c>
      <c r="C115" s="61" t="s">
        <v>1098</v>
      </c>
      <c r="D115" s="59">
        <v>113</v>
      </c>
      <c r="E115" s="55" t="s">
        <v>1354</v>
      </c>
      <c r="F115" s="51">
        <v>113</v>
      </c>
      <c r="G115"/>
      <c r="H115" s="53"/>
      <c r="S115" s="17"/>
      <c r="T115" s="16"/>
      <c r="Y115"/>
    </row>
    <row r="116" spans="1:25">
      <c r="A116" s="1">
        <v>114</v>
      </c>
      <c r="B116" t="s">
        <v>213</v>
      </c>
      <c r="C116" s="61" t="s">
        <v>1099</v>
      </c>
      <c r="D116" s="58">
        <v>114</v>
      </c>
      <c r="E116" s="56" t="s">
        <v>1353</v>
      </c>
      <c r="F116" s="50">
        <v>114</v>
      </c>
      <c r="G116"/>
      <c r="H116" s="53"/>
      <c r="S116" s="17"/>
      <c r="T116" s="16"/>
      <c r="Y116"/>
    </row>
    <row r="117" spans="1:25">
      <c r="A117" s="1">
        <v>115</v>
      </c>
      <c r="B117" t="s">
        <v>913</v>
      </c>
      <c r="C117" s="61" t="s">
        <v>1100</v>
      </c>
      <c r="D117" s="59">
        <v>115</v>
      </c>
      <c r="E117" s="55" t="s">
        <v>1355</v>
      </c>
      <c r="F117" s="51">
        <v>115</v>
      </c>
      <c r="G117"/>
      <c r="H117" s="53"/>
      <c r="S117" s="17"/>
      <c r="T117" s="16"/>
      <c r="Y117"/>
    </row>
    <row r="118" spans="1:25">
      <c r="A118" s="1">
        <v>116</v>
      </c>
      <c r="B118" t="s">
        <v>214</v>
      </c>
      <c r="C118" s="61" t="s">
        <v>1101</v>
      </c>
      <c r="D118" s="58">
        <v>116</v>
      </c>
      <c r="E118" s="56" t="s">
        <v>945</v>
      </c>
      <c r="F118" s="50">
        <v>116</v>
      </c>
      <c r="G118"/>
      <c r="H118" s="53"/>
      <c r="S118" s="17"/>
      <c r="T118" s="16"/>
      <c r="Y118"/>
    </row>
    <row r="119" spans="1:25">
      <c r="A119" s="1">
        <v>117</v>
      </c>
      <c r="B119" t="s">
        <v>215</v>
      </c>
      <c r="C119" s="61" t="s">
        <v>1102</v>
      </c>
      <c r="D119" s="59">
        <v>117</v>
      </c>
      <c r="E119" s="55" t="s">
        <v>1356</v>
      </c>
      <c r="F119" s="51">
        <v>117</v>
      </c>
      <c r="G119"/>
      <c r="H119" s="53"/>
      <c r="S119" s="17"/>
      <c r="T119" s="16"/>
      <c r="Y119"/>
    </row>
    <row r="120" spans="1:25">
      <c r="A120" s="1">
        <v>118</v>
      </c>
      <c r="B120" t="s">
        <v>216</v>
      </c>
      <c r="C120" s="61" t="s">
        <v>1103</v>
      </c>
      <c r="D120" s="58">
        <v>118</v>
      </c>
      <c r="E120" s="56" t="s">
        <v>216</v>
      </c>
      <c r="F120" s="50">
        <v>118</v>
      </c>
      <c r="G120"/>
      <c r="H120" s="53"/>
      <c r="S120" s="17"/>
      <c r="T120" s="16"/>
      <c r="Y120"/>
    </row>
    <row r="121" spans="1:25">
      <c r="A121" s="1">
        <v>119</v>
      </c>
      <c r="B121" t="s">
        <v>217</v>
      </c>
      <c r="C121" s="61" t="s">
        <v>1104</v>
      </c>
      <c r="D121" s="59">
        <v>119</v>
      </c>
      <c r="E121" s="55" t="s">
        <v>217</v>
      </c>
      <c r="F121" s="51">
        <v>119</v>
      </c>
      <c r="G121"/>
      <c r="H121" s="53"/>
      <c r="S121" s="17"/>
      <c r="T121" s="16"/>
      <c r="Y121"/>
    </row>
    <row r="122" spans="1:25">
      <c r="A122" s="1">
        <v>120</v>
      </c>
      <c r="B122" t="s">
        <v>218</v>
      </c>
      <c r="C122" s="61" t="s">
        <v>1105</v>
      </c>
      <c r="D122" s="58">
        <v>120</v>
      </c>
      <c r="E122" s="56" t="s">
        <v>218</v>
      </c>
      <c r="F122" s="50">
        <v>120</v>
      </c>
      <c r="G122"/>
      <c r="H122" s="53"/>
      <c r="S122" s="17"/>
      <c r="T122" s="16"/>
      <c r="Y122"/>
    </row>
    <row r="123" spans="1:25">
      <c r="A123" s="1">
        <v>121</v>
      </c>
      <c r="B123" t="s">
        <v>219</v>
      </c>
      <c r="C123" s="61" t="s">
        <v>1106</v>
      </c>
      <c r="D123" s="59">
        <v>121</v>
      </c>
      <c r="E123" s="55" t="s">
        <v>946</v>
      </c>
      <c r="F123" s="51">
        <v>121</v>
      </c>
      <c r="G123"/>
      <c r="H123" s="53"/>
      <c r="S123" s="17"/>
      <c r="T123" s="16"/>
      <c r="Y123"/>
    </row>
    <row r="124" spans="1:25">
      <c r="A124" s="1">
        <v>122</v>
      </c>
      <c r="B124" t="s">
        <v>220</v>
      </c>
      <c r="C124" s="61" t="s">
        <v>1107</v>
      </c>
      <c r="D124" s="58">
        <v>122</v>
      </c>
      <c r="E124" s="56" t="s">
        <v>1293</v>
      </c>
      <c r="F124" s="50">
        <v>122</v>
      </c>
      <c r="G124"/>
      <c r="H124" s="53"/>
      <c r="S124" s="17"/>
      <c r="T124" s="16"/>
      <c r="Y124"/>
    </row>
    <row r="125" spans="1:25">
      <c r="A125" s="1">
        <v>123</v>
      </c>
      <c r="B125" t="s">
        <v>221</v>
      </c>
      <c r="C125" s="61" t="s">
        <v>1108</v>
      </c>
      <c r="D125" s="59">
        <v>123</v>
      </c>
      <c r="E125" s="55" t="s">
        <v>1294</v>
      </c>
      <c r="F125" s="51">
        <v>123</v>
      </c>
      <c r="G125"/>
      <c r="H125" s="53"/>
      <c r="S125" s="17"/>
      <c r="T125" s="16"/>
      <c r="Y125"/>
    </row>
    <row r="126" spans="1:25">
      <c r="A126" s="1">
        <v>124</v>
      </c>
      <c r="B126" t="s">
        <v>222</v>
      </c>
      <c r="C126" s="61" t="s">
        <v>1109</v>
      </c>
      <c r="D126" s="58">
        <v>124</v>
      </c>
      <c r="E126" s="56" t="s">
        <v>1295</v>
      </c>
      <c r="F126" s="50">
        <v>124</v>
      </c>
      <c r="G126"/>
      <c r="H126" s="53"/>
      <c r="S126" s="17"/>
      <c r="T126" s="16"/>
      <c r="Y126"/>
    </row>
    <row r="127" spans="1:25">
      <c r="A127" s="1">
        <v>125</v>
      </c>
      <c r="B127" t="s">
        <v>223</v>
      </c>
      <c r="C127" s="61" t="s">
        <v>1110</v>
      </c>
      <c r="D127" s="59">
        <v>125</v>
      </c>
      <c r="E127" s="55" t="s">
        <v>1296</v>
      </c>
      <c r="F127" s="51">
        <v>125</v>
      </c>
      <c r="G127"/>
      <c r="H127" s="53"/>
      <c r="S127" s="17"/>
      <c r="T127" s="16"/>
      <c r="Y127"/>
    </row>
    <row r="128" spans="1:25">
      <c r="A128" s="1">
        <v>126</v>
      </c>
      <c r="B128" t="s">
        <v>902</v>
      </c>
      <c r="C128" s="61" t="s">
        <v>1111</v>
      </c>
      <c r="D128" s="58">
        <v>126</v>
      </c>
      <c r="E128" s="56" t="s">
        <v>1297</v>
      </c>
      <c r="F128" s="50">
        <v>126</v>
      </c>
      <c r="G128"/>
      <c r="H128" s="53"/>
      <c r="S128" s="17"/>
      <c r="T128" s="16"/>
      <c r="Y128"/>
    </row>
    <row r="129" spans="1:25">
      <c r="A129" s="1">
        <v>127</v>
      </c>
      <c r="B129" t="s">
        <v>224</v>
      </c>
      <c r="C129" s="61" t="s">
        <v>1112</v>
      </c>
      <c r="D129" s="59">
        <v>127</v>
      </c>
      <c r="E129" s="55" t="s">
        <v>1298</v>
      </c>
      <c r="F129" s="51">
        <v>127</v>
      </c>
      <c r="G129"/>
      <c r="H129" s="53"/>
      <c r="S129" s="17"/>
      <c r="T129" s="16"/>
      <c r="Y129"/>
    </row>
    <row r="130" spans="1:25">
      <c r="A130" s="1">
        <v>128</v>
      </c>
      <c r="B130" t="s">
        <v>225</v>
      </c>
      <c r="C130" s="61" t="s">
        <v>1113</v>
      </c>
      <c r="D130" s="58">
        <v>128</v>
      </c>
      <c r="E130" s="56" t="s">
        <v>1299</v>
      </c>
      <c r="F130" s="50">
        <v>128</v>
      </c>
      <c r="G130"/>
      <c r="H130" s="53"/>
      <c r="S130" s="17"/>
      <c r="T130" s="16"/>
      <c r="Y130"/>
    </row>
    <row r="131" spans="1:25">
      <c r="A131" s="1">
        <v>129</v>
      </c>
      <c r="B131" t="s">
        <v>226</v>
      </c>
      <c r="C131" s="61" t="s">
        <v>1114</v>
      </c>
      <c r="D131" s="59">
        <v>129</v>
      </c>
      <c r="E131" s="55" t="s">
        <v>1300</v>
      </c>
      <c r="F131" s="51">
        <v>129</v>
      </c>
      <c r="G131"/>
      <c r="H131" s="53"/>
      <c r="S131" s="17"/>
      <c r="T131" s="16"/>
      <c r="Y131"/>
    </row>
    <row r="132" spans="1:25">
      <c r="A132" s="1">
        <v>130</v>
      </c>
      <c r="B132" t="s">
        <v>227</v>
      </c>
      <c r="C132" s="61" t="s">
        <v>1115</v>
      </c>
      <c r="D132" s="58">
        <v>130</v>
      </c>
      <c r="E132" s="56" t="s">
        <v>1301</v>
      </c>
      <c r="F132" s="50">
        <v>130</v>
      </c>
      <c r="G132"/>
      <c r="H132" s="53"/>
      <c r="S132" s="17"/>
      <c r="T132" s="16"/>
      <c r="Y132"/>
    </row>
    <row r="133" spans="1:25">
      <c r="A133" s="1">
        <v>131</v>
      </c>
      <c r="B133" t="s">
        <v>228</v>
      </c>
      <c r="C133" s="61" t="s">
        <v>1116</v>
      </c>
      <c r="D133" s="59">
        <v>131</v>
      </c>
      <c r="E133" s="55" t="s">
        <v>1302</v>
      </c>
      <c r="F133" s="51">
        <v>131</v>
      </c>
      <c r="G133"/>
      <c r="H133" s="53"/>
      <c r="S133" s="17"/>
      <c r="T133" s="16"/>
      <c r="Y133"/>
    </row>
    <row r="134" spans="1:25">
      <c r="A134" s="1">
        <v>132</v>
      </c>
      <c r="B134" t="s">
        <v>229</v>
      </c>
      <c r="C134" s="61" t="s">
        <v>1117</v>
      </c>
      <c r="D134" s="58">
        <v>132</v>
      </c>
      <c r="E134" s="56" t="s">
        <v>1303</v>
      </c>
      <c r="F134" s="50">
        <v>132</v>
      </c>
      <c r="G134"/>
      <c r="H134" s="53"/>
      <c r="S134" s="17"/>
      <c r="T134" s="16"/>
      <c r="Y134"/>
    </row>
    <row r="135" spans="1:25">
      <c r="A135" s="1">
        <v>133</v>
      </c>
      <c r="B135" t="s">
        <v>230</v>
      </c>
      <c r="C135" s="61" t="s">
        <v>1118</v>
      </c>
      <c r="D135" s="59">
        <v>133</v>
      </c>
      <c r="E135" s="55" t="s">
        <v>1304</v>
      </c>
      <c r="F135" s="51">
        <v>133</v>
      </c>
      <c r="G135"/>
      <c r="H135" s="53"/>
      <c r="S135" s="17"/>
      <c r="T135" s="16"/>
      <c r="Y135"/>
    </row>
    <row r="136" spans="1:25">
      <c r="A136" s="1">
        <v>134</v>
      </c>
      <c r="B136" t="s">
        <v>231</v>
      </c>
      <c r="C136" s="61" t="s">
        <v>1119</v>
      </c>
      <c r="D136" s="58">
        <v>134</v>
      </c>
      <c r="E136" s="56" t="s">
        <v>1305</v>
      </c>
      <c r="F136" s="50">
        <v>134</v>
      </c>
      <c r="G136"/>
      <c r="H136" s="53"/>
      <c r="S136" s="17"/>
      <c r="T136" s="16"/>
      <c r="Y136"/>
    </row>
    <row r="137" spans="1:25">
      <c r="A137" s="1">
        <v>135</v>
      </c>
      <c r="B137" t="s">
        <v>232</v>
      </c>
      <c r="C137" s="61" t="s">
        <v>1120</v>
      </c>
      <c r="D137" s="59">
        <v>135</v>
      </c>
      <c r="E137" s="55" t="s">
        <v>1306</v>
      </c>
      <c r="F137" s="51">
        <v>135</v>
      </c>
      <c r="G137"/>
      <c r="H137" s="53"/>
      <c r="S137" s="17"/>
      <c r="T137" s="16"/>
      <c r="Y137"/>
    </row>
    <row r="138" spans="1:25">
      <c r="A138" s="1">
        <v>136</v>
      </c>
      <c r="B138" t="s">
        <v>233</v>
      </c>
      <c r="C138" s="61" t="s">
        <v>1121</v>
      </c>
      <c r="D138" s="58">
        <v>136</v>
      </c>
      <c r="E138" s="56" t="s">
        <v>1307</v>
      </c>
      <c r="F138" s="50">
        <v>136</v>
      </c>
      <c r="G138"/>
      <c r="H138" s="53"/>
      <c r="S138" s="17"/>
      <c r="T138" s="16"/>
      <c r="Y138"/>
    </row>
    <row r="139" spans="1:25">
      <c r="A139" s="1">
        <v>137</v>
      </c>
      <c r="B139" t="s">
        <v>234</v>
      </c>
      <c r="C139" s="61" t="s">
        <v>1122</v>
      </c>
      <c r="D139" s="59">
        <v>137</v>
      </c>
      <c r="E139" s="55" t="s">
        <v>1308</v>
      </c>
      <c r="F139" s="51">
        <v>137</v>
      </c>
      <c r="G139"/>
      <c r="H139" s="53"/>
      <c r="S139" s="17"/>
      <c r="T139" s="16"/>
      <c r="Y139"/>
    </row>
    <row r="140" spans="1:25">
      <c r="A140" s="1">
        <v>138</v>
      </c>
      <c r="B140" t="s">
        <v>235</v>
      </c>
      <c r="C140" s="61" t="s">
        <v>1123</v>
      </c>
      <c r="D140" s="58">
        <v>138</v>
      </c>
      <c r="E140" s="56" t="s">
        <v>1309</v>
      </c>
      <c r="F140" s="50">
        <v>138</v>
      </c>
      <c r="G140"/>
      <c r="H140" s="53"/>
      <c r="S140" s="17"/>
      <c r="T140" s="16"/>
      <c r="Y140"/>
    </row>
    <row r="141" spans="1:25">
      <c r="A141" s="1">
        <v>139</v>
      </c>
      <c r="B141" t="s">
        <v>236</v>
      </c>
      <c r="C141" s="61" t="s">
        <v>1124</v>
      </c>
      <c r="D141" s="59">
        <v>139</v>
      </c>
      <c r="E141" s="55" t="s">
        <v>1357</v>
      </c>
      <c r="F141" s="51">
        <v>139</v>
      </c>
      <c r="G141"/>
      <c r="H141" s="53"/>
      <c r="S141" s="17"/>
      <c r="T141" s="16"/>
      <c r="Y141"/>
    </row>
    <row r="142" spans="1:25">
      <c r="A142" s="1">
        <v>140</v>
      </c>
      <c r="B142" t="s">
        <v>237</v>
      </c>
      <c r="C142" s="61" t="s">
        <v>1125</v>
      </c>
      <c r="D142" s="58">
        <v>140</v>
      </c>
      <c r="E142" s="56" t="s">
        <v>237</v>
      </c>
      <c r="F142" s="50">
        <v>140</v>
      </c>
      <c r="G142"/>
      <c r="H142" s="53"/>
      <c r="S142" s="17"/>
      <c r="T142" s="16"/>
      <c r="Y142"/>
    </row>
    <row r="143" spans="1:25">
      <c r="A143" s="1">
        <v>141</v>
      </c>
      <c r="B143" t="s">
        <v>238</v>
      </c>
      <c r="C143" s="61" t="s">
        <v>1126</v>
      </c>
      <c r="D143" s="59">
        <v>141</v>
      </c>
      <c r="E143" s="55" t="s">
        <v>947</v>
      </c>
      <c r="F143" s="51">
        <v>141</v>
      </c>
      <c r="G143"/>
      <c r="H143" s="53"/>
      <c r="S143" s="17"/>
      <c r="T143" s="16"/>
      <c r="Y143"/>
    </row>
    <row r="144" spans="1:25">
      <c r="A144" s="1">
        <v>142</v>
      </c>
      <c r="B144" t="s">
        <v>239</v>
      </c>
      <c r="C144" s="61" t="s">
        <v>1127</v>
      </c>
      <c r="D144" s="58">
        <v>142</v>
      </c>
      <c r="E144" s="56" t="s">
        <v>239</v>
      </c>
      <c r="F144" s="50">
        <v>142</v>
      </c>
      <c r="G144"/>
      <c r="H144" s="53"/>
      <c r="S144" s="17"/>
      <c r="T144" s="16"/>
      <c r="Y144"/>
    </row>
    <row r="145" spans="1:25">
      <c r="A145" s="1">
        <v>143</v>
      </c>
      <c r="B145" t="s">
        <v>240</v>
      </c>
      <c r="C145" s="61" t="s">
        <v>1128</v>
      </c>
      <c r="D145" s="59">
        <v>143</v>
      </c>
      <c r="E145" s="55" t="s">
        <v>1362</v>
      </c>
      <c r="F145" s="51">
        <v>143</v>
      </c>
      <c r="G145"/>
      <c r="H145" s="53"/>
      <c r="S145" s="17"/>
      <c r="T145" s="16"/>
      <c r="Y145"/>
    </row>
    <row r="146" spans="1:25">
      <c r="A146" s="1">
        <v>144</v>
      </c>
      <c r="B146" t="s">
        <v>241</v>
      </c>
      <c r="C146" s="61" t="s">
        <v>1129</v>
      </c>
      <c r="D146" s="58">
        <v>144</v>
      </c>
      <c r="E146" s="56" t="s">
        <v>1363</v>
      </c>
      <c r="F146" s="50">
        <v>144</v>
      </c>
      <c r="G146"/>
      <c r="H146" s="53"/>
      <c r="S146" s="17"/>
      <c r="T146" s="16"/>
      <c r="Y146"/>
    </row>
    <row r="147" spans="1:25">
      <c r="A147" s="1">
        <v>145</v>
      </c>
      <c r="B147" t="s">
        <v>242</v>
      </c>
      <c r="C147" s="61" t="s">
        <v>1130</v>
      </c>
      <c r="D147" s="59">
        <v>145</v>
      </c>
      <c r="E147" s="55" t="s">
        <v>1364</v>
      </c>
      <c r="F147" s="51">
        <v>145</v>
      </c>
      <c r="G147"/>
      <c r="H147" s="53"/>
      <c r="S147" s="17"/>
      <c r="T147" s="16"/>
      <c r="Y147"/>
    </row>
    <row r="148" spans="1:25">
      <c r="A148" s="1">
        <v>146</v>
      </c>
      <c r="B148" t="s">
        <v>243</v>
      </c>
      <c r="C148" s="61" t="s">
        <v>1131</v>
      </c>
      <c r="D148" s="58">
        <v>146</v>
      </c>
      <c r="E148" s="56" t="s">
        <v>1365</v>
      </c>
      <c r="F148" s="50">
        <v>146</v>
      </c>
      <c r="G148"/>
      <c r="H148" s="53"/>
      <c r="S148" s="17"/>
      <c r="T148" s="16"/>
      <c r="Y148"/>
    </row>
    <row r="149" spans="1:25">
      <c r="A149" s="1">
        <v>147</v>
      </c>
      <c r="B149" t="s">
        <v>244</v>
      </c>
      <c r="C149" s="61" t="s">
        <v>1132</v>
      </c>
      <c r="D149" s="59">
        <v>147</v>
      </c>
      <c r="E149" s="55" t="s">
        <v>244</v>
      </c>
      <c r="F149" s="51">
        <v>147</v>
      </c>
      <c r="G149"/>
      <c r="H149" s="53"/>
      <c r="S149" s="17"/>
      <c r="T149" s="16"/>
      <c r="Y149"/>
    </row>
    <row r="150" spans="1:25">
      <c r="A150" s="1">
        <v>148</v>
      </c>
      <c r="B150" t="s">
        <v>245</v>
      </c>
      <c r="C150" s="61" t="s">
        <v>1133</v>
      </c>
      <c r="D150" s="58">
        <v>148</v>
      </c>
      <c r="E150" s="56" t="s">
        <v>245</v>
      </c>
      <c r="F150" s="50">
        <v>148</v>
      </c>
      <c r="G150"/>
      <c r="H150" s="53"/>
      <c r="S150" s="17"/>
      <c r="T150" s="16"/>
      <c r="Y150"/>
    </row>
    <row r="151" spans="1:25">
      <c r="A151" s="1">
        <v>149</v>
      </c>
      <c r="B151" t="s">
        <v>246</v>
      </c>
      <c r="C151" s="61" t="s">
        <v>1134</v>
      </c>
      <c r="D151" s="59">
        <v>149</v>
      </c>
      <c r="E151" s="55" t="s">
        <v>1358</v>
      </c>
      <c r="F151" s="51">
        <v>149</v>
      </c>
      <c r="G151"/>
      <c r="H151" s="53"/>
      <c r="S151" s="17"/>
      <c r="T151" s="16"/>
      <c r="Y151"/>
    </row>
    <row r="152" spans="1:25">
      <c r="A152" s="1">
        <v>150</v>
      </c>
      <c r="B152" t="s">
        <v>247</v>
      </c>
      <c r="C152" s="61" t="s">
        <v>1135</v>
      </c>
      <c r="D152" s="58">
        <v>150</v>
      </c>
      <c r="E152" s="56" t="s">
        <v>1359</v>
      </c>
      <c r="F152" s="50">
        <v>150</v>
      </c>
      <c r="G152"/>
      <c r="H152" s="53"/>
      <c r="S152" s="17"/>
      <c r="T152" s="16"/>
      <c r="Y152"/>
    </row>
    <row r="153" spans="1:25">
      <c r="A153" s="1">
        <v>151</v>
      </c>
      <c r="B153" t="s">
        <v>248</v>
      </c>
      <c r="C153" s="61" t="s">
        <v>1136</v>
      </c>
      <c r="D153" s="59">
        <v>151</v>
      </c>
      <c r="E153" s="55" t="s">
        <v>1360</v>
      </c>
      <c r="F153" s="51">
        <v>151</v>
      </c>
      <c r="G153"/>
      <c r="H153" s="53"/>
      <c r="S153" s="17"/>
      <c r="T153" s="16"/>
      <c r="Y153"/>
    </row>
    <row r="154" spans="1:25">
      <c r="A154" s="1">
        <v>152</v>
      </c>
      <c r="B154" t="s">
        <v>249</v>
      </c>
      <c r="C154" s="61" t="s">
        <v>1137</v>
      </c>
      <c r="D154" s="58">
        <v>152</v>
      </c>
      <c r="E154" s="56" t="s">
        <v>1361</v>
      </c>
      <c r="F154" s="50">
        <v>152</v>
      </c>
      <c r="G154"/>
      <c r="H154" s="53"/>
      <c r="S154" s="17"/>
      <c r="T154" s="16"/>
      <c r="Y154"/>
    </row>
    <row r="155" spans="1:25">
      <c r="A155" s="1">
        <v>153</v>
      </c>
      <c r="B155" t="s">
        <v>250</v>
      </c>
      <c r="C155" s="61" t="s">
        <v>1138</v>
      </c>
      <c r="D155" s="59">
        <v>153</v>
      </c>
      <c r="E155" s="55" t="s">
        <v>948</v>
      </c>
      <c r="F155" s="51">
        <v>153</v>
      </c>
      <c r="G155"/>
      <c r="H155" s="53"/>
      <c r="S155" s="17"/>
      <c r="T155" s="16"/>
      <c r="Y155"/>
    </row>
    <row r="156" spans="1:25">
      <c r="A156" s="1">
        <v>154</v>
      </c>
      <c r="B156" t="s">
        <v>251</v>
      </c>
      <c r="C156" s="61" t="s">
        <v>1139</v>
      </c>
      <c r="D156" s="58">
        <v>154</v>
      </c>
      <c r="E156" s="56" t="s">
        <v>949</v>
      </c>
      <c r="F156" s="50">
        <v>154</v>
      </c>
      <c r="G156"/>
      <c r="H156" s="53"/>
      <c r="S156" s="17"/>
      <c r="T156" s="16"/>
      <c r="Y156"/>
    </row>
    <row r="157" spans="1:25">
      <c r="A157" s="1">
        <v>155</v>
      </c>
      <c r="B157" t="s">
        <v>252</v>
      </c>
      <c r="C157" s="61" t="s">
        <v>1140</v>
      </c>
      <c r="D157" s="59">
        <v>155</v>
      </c>
      <c r="E157" s="55" t="s">
        <v>252</v>
      </c>
      <c r="F157" s="51">
        <v>155</v>
      </c>
      <c r="G157"/>
      <c r="H157" s="53"/>
      <c r="S157" s="17"/>
      <c r="T157" s="16"/>
      <c r="Y157"/>
    </row>
    <row r="158" spans="1:25">
      <c r="A158" s="1">
        <v>156</v>
      </c>
      <c r="B158" t="s">
        <v>253</v>
      </c>
      <c r="C158" s="61" t="s">
        <v>1141</v>
      </c>
      <c r="D158" s="58">
        <v>156</v>
      </c>
      <c r="E158" s="56" t="s">
        <v>950</v>
      </c>
      <c r="F158" s="50">
        <v>156</v>
      </c>
      <c r="G158"/>
      <c r="H158" s="53"/>
      <c r="S158" s="17"/>
      <c r="T158" s="16"/>
      <c r="Y158"/>
    </row>
    <row r="159" spans="1:25">
      <c r="A159" s="1">
        <v>157</v>
      </c>
      <c r="B159" t="s">
        <v>254</v>
      </c>
      <c r="C159" s="61" t="s">
        <v>1142</v>
      </c>
      <c r="D159" s="59">
        <v>157</v>
      </c>
      <c r="E159" s="55" t="s">
        <v>951</v>
      </c>
      <c r="F159" s="51">
        <v>157</v>
      </c>
      <c r="G159"/>
      <c r="H159" s="53"/>
      <c r="S159" s="17"/>
      <c r="T159" s="16"/>
      <c r="Y159"/>
    </row>
    <row r="160" spans="1:25">
      <c r="A160" s="1">
        <v>158</v>
      </c>
      <c r="B160" t="s">
        <v>255</v>
      </c>
      <c r="C160" s="61" t="s">
        <v>1143</v>
      </c>
      <c r="D160" s="58">
        <v>158</v>
      </c>
      <c r="E160" s="56" t="s">
        <v>255</v>
      </c>
      <c r="F160" s="50">
        <v>158</v>
      </c>
      <c r="G160"/>
      <c r="H160" s="53"/>
      <c r="S160" s="17"/>
      <c r="T160" s="16"/>
      <c r="Y160"/>
    </row>
    <row r="161" spans="1:25">
      <c r="A161" s="1">
        <v>159</v>
      </c>
      <c r="B161" t="s">
        <v>256</v>
      </c>
      <c r="C161" s="61" t="s">
        <v>1144</v>
      </c>
      <c r="D161" s="59">
        <v>159</v>
      </c>
      <c r="E161" s="55" t="s">
        <v>256</v>
      </c>
      <c r="F161" s="51">
        <v>159</v>
      </c>
      <c r="G161"/>
      <c r="H161" s="53"/>
      <c r="S161" s="17"/>
      <c r="T161" s="16"/>
      <c r="Y161"/>
    </row>
    <row r="162" spans="1:25">
      <c r="A162" s="1">
        <v>160</v>
      </c>
      <c r="B162" t="s">
        <v>257</v>
      </c>
      <c r="C162" s="61" t="s">
        <v>1145</v>
      </c>
      <c r="D162" s="58">
        <v>160</v>
      </c>
      <c r="E162" s="56" t="s">
        <v>952</v>
      </c>
      <c r="F162" s="50">
        <v>160</v>
      </c>
      <c r="G162"/>
      <c r="H162" s="53"/>
      <c r="S162" s="17"/>
      <c r="T162" s="16"/>
      <c r="Y162"/>
    </row>
    <row r="163" spans="1:25">
      <c r="A163" s="1">
        <v>161</v>
      </c>
      <c r="B163" t="s">
        <v>258</v>
      </c>
      <c r="C163" s="61" t="s">
        <v>1146</v>
      </c>
      <c r="D163" s="59">
        <v>161</v>
      </c>
      <c r="E163" s="55" t="s">
        <v>258</v>
      </c>
      <c r="F163" s="51">
        <v>161</v>
      </c>
      <c r="G163"/>
      <c r="H163" s="53"/>
      <c r="S163" s="17"/>
      <c r="T163" s="16"/>
      <c r="Y163"/>
    </row>
    <row r="164" spans="1:25">
      <c r="A164" s="1">
        <v>162</v>
      </c>
      <c r="B164" t="s">
        <v>259</v>
      </c>
      <c r="C164" s="61" t="s">
        <v>1147</v>
      </c>
      <c r="D164" s="58">
        <v>162</v>
      </c>
      <c r="E164" s="56" t="s">
        <v>259</v>
      </c>
      <c r="F164" s="50">
        <v>162</v>
      </c>
      <c r="G164"/>
      <c r="H164" s="53"/>
      <c r="S164" s="17"/>
      <c r="T164" s="16"/>
      <c r="Y164"/>
    </row>
    <row r="165" spans="1:25">
      <c r="A165" s="1">
        <v>163</v>
      </c>
      <c r="B165" t="s">
        <v>260</v>
      </c>
      <c r="C165" s="61" t="s">
        <v>1148</v>
      </c>
      <c r="D165" s="59">
        <v>163</v>
      </c>
      <c r="E165" s="55" t="s">
        <v>953</v>
      </c>
      <c r="F165" s="51">
        <v>163</v>
      </c>
      <c r="G165"/>
      <c r="H165" s="53"/>
      <c r="S165" s="17"/>
      <c r="T165" s="16"/>
      <c r="Y165"/>
    </row>
    <row r="166" spans="1:25">
      <c r="A166" s="1">
        <v>164</v>
      </c>
      <c r="B166" t="s">
        <v>903</v>
      </c>
      <c r="C166" s="61" t="s">
        <v>1149</v>
      </c>
      <c r="D166" s="58">
        <v>164</v>
      </c>
      <c r="E166" s="56" t="s">
        <v>933</v>
      </c>
      <c r="F166" s="50">
        <v>164</v>
      </c>
      <c r="G166"/>
      <c r="H166" s="53"/>
      <c r="S166" s="17"/>
      <c r="T166" s="16"/>
      <c r="Y166"/>
    </row>
    <row r="167" spans="1:25">
      <c r="A167" s="1">
        <v>165</v>
      </c>
      <c r="B167" t="s">
        <v>904</v>
      </c>
      <c r="C167" s="61" t="s">
        <v>1150</v>
      </c>
      <c r="D167" s="59">
        <v>165</v>
      </c>
      <c r="E167" s="55" t="s">
        <v>1366</v>
      </c>
      <c r="F167" s="51">
        <v>165</v>
      </c>
      <c r="G167"/>
      <c r="H167" s="53"/>
      <c r="S167" s="17"/>
      <c r="T167" s="16"/>
      <c r="Y167"/>
    </row>
    <row r="168" spans="1:25">
      <c r="A168" s="1">
        <v>166</v>
      </c>
      <c r="B168" t="s">
        <v>905</v>
      </c>
      <c r="C168" s="61" t="s">
        <v>1151</v>
      </c>
      <c r="D168" s="58">
        <v>166</v>
      </c>
      <c r="E168" s="56" t="s">
        <v>1367</v>
      </c>
      <c r="F168" s="50">
        <v>166</v>
      </c>
      <c r="G168"/>
      <c r="H168" s="53"/>
      <c r="S168" s="17"/>
      <c r="T168" s="16"/>
      <c r="Y168"/>
    </row>
    <row r="169" spans="1:25">
      <c r="A169" s="1">
        <v>167</v>
      </c>
      <c r="B169" t="s">
        <v>906</v>
      </c>
      <c r="C169" s="61" t="s">
        <v>1152</v>
      </c>
      <c r="D169" s="59">
        <v>167</v>
      </c>
      <c r="E169" s="55" t="s">
        <v>1368</v>
      </c>
      <c r="F169" s="51">
        <v>167</v>
      </c>
      <c r="G169"/>
      <c r="H169" s="53"/>
      <c r="S169" s="17"/>
      <c r="T169" s="16"/>
      <c r="Y169"/>
    </row>
    <row r="170" spans="1:25">
      <c r="A170" s="1">
        <v>168</v>
      </c>
      <c r="B170" t="s">
        <v>907</v>
      </c>
      <c r="C170" s="61" t="s">
        <v>1153</v>
      </c>
      <c r="D170" s="58">
        <v>168</v>
      </c>
      <c r="E170" s="56" t="s">
        <v>907</v>
      </c>
      <c r="F170" s="50">
        <v>168</v>
      </c>
      <c r="G170"/>
      <c r="H170" s="53"/>
      <c r="S170" s="17"/>
      <c r="T170" s="16"/>
      <c r="Y170"/>
    </row>
    <row r="171" spans="1:25">
      <c r="A171" s="1">
        <v>169</v>
      </c>
      <c r="B171" t="s">
        <v>261</v>
      </c>
      <c r="C171" s="61" t="s">
        <v>1154</v>
      </c>
      <c r="D171" s="59">
        <v>169</v>
      </c>
      <c r="E171" s="55" t="s">
        <v>1369</v>
      </c>
      <c r="F171" s="51">
        <v>169</v>
      </c>
      <c r="G171"/>
      <c r="H171" s="53"/>
      <c r="S171" s="17"/>
      <c r="T171" s="16"/>
      <c r="Y171"/>
    </row>
    <row r="172" spans="1:25">
      <c r="A172" s="1">
        <v>170</v>
      </c>
      <c r="B172" t="s">
        <v>262</v>
      </c>
      <c r="C172" s="61" t="s">
        <v>1155</v>
      </c>
      <c r="D172" s="58">
        <v>170</v>
      </c>
      <c r="E172" s="56" t="s">
        <v>262</v>
      </c>
      <c r="F172" s="50">
        <v>170</v>
      </c>
      <c r="G172"/>
      <c r="H172" s="53"/>
      <c r="S172" s="17"/>
      <c r="T172" s="16"/>
      <c r="Y172"/>
    </row>
    <row r="173" spans="1:25">
      <c r="A173" s="1">
        <v>171</v>
      </c>
      <c r="B173" t="s">
        <v>263</v>
      </c>
      <c r="C173" s="61" t="s">
        <v>1156</v>
      </c>
      <c r="D173" s="59">
        <v>171</v>
      </c>
      <c r="E173" s="55" t="s">
        <v>1370</v>
      </c>
      <c r="F173" s="51">
        <v>171</v>
      </c>
      <c r="G173"/>
      <c r="H173" s="53"/>
      <c r="S173" s="17"/>
      <c r="T173" s="16"/>
      <c r="Y173"/>
    </row>
    <row r="174" spans="1:25">
      <c r="A174" s="1">
        <v>172</v>
      </c>
      <c r="B174" t="s">
        <v>264</v>
      </c>
      <c r="C174" s="61" t="s">
        <v>1157</v>
      </c>
      <c r="D174" s="58">
        <v>172</v>
      </c>
      <c r="E174" s="56" t="s">
        <v>954</v>
      </c>
      <c r="F174" s="50">
        <v>172</v>
      </c>
      <c r="G174"/>
      <c r="H174" s="53"/>
      <c r="S174" s="17"/>
      <c r="T174" s="16"/>
      <c r="Y174"/>
    </row>
    <row r="175" spans="1:25">
      <c r="A175" s="1">
        <v>173</v>
      </c>
      <c r="B175" t="s">
        <v>265</v>
      </c>
      <c r="C175" s="61" t="s">
        <v>1158</v>
      </c>
      <c r="D175" s="59">
        <v>173</v>
      </c>
      <c r="E175" s="55" t="s">
        <v>265</v>
      </c>
      <c r="F175" s="51">
        <v>173</v>
      </c>
      <c r="G175"/>
      <c r="H175" s="53"/>
      <c r="S175" s="17"/>
      <c r="T175" s="16"/>
      <c r="Y175"/>
    </row>
    <row r="176" spans="1:25">
      <c r="A176" s="1">
        <v>174</v>
      </c>
      <c r="B176" t="s">
        <v>266</v>
      </c>
      <c r="C176" s="61" t="s">
        <v>1159</v>
      </c>
      <c r="D176" s="58">
        <v>174</v>
      </c>
      <c r="E176" s="56" t="s">
        <v>955</v>
      </c>
      <c r="F176" s="50">
        <v>174</v>
      </c>
      <c r="G176"/>
      <c r="H176" s="53"/>
      <c r="S176" s="17"/>
      <c r="T176" s="16"/>
      <c r="Y176"/>
    </row>
    <row r="177" spans="1:25">
      <c r="A177" s="1">
        <v>175</v>
      </c>
      <c r="B177" t="s">
        <v>267</v>
      </c>
      <c r="C177" s="61" t="s">
        <v>1160</v>
      </c>
      <c r="D177" s="59">
        <v>175</v>
      </c>
      <c r="E177" s="55" t="s">
        <v>267</v>
      </c>
      <c r="F177" s="51">
        <v>175</v>
      </c>
      <c r="G177"/>
      <c r="H177" s="53"/>
      <c r="S177" s="17"/>
      <c r="T177" s="16"/>
      <c r="Y177"/>
    </row>
    <row r="178" spans="1:25">
      <c r="A178" s="1">
        <v>176</v>
      </c>
      <c r="B178" t="s">
        <v>268</v>
      </c>
      <c r="C178" s="61" t="s">
        <v>1161</v>
      </c>
      <c r="D178" s="58">
        <v>176</v>
      </c>
      <c r="E178" s="56" t="s">
        <v>268</v>
      </c>
      <c r="F178" s="50">
        <v>176</v>
      </c>
      <c r="G178"/>
      <c r="H178" s="53"/>
      <c r="S178" s="17"/>
      <c r="T178" s="16"/>
      <c r="Y178"/>
    </row>
    <row r="179" spans="1:25">
      <c r="A179" s="1">
        <v>177</v>
      </c>
      <c r="B179" t="s">
        <v>269</v>
      </c>
      <c r="C179" s="61" t="s">
        <v>1162</v>
      </c>
      <c r="D179" s="59">
        <v>177</v>
      </c>
      <c r="E179" s="55" t="s">
        <v>269</v>
      </c>
      <c r="F179" s="51">
        <v>177</v>
      </c>
      <c r="G179"/>
      <c r="H179" s="53"/>
      <c r="S179" s="17"/>
      <c r="T179" s="16"/>
      <c r="Y179"/>
    </row>
    <row r="180" spans="1:25">
      <c r="A180" s="1">
        <v>178</v>
      </c>
      <c r="B180" t="s">
        <v>270</v>
      </c>
      <c r="C180" s="61" t="s">
        <v>1163</v>
      </c>
      <c r="D180" s="58">
        <v>178</v>
      </c>
      <c r="E180" s="56" t="s">
        <v>956</v>
      </c>
      <c r="F180" s="50">
        <v>178</v>
      </c>
      <c r="G180"/>
      <c r="H180" s="53"/>
      <c r="S180" s="17"/>
      <c r="T180" s="16"/>
      <c r="Y180"/>
    </row>
    <row r="181" spans="1:25">
      <c r="A181" s="1">
        <v>179</v>
      </c>
      <c r="B181" t="s">
        <v>271</v>
      </c>
      <c r="C181" s="61" t="s">
        <v>1164</v>
      </c>
      <c r="D181" s="59">
        <v>179</v>
      </c>
      <c r="E181" s="55" t="s">
        <v>957</v>
      </c>
      <c r="F181" s="51">
        <v>179</v>
      </c>
      <c r="G181"/>
      <c r="H181" s="53"/>
      <c r="S181" s="17"/>
      <c r="T181" s="16"/>
      <c r="Y181"/>
    </row>
    <row r="182" spans="1:25">
      <c r="A182" s="1">
        <v>180</v>
      </c>
      <c r="B182" t="s">
        <v>272</v>
      </c>
      <c r="C182" s="61" t="s">
        <v>1165</v>
      </c>
      <c r="D182" s="58">
        <v>180</v>
      </c>
      <c r="E182" s="56" t="s">
        <v>958</v>
      </c>
      <c r="F182" s="50">
        <v>180</v>
      </c>
      <c r="G182"/>
      <c r="H182" s="53"/>
      <c r="S182" s="17"/>
      <c r="T182" s="16"/>
      <c r="Y182"/>
    </row>
    <row r="183" spans="1:25">
      <c r="A183" s="1">
        <v>181</v>
      </c>
      <c r="B183" t="s">
        <v>273</v>
      </c>
      <c r="C183" s="61" t="s">
        <v>1166</v>
      </c>
      <c r="D183" s="59">
        <v>181</v>
      </c>
      <c r="E183" s="55" t="s">
        <v>959</v>
      </c>
      <c r="F183" s="51">
        <v>181</v>
      </c>
      <c r="G183"/>
      <c r="H183" s="53"/>
      <c r="S183" s="17"/>
      <c r="T183" s="16"/>
      <c r="Y183"/>
    </row>
    <row r="184" spans="1:25">
      <c r="A184" s="1">
        <v>182</v>
      </c>
      <c r="B184" t="s">
        <v>274</v>
      </c>
      <c r="C184" s="61" t="s">
        <v>1167</v>
      </c>
      <c r="D184" s="58">
        <v>182</v>
      </c>
      <c r="E184" s="56" t="s">
        <v>274</v>
      </c>
      <c r="F184" s="50">
        <v>182</v>
      </c>
      <c r="G184"/>
      <c r="H184" s="53"/>
      <c r="S184" s="17"/>
      <c r="T184" s="16"/>
      <c r="Y184"/>
    </row>
    <row r="185" spans="1:25">
      <c r="A185" s="1">
        <v>183</v>
      </c>
      <c r="B185" t="s">
        <v>275</v>
      </c>
      <c r="C185" s="61" t="s">
        <v>1168</v>
      </c>
      <c r="D185" s="59">
        <v>183</v>
      </c>
      <c r="E185" s="55" t="s">
        <v>960</v>
      </c>
      <c r="F185" s="51">
        <v>183</v>
      </c>
      <c r="G185"/>
      <c r="H185" s="53"/>
      <c r="S185" s="17"/>
      <c r="T185" s="16"/>
      <c r="Y185"/>
    </row>
    <row r="186" spans="1:25">
      <c r="A186" s="1">
        <v>184</v>
      </c>
      <c r="B186" t="s">
        <v>276</v>
      </c>
      <c r="C186" s="61" t="s">
        <v>1169</v>
      </c>
      <c r="D186" s="58">
        <v>184</v>
      </c>
      <c r="E186" s="56" t="s">
        <v>276</v>
      </c>
      <c r="F186" s="50">
        <v>184</v>
      </c>
      <c r="G186"/>
      <c r="H186" s="53"/>
      <c r="S186" s="17"/>
      <c r="T186" s="16"/>
      <c r="Y186"/>
    </row>
    <row r="187" spans="1:25">
      <c r="A187" s="1">
        <v>185</v>
      </c>
      <c r="B187" t="s">
        <v>277</v>
      </c>
      <c r="C187" s="61" t="s">
        <v>1170</v>
      </c>
      <c r="D187" s="59">
        <v>185</v>
      </c>
      <c r="E187" s="55" t="s">
        <v>961</v>
      </c>
      <c r="F187" s="51">
        <v>185</v>
      </c>
      <c r="G187"/>
      <c r="H187" s="53"/>
      <c r="S187" s="17"/>
      <c r="T187" s="16"/>
      <c r="Y187"/>
    </row>
    <row r="188" spans="1:25">
      <c r="A188" s="1">
        <v>186</v>
      </c>
      <c r="B188" t="s">
        <v>278</v>
      </c>
      <c r="C188" s="61" t="s">
        <v>1171</v>
      </c>
      <c r="D188" s="58">
        <v>186</v>
      </c>
      <c r="E188" s="56" t="s">
        <v>1371</v>
      </c>
      <c r="F188" s="50">
        <v>186</v>
      </c>
      <c r="G188"/>
      <c r="H188" s="53"/>
      <c r="S188" s="17"/>
      <c r="T188" s="16"/>
      <c r="Y188"/>
    </row>
    <row r="189" spans="1:25">
      <c r="A189" s="1">
        <v>187</v>
      </c>
      <c r="B189" t="s">
        <v>279</v>
      </c>
      <c r="C189" s="61" t="s">
        <v>1172</v>
      </c>
      <c r="D189" s="59">
        <v>187</v>
      </c>
      <c r="E189" s="55" t="s">
        <v>1372</v>
      </c>
      <c r="F189" s="51">
        <v>187</v>
      </c>
      <c r="G189"/>
      <c r="H189" s="53"/>
      <c r="S189" s="17"/>
      <c r="T189" s="16"/>
      <c r="Y189"/>
    </row>
    <row r="190" spans="1:25">
      <c r="A190" s="1">
        <v>188</v>
      </c>
      <c r="B190" t="s">
        <v>280</v>
      </c>
      <c r="C190" s="61" t="s">
        <v>1173</v>
      </c>
      <c r="D190" s="58">
        <v>188</v>
      </c>
      <c r="E190" s="56" t="s">
        <v>1373</v>
      </c>
      <c r="F190" s="50">
        <v>188</v>
      </c>
      <c r="G190"/>
      <c r="H190" s="53"/>
      <c r="S190" s="17"/>
      <c r="T190" s="16"/>
      <c r="Y190"/>
    </row>
    <row r="191" spans="1:25">
      <c r="A191" s="1">
        <v>189</v>
      </c>
      <c r="B191" t="s">
        <v>281</v>
      </c>
      <c r="C191" s="61" t="s">
        <v>1174</v>
      </c>
      <c r="D191" s="59">
        <v>189</v>
      </c>
      <c r="E191" s="55" t="s">
        <v>962</v>
      </c>
      <c r="F191" s="51">
        <v>189</v>
      </c>
      <c r="G191"/>
      <c r="H191" s="53"/>
      <c r="S191" s="17"/>
      <c r="T191" s="16"/>
      <c r="Y191"/>
    </row>
    <row r="192" spans="1:25">
      <c r="A192" s="1">
        <v>190</v>
      </c>
      <c r="B192" t="s">
        <v>282</v>
      </c>
      <c r="C192" s="61" t="s">
        <v>1175</v>
      </c>
      <c r="D192" s="58">
        <v>190</v>
      </c>
      <c r="E192" s="56" t="s">
        <v>282</v>
      </c>
      <c r="F192" s="50">
        <v>190</v>
      </c>
      <c r="G192"/>
      <c r="H192" s="53"/>
      <c r="S192" s="17"/>
      <c r="T192" s="16"/>
      <c r="Y192"/>
    </row>
    <row r="193" spans="1:25">
      <c r="A193" s="1">
        <v>191</v>
      </c>
      <c r="B193" t="s">
        <v>283</v>
      </c>
      <c r="C193" s="61" t="s">
        <v>1176</v>
      </c>
      <c r="D193" s="59">
        <v>191</v>
      </c>
      <c r="E193" s="55" t="s">
        <v>283</v>
      </c>
      <c r="F193" s="51">
        <v>191</v>
      </c>
      <c r="G193"/>
      <c r="H193" s="53"/>
      <c r="S193" s="17"/>
      <c r="T193" s="16"/>
      <c r="Y193"/>
    </row>
    <row r="194" spans="1:25">
      <c r="A194" s="1">
        <v>192</v>
      </c>
      <c r="B194" t="s">
        <v>284</v>
      </c>
      <c r="C194" s="61" t="s">
        <v>1177</v>
      </c>
      <c r="D194" s="58">
        <v>192</v>
      </c>
      <c r="E194" s="56" t="s">
        <v>1374</v>
      </c>
      <c r="F194" s="50">
        <v>192</v>
      </c>
      <c r="G194"/>
      <c r="H194" s="53"/>
      <c r="S194" s="17"/>
      <c r="T194" s="16"/>
      <c r="Y194"/>
    </row>
    <row r="195" spans="1:25">
      <c r="A195" s="1">
        <v>193</v>
      </c>
      <c r="B195" t="s">
        <v>285</v>
      </c>
      <c r="C195" s="61" t="s">
        <v>1178</v>
      </c>
      <c r="D195" s="59">
        <v>193</v>
      </c>
      <c r="E195" s="55" t="s">
        <v>285</v>
      </c>
      <c r="F195" s="51">
        <v>193</v>
      </c>
      <c r="G195"/>
      <c r="H195" s="53"/>
      <c r="S195" s="17"/>
      <c r="T195" s="16"/>
      <c r="Y195"/>
    </row>
    <row r="196" spans="1:25">
      <c r="A196" s="1">
        <v>194</v>
      </c>
      <c r="B196" t="s">
        <v>286</v>
      </c>
      <c r="C196" s="61" t="s">
        <v>1179</v>
      </c>
      <c r="D196" s="58">
        <v>194</v>
      </c>
      <c r="E196" s="56" t="s">
        <v>286</v>
      </c>
      <c r="F196" s="50">
        <v>194</v>
      </c>
      <c r="G196"/>
      <c r="H196" s="53"/>
      <c r="S196" s="17"/>
      <c r="T196" s="16"/>
      <c r="Y196"/>
    </row>
    <row r="197" spans="1:25">
      <c r="A197" s="1">
        <v>195</v>
      </c>
      <c r="B197" t="s">
        <v>287</v>
      </c>
      <c r="C197" s="61" t="s">
        <v>1180</v>
      </c>
      <c r="D197" s="59">
        <v>195</v>
      </c>
      <c r="E197" s="55" t="s">
        <v>1375</v>
      </c>
      <c r="F197" s="51">
        <v>195</v>
      </c>
      <c r="G197"/>
      <c r="H197" s="53"/>
      <c r="S197" s="17"/>
      <c r="T197" s="16"/>
      <c r="Y197"/>
    </row>
    <row r="198" spans="1:25">
      <c r="A198" s="1">
        <v>196</v>
      </c>
      <c r="B198" t="s">
        <v>288</v>
      </c>
      <c r="C198" s="61" t="s">
        <v>1181</v>
      </c>
      <c r="D198" s="58">
        <v>196</v>
      </c>
      <c r="E198" s="56" t="s">
        <v>1376</v>
      </c>
      <c r="F198" s="50">
        <v>196</v>
      </c>
      <c r="G198"/>
      <c r="H198" s="53"/>
      <c r="S198" s="17"/>
      <c r="T198" s="16"/>
      <c r="Y198"/>
    </row>
    <row r="199" spans="1:25">
      <c r="A199" s="1">
        <v>197</v>
      </c>
      <c r="B199" t="s">
        <v>289</v>
      </c>
      <c r="C199" s="61" t="s">
        <v>1182</v>
      </c>
      <c r="D199" s="59">
        <v>197</v>
      </c>
      <c r="E199" s="55" t="s">
        <v>1377</v>
      </c>
      <c r="F199" s="51">
        <v>197</v>
      </c>
      <c r="G199"/>
      <c r="H199" s="53"/>
      <c r="S199" s="17"/>
      <c r="T199" s="16"/>
      <c r="Y199"/>
    </row>
    <row r="200" spans="1:25">
      <c r="A200" s="1">
        <v>198</v>
      </c>
      <c r="B200" t="s">
        <v>290</v>
      </c>
      <c r="C200" s="61" t="s">
        <v>1183</v>
      </c>
      <c r="D200" s="58">
        <v>198</v>
      </c>
      <c r="E200" s="56" t="s">
        <v>1378</v>
      </c>
      <c r="F200" s="50">
        <v>198</v>
      </c>
      <c r="G200"/>
      <c r="H200" s="53"/>
      <c r="S200" s="17"/>
      <c r="T200" s="16"/>
      <c r="Y200"/>
    </row>
    <row r="201" spans="1:25">
      <c r="A201" s="1">
        <v>199</v>
      </c>
      <c r="B201" t="s">
        <v>291</v>
      </c>
      <c r="C201" s="61" t="s">
        <v>1184</v>
      </c>
      <c r="D201" s="59">
        <v>199</v>
      </c>
      <c r="E201" s="55" t="s">
        <v>1379</v>
      </c>
      <c r="F201" s="51">
        <v>199</v>
      </c>
      <c r="G201"/>
      <c r="H201" s="53"/>
      <c r="S201" s="17"/>
      <c r="T201" s="16"/>
      <c r="Y201"/>
    </row>
    <row r="202" spans="1:25">
      <c r="A202" s="1">
        <v>200</v>
      </c>
      <c r="B202" t="s">
        <v>292</v>
      </c>
      <c r="C202" s="61" t="s">
        <v>1185</v>
      </c>
      <c r="D202" s="58">
        <v>200</v>
      </c>
      <c r="E202" s="56" t="s">
        <v>963</v>
      </c>
      <c r="F202" s="50">
        <v>200</v>
      </c>
      <c r="G202"/>
      <c r="H202" s="53"/>
      <c r="S202" s="17"/>
      <c r="T202" s="16"/>
      <c r="Y202"/>
    </row>
    <row r="203" spans="1:25">
      <c r="A203" s="1">
        <v>201</v>
      </c>
      <c r="B203" t="s">
        <v>293</v>
      </c>
      <c r="C203" s="61" t="s">
        <v>1186</v>
      </c>
      <c r="D203" s="59">
        <v>201</v>
      </c>
      <c r="E203" s="55" t="s">
        <v>1380</v>
      </c>
      <c r="F203" s="51">
        <v>201</v>
      </c>
      <c r="G203"/>
      <c r="H203" s="53"/>
      <c r="S203" s="17"/>
      <c r="T203" s="16"/>
      <c r="Y203"/>
    </row>
    <row r="204" spans="1:25">
      <c r="A204" s="1">
        <v>202</v>
      </c>
      <c r="B204" t="s">
        <v>294</v>
      </c>
      <c r="C204" s="61" t="s">
        <v>1187</v>
      </c>
      <c r="D204" s="58">
        <v>202</v>
      </c>
      <c r="E204" s="56" t="s">
        <v>1381</v>
      </c>
      <c r="F204" s="50">
        <v>202</v>
      </c>
      <c r="G204"/>
      <c r="H204" s="53"/>
      <c r="S204" s="17"/>
      <c r="T204" s="16"/>
      <c r="Y204"/>
    </row>
    <row r="205" spans="1:25">
      <c r="A205" s="1">
        <v>203</v>
      </c>
      <c r="B205" t="s">
        <v>295</v>
      </c>
      <c r="C205" s="61" t="s">
        <v>1188</v>
      </c>
      <c r="D205" s="59">
        <v>203</v>
      </c>
      <c r="E205" s="55" t="s">
        <v>295</v>
      </c>
      <c r="F205" s="51">
        <v>203</v>
      </c>
      <c r="G205"/>
      <c r="H205" s="53"/>
      <c r="S205" s="17"/>
      <c r="T205" s="16"/>
      <c r="Y205"/>
    </row>
    <row r="206" spans="1:25">
      <c r="A206" s="1">
        <v>204</v>
      </c>
      <c r="B206" t="s">
        <v>296</v>
      </c>
      <c r="C206" s="61" t="s">
        <v>1189</v>
      </c>
      <c r="D206" s="58">
        <v>204</v>
      </c>
      <c r="E206" s="56" t="s">
        <v>296</v>
      </c>
      <c r="F206" s="50">
        <v>204</v>
      </c>
      <c r="G206"/>
      <c r="H206" s="53"/>
      <c r="S206" s="17"/>
      <c r="T206" s="16"/>
      <c r="Y206"/>
    </row>
    <row r="207" spans="1:25">
      <c r="A207" s="1">
        <v>205</v>
      </c>
      <c r="B207" t="s">
        <v>297</v>
      </c>
      <c r="C207" s="61" t="s">
        <v>1190</v>
      </c>
      <c r="D207" s="59">
        <v>205</v>
      </c>
      <c r="E207" s="55" t="s">
        <v>1382</v>
      </c>
      <c r="F207" s="51">
        <v>205</v>
      </c>
      <c r="G207"/>
      <c r="H207" s="53"/>
      <c r="S207" s="17"/>
      <c r="T207" s="16"/>
      <c r="Y207"/>
    </row>
    <row r="208" spans="1:25">
      <c r="A208" s="1">
        <v>206</v>
      </c>
      <c r="B208" t="s">
        <v>298</v>
      </c>
      <c r="C208" s="61" t="s">
        <v>1191</v>
      </c>
      <c r="D208" s="58">
        <v>206</v>
      </c>
      <c r="E208" s="56" t="s">
        <v>1383</v>
      </c>
      <c r="F208" s="50">
        <v>206</v>
      </c>
      <c r="G208"/>
      <c r="H208" s="53"/>
      <c r="S208" s="17"/>
      <c r="T208" s="16"/>
      <c r="Y208"/>
    </row>
    <row r="209" spans="1:25">
      <c r="A209" s="1">
        <v>207</v>
      </c>
      <c r="B209" t="s">
        <v>299</v>
      </c>
      <c r="C209" s="61" t="s">
        <v>1192</v>
      </c>
      <c r="D209" s="59">
        <v>207</v>
      </c>
      <c r="E209" s="55" t="s">
        <v>964</v>
      </c>
      <c r="F209" s="51">
        <v>207</v>
      </c>
      <c r="G209"/>
      <c r="H209" s="53"/>
      <c r="S209" s="17"/>
      <c r="T209" s="16"/>
      <c r="Y209"/>
    </row>
    <row r="210" spans="1:25">
      <c r="A210" s="1">
        <v>208</v>
      </c>
      <c r="B210" t="s">
        <v>300</v>
      </c>
      <c r="C210" s="61" t="s">
        <v>1193</v>
      </c>
      <c r="D210" s="58">
        <v>208</v>
      </c>
      <c r="E210" s="56" t="s">
        <v>1383</v>
      </c>
      <c r="F210" s="50">
        <v>208</v>
      </c>
      <c r="G210"/>
      <c r="H210" s="53"/>
      <c r="S210" s="17"/>
      <c r="T210" s="16"/>
      <c r="Y210"/>
    </row>
    <row r="211" spans="1:25">
      <c r="A211" s="1">
        <v>209</v>
      </c>
      <c r="B211" t="s">
        <v>301</v>
      </c>
      <c r="C211" s="61" t="s">
        <v>1194</v>
      </c>
      <c r="D211" s="59">
        <v>209</v>
      </c>
      <c r="E211" s="55" t="s">
        <v>1384</v>
      </c>
      <c r="F211" s="51">
        <v>209</v>
      </c>
      <c r="G211"/>
      <c r="H211" s="53"/>
      <c r="S211" s="17"/>
      <c r="T211" s="16"/>
      <c r="Y211"/>
    </row>
    <row r="212" spans="1:25">
      <c r="A212" s="1">
        <v>210</v>
      </c>
      <c r="B212" t="s">
        <v>302</v>
      </c>
      <c r="C212" s="61" t="s">
        <v>1195</v>
      </c>
      <c r="D212" s="58">
        <v>210</v>
      </c>
      <c r="E212" s="56" t="s">
        <v>302</v>
      </c>
      <c r="F212" s="50">
        <v>210</v>
      </c>
      <c r="G212"/>
      <c r="H212" s="53"/>
      <c r="S212" s="17"/>
      <c r="T212" s="16"/>
      <c r="Y212"/>
    </row>
    <row r="213" spans="1:25">
      <c r="A213" s="1">
        <v>211</v>
      </c>
      <c r="B213" t="s">
        <v>303</v>
      </c>
      <c r="C213" s="61" t="s">
        <v>1196</v>
      </c>
      <c r="D213" s="59">
        <v>211</v>
      </c>
      <c r="E213" s="55" t="s">
        <v>303</v>
      </c>
      <c r="F213" s="51">
        <v>211</v>
      </c>
      <c r="G213"/>
      <c r="H213" s="53"/>
      <c r="S213" s="17"/>
      <c r="T213" s="16"/>
      <c r="Y213"/>
    </row>
    <row r="214" spans="1:25">
      <c r="A214" s="1">
        <v>212</v>
      </c>
      <c r="B214" t="s">
        <v>304</v>
      </c>
      <c r="C214" s="61" t="s">
        <v>1197</v>
      </c>
      <c r="D214" s="58">
        <v>212</v>
      </c>
      <c r="E214" s="56" t="s">
        <v>1385</v>
      </c>
      <c r="F214" s="50">
        <v>212</v>
      </c>
      <c r="G214"/>
      <c r="H214" s="53"/>
      <c r="S214" s="17"/>
      <c r="T214" s="16"/>
      <c r="Y214"/>
    </row>
    <row r="215" spans="1:25">
      <c r="A215" s="1">
        <v>213</v>
      </c>
      <c r="B215" t="s">
        <v>305</v>
      </c>
      <c r="C215" s="61" t="s">
        <v>1198</v>
      </c>
      <c r="D215" s="59">
        <v>213</v>
      </c>
      <c r="E215" s="55" t="s">
        <v>965</v>
      </c>
      <c r="F215" s="51">
        <v>213</v>
      </c>
      <c r="G215"/>
      <c r="H215" s="53"/>
      <c r="S215" s="17"/>
      <c r="T215" s="16"/>
      <c r="Y215"/>
    </row>
    <row r="216" spans="1:25">
      <c r="A216" s="1">
        <v>214</v>
      </c>
      <c r="B216" t="s">
        <v>306</v>
      </c>
      <c r="C216" s="61" t="s">
        <v>1199</v>
      </c>
      <c r="D216" s="58">
        <v>214</v>
      </c>
      <c r="E216" s="56" t="s">
        <v>1408</v>
      </c>
      <c r="F216" s="50">
        <v>214</v>
      </c>
      <c r="G216"/>
      <c r="H216" s="53"/>
      <c r="S216" s="17"/>
      <c r="T216" s="16"/>
      <c r="Y216"/>
    </row>
    <row r="217" spans="1:25">
      <c r="A217" s="1">
        <v>215</v>
      </c>
      <c r="B217" t="s">
        <v>307</v>
      </c>
      <c r="C217" s="61" t="s">
        <v>1200</v>
      </c>
      <c r="D217" s="59">
        <v>215</v>
      </c>
      <c r="E217" s="55" t="s">
        <v>1407</v>
      </c>
      <c r="F217" s="51">
        <v>215</v>
      </c>
      <c r="G217"/>
      <c r="H217" s="53"/>
      <c r="S217" s="17"/>
      <c r="T217" s="16"/>
      <c r="Y217"/>
    </row>
    <row r="218" spans="1:25">
      <c r="A218" s="1">
        <v>216</v>
      </c>
      <c r="B218" t="s">
        <v>308</v>
      </c>
      <c r="C218" s="61" t="s">
        <v>1201</v>
      </c>
      <c r="D218" s="58">
        <v>216</v>
      </c>
      <c r="E218" s="56" t="s">
        <v>1406</v>
      </c>
      <c r="F218" s="50">
        <v>216</v>
      </c>
      <c r="G218"/>
      <c r="H218" s="53"/>
      <c r="S218" s="17"/>
      <c r="T218" s="16"/>
      <c r="Y218"/>
    </row>
    <row r="219" spans="1:25">
      <c r="A219" s="1">
        <v>217</v>
      </c>
      <c r="B219" t="s">
        <v>309</v>
      </c>
      <c r="C219" s="61" t="s">
        <v>1202</v>
      </c>
      <c r="D219" s="59">
        <v>217</v>
      </c>
      <c r="E219" s="55" t="s">
        <v>309</v>
      </c>
      <c r="F219" s="51">
        <v>217</v>
      </c>
      <c r="G219"/>
      <c r="H219" s="53"/>
      <c r="S219" s="17"/>
      <c r="T219" s="16"/>
      <c r="Y219"/>
    </row>
    <row r="220" spans="1:25">
      <c r="A220" s="1">
        <v>218</v>
      </c>
      <c r="B220" t="s">
        <v>310</v>
      </c>
      <c r="C220" s="61" t="s">
        <v>1203</v>
      </c>
      <c r="D220" s="58">
        <v>218</v>
      </c>
      <c r="E220" s="56" t="s">
        <v>310</v>
      </c>
      <c r="F220" s="50">
        <v>218</v>
      </c>
      <c r="G220"/>
      <c r="H220" s="53"/>
      <c r="S220" s="17"/>
      <c r="T220" s="16"/>
      <c r="Y220"/>
    </row>
    <row r="221" spans="1:25">
      <c r="A221" s="1">
        <v>219</v>
      </c>
      <c r="B221" t="s">
        <v>311</v>
      </c>
      <c r="C221" s="61" t="s">
        <v>1204</v>
      </c>
      <c r="D221" s="59">
        <v>219</v>
      </c>
      <c r="E221" s="55" t="s">
        <v>1405</v>
      </c>
      <c r="F221" s="51">
        <v>219</v>
      </c>
      <c r="G221"/>
      <c r="H221" s="53"/>
      <c r="S221" s="17"/>
      <c r="T221" s="16"/>
      <c r="Y221"/>
    </row>
    <row r="222" spans="1:25">
      <c r="A222" s="1">
        <v>220</v>
      </c>
      <c r="B222" t="s">
        <v>312</v>
      </c>
      <c r="C222" s="61" t="s">
        <v>1205</v>
      </c>
      <c r="D222" s="58">
        <v>220</v>
      </c>
      <c r="E222" s="56" t="s">
        <v>312</v>
      </c>
      <c r="F222" s="50">
        <v>220</v>
      </c>
      <c r="G222"/>
      <c r="H222" s="53"/>
      <c r="S222" s="17"/>
      <c r="T222" s="16"/>
      <c r="Y222"/>
    </row>
    <row r="223" spans="1:25">
      <c r="A223" s="1">
        <v>221</v>
      </c>
      <c r="B223" t="s">
        <v>313</v>
      </c>
      <c r="C223" s="61" t="s">
        <v>1206</v>
      </c>
      <c r="D223" s="59">
        <v>221</v>
      </c>
      <c r="E223" s="55" t="s">
        <v>313</v>
      </c>
      <c r="F223" s="51">
        <v>221</v>
      </c>
      <c r="G223"/>
      <c r="H223" s="53"/>
      <c r="S223" s="17"/>
      <c r="T223" s="16"/>
      <c r="Y223"/>
    </row>
    <row r="224" spans="1:25">
      <c r="A224" s="1">
        <v>222</v>
      </c>
      <c r="B224" t="s">
        <v>314</v>
      </c>
      <c r="C224" s="61" t="s">
        <v>1207</v>
      </c>
      <c r="D224" s="58">
        <v>222</v>
      </c>
      <c r="E224" s="56" t="s">
        <v>314</v>
      </c>
      <c r="F224" s="50">
        <v>222</v>
      </c>
      <c r="G224"/>
      <c r="H224" s="53"/>
      <c r="S224" s="17"/>
      <c r="T224" s="16"/>
      <c r="Y224"/>
    </row>
    <row r="225" spans="1:25">
      <c r="A225" s="1">
        <v>223</v>
      </c>
      <c r="B225" t="s">
        <v>315</v>
      </c>
      <c r="C225" s="61" t="s">
        <v>1208</v>
      </c>
      <c r="D225" s="59">
        <v>223</v>
      </c>
      <c r="E225" s="55" t="s">
        <v>966</v>
      </c>
      <c r="F225" s="51">
        <v>223</v>
      </c>
      <c r="G225"/>
      <c r="H225" s="53"/>
      <c r="S225" s="17"/>
      <c r="T225" s="16"/>
      <c r="Y225"/>
    </row>
    <row r="226" spans="1:25">
      <c r="A226" s="1">
        <v>224</v>
      </c>
      <c r="B226" t="s">
        <v>316</v>
      </c>
      <c r="C226" s="61" t="s">
        <v>1209</v>
      </c>
      <c r="D226" s="58">
        <v>224</v>
      </c>
      <c r="E226" s="56" t="s">
        <v>316</v>
      </c>
      <c r="F226" s="50">
        <v>224</v>
      </c>
      <c r="G226"/>
      <c r="H226" s="53"/>
      <c r="S226" s="17"/>
      <c r="T226" s="16"/>
      <c r="Y226"/>
    </row>
    <row r="227" spans="1:25">
      <c r="A227" s="1">
        <v>225</v>
      </c>
      <c r="B227" t="s">
        <v>317</v>
      </c>
      <c r="C227" s="61" t="s">
        <v>1210</v>
      </c>
      <c r="D227" s="59">
        <v>225</v>
      </c>
      <c r="E227" s="55" t="s">
        <v>1404</v>
      </c>
      <c r="F227" s="51">
        <v>225</v>
      </c>
      <c r="G227"/>
      <c r="H227" s="53"/>
      <c r="S227" s="17"/>
      <c r="T227" s="16"/>
      <c r="Y227"/>
    </row>
    <row r="228" spans="1:25">
      <c r="A228" s="1">
        <v>226</v>
      </c>
      <c r="B228" t="s">
        <v>318</v>
      </c>
      <c r="C228" s="61" t="s">
        <v>1211</v>
      </c>
      <c r="D228" s="58">
        <v>226</v>
      </c>
      <c r="E228" s="56" t="s">
        <v>318</v>
      </c>
      <c r="F228" s="50">
        <v>226</v>
      </c>
      <c r="G228"/>
      <c r="H228" s="53"/>
      <c r="S228" s="17"/>
      <c r="T228" s="16"/>
      <c r="Y228"/>
    </row>
    <row r="229" spans="1:25">
      <c r="A229" s="1">
        <v>227</v>
      </c>
      <c r="B229" t="s">
        <v>319</v>
      </c>
      <c r="C229" s="61" t="s">
        <v>1212</v>
      </c>
      <c r="D229" s="59">
        <v>227</v>
      </c>
      <c r="E229" s="55" t="s">
        <v>1403</v>
      </c>
      <c r="F229" s="51">
        <v>227</v>
      </c>
      <c r="G229"/>
      <c r="H229" s="53"/>
      <c r="S229" s="17"/>
      <c r="T229" s="16"/>
      <c r="Y229"/>
    </row>
    <row r="230" spans="1:25">
      <c r="A230" s="1">
        <v>228</v>
      </c>
      <c r="B230" t="s">
        <v>320</v>
      </c>
      <c r="C230" s="61" t="s">
        <v>1213</v>
      </c>
      <c r="D230" s="58">
        <v>228</v>
      </c>
      <c r="E230" s="56" t="s">
        <v>320</v>
      </c>
      <c r="F230" s="50">
        <v>228</v>
      </c>
      <c r="G230"/>
      <c r="H230" s="53"/>
      <c r="S230" s="17"/>
      <c r="T230" s="16"/>
      <c r="Y230"/>
    </row>
    <row r="231" spans="1:25">
      <c r="A231" s="1">
        <v>229</v>
      </c>
      <c r="B231" t="s">
        <v>321</v>
      </c>
      <c r="C231" s="61" t="s">
        <v>1214</v>
      </c>
      <c r="D231" s="59">
        <v>229</v>
      </c>
      <c r="E231" s="55" t="s">
        <v>967</v>
      </c>
      <c r="F231" s="51">
        <v>229</v>
      </c>
      <c r="G231"/>
      <c r="H231" s="53"/>
      <c r="S231" s="17"/>
      <c r="T231" s="16"/>
      <c r="Y231"/>
    </row>
    <row r="232" spans="1:25">
      <c r="A232" s="1">
        <v>230</v>
      </c>
      <c r="B232" t="s">
        <v>322</v>
      </c>
      <c r="C232" s="61" t="s">
        <v>1215</v>
      </c>
      <c r="D232" s="58">
        <v>230</v>
      </c>
      <c r="E232" s="56" t="s">
        <v>322</v>
      </c>
      <c r="F232" s="50">
        <v>230</v>
      </c>
      <c r="G232"/>
      <c r="H232" s="53"/>
      <c r="S232" s="17"/>
      <c r="T232" s="16"/>
      <c r="Y232"/>
    </row>
    <row r="233" spans="1:25">
      <c r="A233" s="1">
        <v>231</v>
      </c>
      <c r="B233" t="s">
        <v>323</v>
      </c>
      <c r="C233" s="61" t="s">
        <v>1216</v>
      </c>
      <c r="D233" s="59">
        <v>231</v>
      </c>
      <c r="E233" s="55" t="s">
        <v>323</v>
      </c>
      <c r="F233" s="51">
        <v>231</v>
      </c>
      <c r="G233"/>
      <c r="H233" s="53"/>
      <c r="S233" s="17"/>
      <c r="T233" s="16"/>
      <c r="Y233"/>
    </row>
    <row r="234" spans="1:25">
      <c r="A234" s="1">
        <v>232</v>
      </c>
      <c r="B234" t="s">
        <v>324</v>
      </c>
      <c r="C234" s="61" t="s">
        <v>1217</v>
      </c>
      <c r="D234" s="58">
        <v>232</v>
      </c>
      <c r="E234" s="56" t="s">
        <v>968</v>
      </c>
      <c r="F234" s="50">
        <v>232</v>
      </c>
      <c r="G234"/>
      <c r="H234" s="53"/>
      <c r="S234" s="17"/>
      <c r="T234" s="16"/>
      <c r="Y234"/>
    </row>
    <row r="235" spans="1:25">
      <c r="A235" s="1">
        <v>233</v>
      </c>
      <c r="B235" t="s">
        <v>325</v>
      </c>
      <c r="C235" s="61" t="s">
        <v>1218</v>
      </c>
      <c r="D235" s="59">
        <v>233</v>
      </c>
      <c r="E235" s="55" t="s">
        <v>325</v>
      </c>
      <c r="F235" s="51">
        <v>233</v>
      </c>
      <c r="G235"/>
      <c r="H235" s="53"/>
      <c r="S235" s="17"/>
      <c r="T235" s="16"/>
      <c r="Y235"/>
    </row>
    <row r="236" spans="1:25">
      <c r="A236" s="1">
        <v>234</v>
      </c>
      <c r="B236" t="s">
        <v>326</v>
      </c>
      <c r="C236" s="61" t="s">
        <v>1219</v>
      </c>
      <c r="D236" s="58">
        <v>234</v>
      </c>
      <c r="E236" s="56" t="s">
        <v>326</v>
      </c>
      <c r="F236" s="50">
        <v>234</v>
      </c>
      <c r="G236"/>
      <c r="H236" s="53"/>
      <c r="S236" s="17"/>
      <c r="T236" s="16"/>
      <c r="Y236"/>
    </row>
    <row r="237" spans="1:25">
      <c r="A237" s="1">
        <v>235</v>
      </c>
      <c r="B237" t="s">
        <v>327</v>
      </c>
      <c r="C237" s="61" t="s">
        <v>1220</v>
      </c>
      <c r="D237" s="59">
        <v>235</v>
      </c>
      <c r="E237" s="55" t="s">
        <v>327</v>
      </c>
      <c r="F237" s="51">
        <v>235</v>
      </c>
      <c r="G237"/>
      <c r="H237" s="53"/>
      <c r="S237" s="17"/>
      <c r="T237" s="16"/>
      <c r="Y237"/>
    </row>
    <row r="238" spans="1:25">
      <c r="A238" s="1">
        <v>236</v>
      </c>
      <c r="B238" t="s">
        <v>328</v>
      </c>
      <c r="C238" s="61" t="s">
        <v>1221</v>
      </c>
      <c r="D238" s="58">
        <v>236</v>
      </c>
      <c r="E238" s="56" t="s">
        <v>328</v>
      </c>
      <c r="F238" s="50">
        <v>236</v>
      </c>
      <c r="G238"/>
      <c r="H238" s="53"/>
      <c r="S238" s="17"/>
      <c r="T238" s="16"/>
      <c r="Y238"/>
    </row>
    <row r="239" spans="1:25">
      <c r="A239" s="1">
        <v>237</v>
      </c>
      <c r="B239" t="s">
        <v>329</v>
      </c>
      <c r="C239" s="61" t="s">
        <v>1222</v>
      </c>
      <c r="D239" s="59">
        <v>237</v>
      </c>
      <c r="E239" s="55" t="s">
        <v>1327</v>
      </c>
      <c r="F239" s="51">
        <v>237</v>
      </c>
      <c r="G239"/>
      <c r="H239" s="53"/>
      <c r="S239" s="17"/>
      <c r="T239" s="16"/>
      <c r="Y239"/>
    </row>
    <row r="240" spans="1:25">
      <c r="A240" s="1">
        <v>238</v>
      </c>
      <c r="B240" t="s">
        <v>330</v>
      </c>
      <c r="C240" s="61" t="s">
        <v>1223</v>
      </c>
      <c r="D240" s="58">
        <v>238</v>
      </c>
      <c r="E240" s="56" t="s">
        <v>969</v>
      </c>
      <c r="F240" s="50">
        <v>238</v>
      </c>
      <c r="G240"/>
      <c r="H240" s="53"/>
      <c r="S240" s="17"/>
      <c r="T240" s="16"/>
      <c r="Y240"/>
    </row>
    <row r="241" spans="1:25">
      <c r="A241" s="1">
        <v>239</v>
      </c>
      <c r="B241" t="s">
        <v>331</v>
      </c>
      <c r="C241" s="61" t="s">
        <v>1224</v>
      </c>
      <c r="D241" s="59">
        <v>239</v>
      </c>
      <c r="E241" s="55" t="s">
        <v>331</v>
      </c>
      <c r="F241" s="51">
        <v>239</v>
      </c>
      <c r="G241"/>
      <c r="H241" s="53"/>
      <c r="S241" s="17"/>
      <c r="T241" s="16"/>
      <c r="Y241"/>
    </row>
    <row r="242" spans="1:25">
      <c r="A242" s="1">
        <v>240</v>
      </c>
      <c r="B242" t="s">
        <v>332</v>
      </c>
      <c r="C242" s="61" t="s">
        <v>1225</v>
      </c>
      <c r="D242" s="58">
        <v>240</v>
      </c>
      <c r="E242" s="56" t="s">
        <v>970</v>
      </c>
      <c r="F242" s="50">
        <v>240</v>
      </c>
      <c r="G242"/>
      <c r="H242" s="53"/>
      <c r="S242" s="17"/>
      <c r="T242" s="16"/>
      <c r="Y242"/>
    </row>
    <row r="243" spans="1:25">
      <c r="A243" s="1">
        <v>241</v>
      </c>
      <c r="B243" t="s">
        <v>333</v>
      </c>
      <c r="C243" s="61" t="s">
        <v>1226</v>
      </c>
      <c r="D243" s="59">
        <v>241</v>
      </c>
      <c r="E243" s="55" t="s">
        <v>333</v>
      </c>
      <c r="F243" s="51">
        <v>241</v>
      </c>
      <c r="G243"/>
      <c r="H243" s="53"/>
      <c r="S243" s="17"/>
      <c r="T243" s="16"/>
      <c r="Y243"/>
    </row>
    <row r="244" spans="1:25">
      <c r="A244" s="1">
        <v>242</v>
      </c>
      <c r="B244" t="s">
        <v>334</v>
      </c>
      <c r="C244" s="61" t="s">
        <v>1227</v>
      </c>
      <c r="D244" s="58">
        <v>242</v>
      </c>
      <c r="E244" s="56" t="s">
        <v>334</v>
      </c>
      <c r="F244" s="50">
        <v>242</v>
      </c>
      <c r="G244"/>
      <c r="H244" s="53"/>
      <c r="S244" s="17"/>
      <c r="T244" s="16"/>
      <c r="Y244"/>
    </row>
    <row r="245" spans="1:25">
      <c r="A245" s="1">
        <v>243</v>
      </c>
      <c r="B245" t="s">
        <v>335</v>
      </c>
      <c r="C245" s="61" t="s">
        <v>1228</v>
      </c>
      <c r="D245" s="59">
        <v>243</v>
      </c>
      <c r="E245" s="55" t="s">
        <v>335</v>
      </c>
      <c r="F245" s="51">
        <v>243</v>
      </c>
      <c r="G245"/>
      <c r="H245" s="53"/>
      <c r="S245" s="17"/>
      <c r="T245" s="16"/>
      <c r="Y245"/>
    </row>
    <row r="246" spans="1:25">
      <c r="A246" s="1">
        <v>244</v>
      </c>
      <c r="B246" t="s">
        <v>336</v>
      </c>
      <c r="C246" s="61" t="s">
        <v>1229</v>
      </c>
      <c r="D246" s="58">
        <v>244</v>
      </c>
      <c r="E246" s="56" t="s">
        <v>336</v>
      </c>
      <c r="F246" s="50">
        <v>244</v>
      </c>
      <c r="G246"/>
      <c r="H246" s="53"/>
      <c r="S246" s="17"/>
      <c r="T246" s="16"/>
      <c r="Y246"/>
    </row>
    <row r="247" spans="1:25">
      <c r="A247" s="1">
        <v>245</v>
      </c>
      <c r="B247" t="s">
        <v>337</v>
      </c>
      <c r="C247" s="61" t="s">
        <v>1230</v>
      </c>
      <c r="D247" s="59">
        <v>245</v>
      </c>
      <c r="E247" s="55" t="s">
        <v>337</v>
      </c>
      <c r="F247" s="51">
        <v>245</v>
      </c>
      <c r="G247"/>
      <c r="H247" s="53"/>
      <c r="S247" s="17"/>
      <c r="T247" s="16"/>
      <c r="Y247"/>
    </row>
    <row r="248" spans="1:25">
      <c r="A248" s="1">
        <v>246</v>
      </c>
      <c r="B248" t="s">
        <v>338</v>
      </c>
      <c r="C248" s="61" t="s">
        <v>1231</v>
      </c>
      <c r="D248" s="58">
        <v>246</v>
      </c>
      <c r="E248" s="56" t="s">
        <v>971</v>
      </c>
      <c r="F248" s="50">
        <v>246</v>
      </c>
      <c r="G248"/>
      <c r="H248" s="53"/>
      <c r="S248" s="17"/>
      <c r="T248" s="16"/>
      <c r="Y248"/>
    </row>
    <row r="249" spans="1:25">
      <c r="A249" s="1">
        <v>247</v>
      </c>
      <c r="B249" t="s">
        <v>339</v>
      </c>
      <c r="C249" s="61" t="s">
        <v>1232</v>
      </c>
      <c r="D249" s="59">
        <v>247</v>
      </c>
      <c r="E249" s="55" t="s">
        <v>972</v>
      </c>
      <c r="F249" s="51">
        <v>247</v>
      </c>
      <c r="G249"/>
      <c r="H249" s="53"/>
      <c r="S249" s="17"/>
      <c r="T249" s="16"/>
      <c r="Y249"/>
    </row>
    <row r="250" spans="1:25">
      <c r="A250" s="1">
        <v>248</v>
      </c>
      <c r="B250" t="s">
        <v>340</v>
      </c>
      <c r="C250" s="61" t="s">
        <v>1233</v>
      </c>
      <c r="D250" s="58">
        <v>248</v>
      </c>
      <c r="E250" s="56" t="s">
        <v>1402</v>
      </c>
      <c r="F250" s="50">
        <v>248</v>
      </c>
      <c r="G250"/>
      <c r="H250" s="53"/>
      <c r="S250" s="17"/>
      <c r="T250" s="16"/>
      <c r="Y250"/>
    </row>
    <row r="251" spans="1:25">
      <c r="A251" s="1">
        <v>249</v>
      </c>
      <c r="B251" t="s">
        <v>341</v>
      </c>
      <c r="C251" s="61" t="s">
        <v>1234</v>
      </c>
      <c r="D251" s="59">
        <v>249</v>
      </c>
      <c r="E251" s="55" t="s">
        <v>341</v>
      </c>
      <c r="F251" s="51">
        <v>249</v>
      </c>
      <c r="G251"/>
      <c r="H251" s="53"/>
      <c r="S251" s="17"/>
      <c r="T251" s="16"/>
      <c r="Y251"/>
    </row>
    <row r="252" spans="1:25">
      <c r="A252" s="1">
        <v>250</v>
      </c>
      <c r="B252" t="s">
        <v>342</v>
      </c>
      <c r="C252" s="61" t="s">
        <v>1235</v>
      </c>
      <c r="D252" s="58">
        <v>250</v>
      </c>
      <c r="E252" s="56" t="s">
        <v>928</v>
      </c>
      <c r="F252" s="50">
        <v>250</v>
      </c>
      <c r="G252"/>
      <c r="H252" s="53"/>
      <c r="S252" s="17"/>
      <c r="T252" s="16"/>
      <c r="Y252"/>
    </row>
    <row r="253" spans="1:25">
      <c r="A253" s="1">
        <v>251</v>
      </c>
      <c r="B253" t="s">
        <v>343</v>
      </c>
      <c r="C253" s="61" t="s">
        <v>1236</v>
      </c>
      <c r="D253" s="59">
        <v>251</v>
      </c>
      <c r="E253" s="55" t="s">
        <v>973</v>
      </c>
      <c r="F253" s="51">
        <v>251</v>
      </c>
      <c r="G253"/>
      <c r="H253" s="53"/>
      <c r="S253" s="17"/>
      <c r="T253" s="16"/>
      <c r="Y253"/>
    </row>
    <row r="254" spans="1:25">
      <c r="A254" s="1">
        <v>252</v>
      </c>
      <c r="B254" t="s">
        <v>344</v>
      </c>
      <c r="C254" s="61" t="s">
        <v>1237</v>
      </c>
      <c r="D254" s="58">
        <v>252</v>
      </c>
      <c r="E254" s="56" t="s">
        <v>1401</v>
      </c>
      <c r="F254" s="50">
        <v>252</v>
      </c>
      <c r="G254"/>
      <c r="H254" s="53"/>
      <c r="S254" s="17"/>
      <c r="T254" s="16"/>
      <c r="Y254"/>
    </row>
    <row r="255" spans="1:25">
      <c r="A255" s="1">
        <v>253</v>
      </c>
      <c r="B255" t="s">
        <v>345</v>
      </c>
      <c r="C255" s="61" t="s">
        <v>1238</v>
      </c>
      <c r="D255" s="59">
        <v>253</v>
      </c>
      <c r="E255" s="55" t="s">
        <v>345</v>
      </c>
      <c r="F255" s="51">
        <v>253</v>
      </c>
      <c r="G255"/>
      <c r="H255" s="53"/>
      <c r="S255" s="17"/>
      <c r="T255" s="16"/>
      <c r="Y255"/>
    </row>
    <row r="256" spans="1:25">
      <c r="A256" s="1">
        <v>254</v>
      </c>
      <c r="B256" t="s">
        <v>346</v>
      </c>
      <c r="C256" s="61" t="s">
        <v>1239</v>
      </c>
      <c r="D256" s="58">
        <v>254</v>
      </c>
      <c r="E256" s="56" t="s">
        <v>974</v>
      </c>
      <c r="F256" s="50">
        <v>254</v>
      </c>
      <c r="G256"/>
      <c r="H256" s="53"/>
      <c r="S256" s="17"/>
      <c r="T256" s="16"/>
      <c r="Y256"/>
    </row>
    <row r="257" spans="1:25">
      <c r="A257" s="1">
        <v>255</v>
      </c>
      <c r="B257" t="s">
        <v>347</v>
      </c>
      <c r="C257" s="61" t="s">
        <v>1240</v>
      </c>
      <c r="D257" s="59">
        <v>255</v>
      </c>
      <c r="E257" s="55" t="s">
        <v>347</v>
      </c>
      <c r="F257" s="51">
        <v>255</v>
      </c>
      <c r="G257"/>
      <c r="H257" s="53"/>
      <c r="S257" s="17"/>
      <c r="T257" s="16"/>
      <c r="Y257"/>
    </row>
    <row r="258" spans="1:25">
      <c r="A258" s="1">
        <v>256</v>
      </c>
      <c r="B258" t="s">
        <v>348</v>
      </c>
      <c r="C258" s="61" t="s">
        <v>1241</v>
      </c>
      <c r="D258" s="58">
        <v>256</v>
      </c>
      <c r="E258" s="56" t="s">
        <v>975</v>
      </c>
      <c r="F258" s="50">
        <v>256</v>
      </c>
      <c r="G258"/>
      <c r="H258" s="53"/>
      <c r="S258" s="17"/>
      <c r="T258" s="16"/>
      <c r="Y258"/>
    </row>
    <row r="259" spans="1:25">
      <c r="A259" s="1">
        <v>257</v>
      </c>
      <c r="B259" t="s">
        <v>349</v>
      </c>
      <c r="C259" s="61" t="s">
        <v>1242</v>
      </c>
      <c r="D259" s="59">
        <v>257</v>
      </c>
      <c r="E259" s="55" t="s">
        <v>1400</v>
      </c>
      <c r="F259" s="51">
        <v>257</v>
      </c>
      <c r="G259"/>
      <c r="H259" s="53"/>
      <c r="S259" s="17"/>
      <c r="T259" s="16"/>
      <c r="Y259"/>
    </row>
    <row r="260" spans="1:25">
      <c r="A260" s="1">
        <v>258</v>
      </c>
      <c r="B260" t="s">
        <v>350</v>
      </c>
      <c r="C260" s="61" t="s">
        <v>1243</v>
      </c>
      <c r="D260" s="58">
        <v>258</v>
      </c>
      <c r="E260" s="56" t="s">
        <v>350</v>
      </c>
      <c r="F260" s="50">
        <v>258</v>
      </c>
      <c r="G260"/>
      <c r="H260" s="53"/>
      <c r="S260" s="17"/>
      <c r="T260" s="16"/>
      <c r="Y260"/>
    </row>
    <row r="261" spans="1:25">
      <c r="A261" s="1">
        <v>259</v>
      </c>
      <c r="B261" t="s">
        <v>351</v>
      </c>
      <c r="C261" s="61" t="s">
        <v>1244</v>
      </c>
      <c r="D261" s="59">
        <v>259</v>
      </c>
      <c r="E261" s="55" t="s">
        <v>1399</v>
      </c>
      <c r="F261" s="51">
        <v>259</v>
      </c>
      <c r="G261"/>
      <c r="H261" s="53"/>
      <c r="S261" s="17"/>
      <c r="T261" s="16"/>
      <c r="Y261"/>
    </row>
    <row r="262" spans="1:25">
      <c r="A262" s="1">
        <v>260</v>
      </c>
      <c r="B262" t="s">
        <v>352</v>
      </c>
      <c r="C262" s="61" t="s">
        <v>1245</v>
      </c>
      <c r="D262" s="58">
        <v>260</v>
      </c>
      <c r="E262" s="56" t="s">
        <v>976</v>
      </c>
      <c r="F262" s="50">
        <v>260</v>
      </c>
      <c r="G262"/>
      <c r="H262" s="53"/>
      <c r="S262" s="17"/>
      <c r="T262" s="16"/>
      <c r="Y262"/>
    </row>
    <row r="263" spans="1:25">
      <c r="A263" s="1">
        <v>261</v>
      </c>
      <c r="B263" t="s">
        <v>353</v>
      </c>
      <c r="C263" s="61" t="s">
        <v>1246</v>
      </c>
      <c r="D263" s="59">
        <v>261</v>
      </c>
      <c r="E263" s="55" t="s">
        <v>1398</v>
      </c>
      <c r="F263" s="51">
        <v>261</v>
      </c>
      <c r="G263"/>
      <c r="H263" s="53"/>
      <c r="S263" s="17"/>
      <c r="T263" s="16"/>
      <c r="Y263"/>
    </row>
    <row r="264" spans="1:25">
      <c r="A264" s="1">
        <v>262</v>
      </c>
      <c r="B264" t="s">
        <v>354</v>
      </c>
      <c r="C264" s="61" t="s">
        <v>1247</v>
      </c>
      <c r="D264" s="58">
        <v>262</v>
      </c>
      <c r="E264" s="56" t="s">
        <v>1397</v>
      </c>
      <c r="F264" s="50">
        <v>262</v>
      </c>
      <c r="G264"/>
      <c r="H264" s="53"/>
      <c r="S264" s="17"/>
      <c r="T264" s="16"/>
      <c r="Y264"/>
    </row>
    <row r="265" spans="1:25">
      <c r="A265" s="1">
        <v>263</v>
      </c>
      <c r="B265" t="s">
        <v>355</v>
      </c>
      <c r="C265" s="61" t="s">
        <v>1248</v>
      </c>
      <c r="D265" s="59">
        <v>263</v>
      </c>
      <c r="E265" s="55" t="s">
        <v>355</v>
      </c>
      <c r="F265" s="51">
        <v>263</v>
      </c>
      <c r="G265"/>
      <c r="H265" s="53"/>
      <c r="S265" s="17"/>
      <c r="T265" s="16"/>
      <c r="Y265"/>
    </row>
    <row r="266" spans="1:25">
      <c r="A266" s="1">
        <v>264</v>
      </c>
      <c r="B266" t="s">
        <v>356</v>
      </c>
      <c r="C266" s="61" t="s">
        <v>1249</v>
      </c>
      <c r="D266" s="58">
        <v>264</v>
      </c>
      <c r="E266" s="56" t="s">
        <v>1396</v>
      </c>
      <c r="F266" s="50">
        <v>264</v>
      </c>
      <c r="G266"/>
      <c r="H266" s="53"/>
      <c r="S266" s="17"/>
      <c r="T266" s="16"/>
      <c r="Y266"/>
    </row>
    <row r="267" spans="1:25">
      <c r="A267" s="1">
        <v>265</v>
      </c>
      <c r="B267" t="s">
        <v>357</v>
      </c>
      <c r="C267" s="61" t="s">
        <v>1250</v>
      </c>
      <c r="D267" s="59">
        <v>265</v>
      </c>
      <c r="E267" s="55" t="s">
        <v>1395</v>
      </c>
      <c r="F267" s="51">
        <v>265</v>
      </c>
      <c r="G267"/>
      <c r="H267" s="53"/>
      <c r="S267" s="17"/>
      <c r="T267" s="16"/>
      <c r="Y267"/>
    </row>
    <row r="268" spans="1:25">
      <c r="A268" s="1">
        <v>266</v>
      </c>
      <c r="B268" t="s">
        <v>358</v>
      </c>
      <c r="C268" s="61" t="s">
        <v>1251</v>
      </c>
      <c r="D268" s="58">
        <v>266</v>
      </c>
      <c r="E268" s="56" t="s">
        <v>358</v>
      </c>
      <c r="F268" s="50">
        <v>266</v>
      </c>
      <c r="G268"/>
      <c r="H268" s="53"/>
      <c r="S268" s="17"/>
      <c r="T268" s="16"/>
      <c r="Y268"/>
    </row>
    <row r="269" spans="1:25">
      <c r="A269" s="1">
        <v>267</v>
      </c>
      <c r="B269" t="s">
        <v>359</v>
      </c>
      <c r="C269" s="61" t="s">
        <v>1252</v>
      </c>
      <c r="D269" s="59">
        <v>267</v>
      </c>
      <c r="E269" s="55" t="s">
        <v>359</v>
      </c>
      <c r="F269" s="51">
        <v>267</v>
      </c>
      <c r="G269"/>
      <c r="H269" s="53"/>
      <c r="S269" s="17"/>
      <c r="T269" s="16"/>
      <c r="Y269"/>
    </row>
    <row r="270" spans="1:25">
      <c r="A270" s="1">
        <v>268</v>
      </c>
      <c r="B270" t="s">
        <v>360</v>
      </c>
      <c r="C270" s="61" t="s">
        <v>1253</v>
      </c>
      <c r="D270" s="58">
        <v>268</v>
      </c>
      <c r="E270" s="56" t="s">
        <v>1326</v>
      </c>
      <c r="F270" s="50">
        <v>268</v>
      </c>
      <c r="G270"/>
      <c r="H270" s="53"/>
      <c r="S270" s="17"/>
      <c r="T270" s="16"/>
      <c r="Y270"/>
    </row>
    <row r="271" spans="1:25">
      <c r="A271" s="1">
        <v>269</v>
      </c>
      <c r="B271" t="s">
        <v>361</v>
      </c>
      <c r="C271" s="61" t="s">
        <v>1254</v>
      </c>
      <c r="D271" s="59">
        <v>269</v>
      </c>
      <c r="E271" s="55" t="s">
        <v>361</v>
      </c>
      <c r="F271" s="51">
        <v>269</v>
      </c>
      <c r="G271"/>
      <c r="H271" s="53"/>
      <c r="S271" s="17"/>
      <c r="T271" s="16"/>
      <c r="Y271"/>
    </row>
    <row r="272" spans="1:25">
      <c r="A272" s="1">
        <v>270</v>
      </c>
      <c r="B272" t="s">
        <v>362</v>
      </c>
      <c r="C272" s="61" t="s">
        <v>1255</v>
      </c>
      <c r="D272" s="58">
        <v>270</v>
      </c>
      <c r="E272" s="56" t="s">
        <v>1315</v>
      </c>
      <c r="F272" s="50">
        <v>270</v>
      </c>
      <c r="G272"/>
      <c r="H272" s="53"/>
      <c r="S272" s="17"/>
      <c r="T272" s="16"/>
      <c r="Y272"/>
    </row>
    <row r="273" spans="1:25">
      <c r="A273" s="1">
        <v>271</v>
      </c>
      <c r="B273" t="s">
        <v>363</v>
      </c>
      <c r="C273" s="61" t="s">
        <v>1256</v>
      </c>
      <c r="D273" s="59">
        <v>271</v>
      </c>
      <c r="E273" s="55" t="s">
        <v>1316</v>
      </c>
      <c r="F273" s="51">
        <v>271</v>
      </c>
      <c r="G273"/>
      <c r="H273" s="53"/>
      <c r="S273" s="17"/>
      <c r="T273" s="16"/>
      <c r="Y273"/>
    </row>
    <row r="274" spans="1:25">
      <c r="A274" s="1">
        <v>272</v>
      </c>
      <c r="B274" t="s">
        <v>364</v>
      </c>
      <c r="C274" s="61" t="s">
        <v>1257</v>
      </c>
      <c r="D274" s="58">
        <v>272</v>
      </c>
      <c r="E274" s="56" t="s">
        <v>1325</v>
      </c>
      <c r="F274" s="50">
        <v>272</v>
      </c>
      <c r="G274"/>
      <c r="H274" s="53"/>
      <c r="S274" s="17"/>
      <c r="T274" s="16"/>
      <c r="Y274"/>
    </row>
    <row r="275" spans="1:25">
      <c r="A275" s="1">
        <v>273</v>
      </c>
      <c r="B275" t="s">
        <v>365</v>
      </c>
      <c r="C275" s="61" t="s">
        <v>1258</v>
      </c>
      <c r="D275" s="59">
        <v>273</v>
      </c>
      <c r="E275" s="55" t="s">
        <v>1317</v>
      </c>
      <c r="F275" s="51">
        <v>273</v>
      </c>
      <c r="G275"/>
      <c r="H275" s="53"/>
      <c r="S275" s="17"/>
      <c r="T275" s="16"/>
      <c r="Y275"/>
    </row>
    <row r="276" spans="1:25">
      <c r="A276" s="1">
        <v>274</v>
      </c>
      <c r="B276" t="s">
        <v>366</v>
      </c>
      <c r="C276" s="61" t="s">
        <v>1259</v>
      </c>
      <c r="D276" s="58">
        <v>274</v>
      </c>
      <c r="E276" s="56" t="s">
        <v>1324</v>
      </c>
      <c r="F276" s="50">
        <v>274</v>
      </c>
      <c r="G276"/>
      <c r="H276" s="53"/>
      <c r="S276" s="17"/>
      <c r="T276" s="16"/>
      <c r="Y276"/>
    </row>
    <row r="277" spans="1:25">
      <c r="A277" s="1">
        <v>275</v>
      </c>
      <c r="B277" t="s">
        <v>367</v>
      </c>
      <c r="C277" s="61" t="s">
        <v>1260</v>
      </c>
      <c r="D277" s="59">
        <v>275</v>
      </c>
      <c r="E277" s="55" t="s">
        <v>1318</v>
      </c>
      <c r="F277" s="51">
        <v>275</v>
      </c>
      <c r="G277"/>
      <c r="H277" s="53"/>
      <c r="S277" s="17"/>
      <c r="T277" s="16"/>
      <c r="Y277"/>
    </row>
    <row r="278" spans="1:25">
      <c r="A278" s="1">
        <v>276</v>
      </c>
      <c r="B278" t="s">
        <v>368</v>
      </c>
      <c r="C278" s="61" t="s">
        <v>1261</v>
      </c>
      <c r="D278" s="58">
        <v>276</v>
      </c>
      <c r="E278" s="56" t="s">
        <v>368</v>
      </c>
      <c r="F278" s="50">
        <v>276</v>
      </c>
      <c r="G278"/>
      <c r="H278" s="53"/>
      <c r="S278" s="17"/>
      <c r="T278" s="16"/>
      <c r="Y278"/>
    </row>
    <row r="279" spans="1:25">
      <c r="A279" s="1">
        <v>277</v>
      </c>
      <c r="B279" t="s">
        <v>369</v>
      </c>
      <c r="C279" s="61" t="s">
        <v>1262</v>
      </c>
      <c r="D279" s="59">
        <v>277</v>
      </c>
      <c r="E279" s="55" t="s">
        <v>1319</v>
      </c>
      <c r="F279" s="51">
        <v>277</v>
      </c>
      <c r="G279"/>
      <c r="H279" s="53"/>
      <c r="S279" s="17"/>
      <c r="T279" s="16"/>
      <c r="Y279"/>
    </row>
    <row r="280" spans="1:25">
      <c r="A280" s="1">
        <v>278</v>
      </c>
      <c r="B280" t="s">
        <v>370</v>
      </c>
      <c r="C280" s="61" t="s">
        <v>1263</v>
      </c>
      <c r="D280" s="58">
        <v>278</v>
      </c>
      <c r="E280" s="56" t="s">
        <v>1320</v>
      </c>
      <c r="F280" s="50">
        <v>278</v>
      </c>
      <c r="G280"/>
      <c r="H280" s="53"/>
      <c r="S280" s="17"/>
      <c r="T280" s="16"/>
      <c r="Y280"/>
    </row>
    <row r="281" spans="1:25">
      <c r="A281" s="1">
        <v>279</v>
      </c>
      <c r="B281" t="s">
        <v>371</v>
      </c>
      <c r="C281" s="61" t="s">
        <v>1264</v>
      </c>
      <c r="D281" s="59">
        <v>279</v>
      </c>
      <c r="E281" s="55" t="s">
        <v>977</v>
      </c>
      <c r="F281" s="51">
        <v>279</v>
      </c>
      <c r="G281"/>
      <c r="H281" s="53"/>
      <c r="S281" s="17"/>
      <c r="T281" s="16"/>
      <c r="Y281"/>
    </row>
    <row r="282" spans="1:25">
      <c r="A282" s="1">
        <v>280</v>
      </c>
      <c r="B282" t="s">
        <v>372</v>
      </c>
      <c r="C282" s="61" t="s">
        <v>1265</v>
      </c>
      <c r="D282" s="58">
        <v>280</v>
      </c>
      <c r="E282" s="56" t="s">
        <v>1413</v>
      </c>
      <c r="F282" s="50">
        <v>280</v>
      </c>
      <c r="G282"/>
      <c r="H282" s="53"/>
      <c r="S282" s="17"/>
      <c r="T282" s="16"/>
      <c r="Y282"/>
    </row>
    <row r="283" spans="1:25">
      <c r="A283" s="1">
        <v>281</v>
      </c>
      <c r="B283" t="s">
        <v>373</v>
      </c>
      <c r="C283" s="61" t="s">
        <v>1266</v>
      </c>
      <c r="D283" s="59">
        <v>281</v>
      </c>
      <c r="E283" s="55" t="s">
        <v>1321</v>
      </c>
      <c r="F283" s="51">
        <v>281</v>
      </c>
      <c r="G283"/>
      <c r="H283" s="53"/>
      <c r="S283" s="17"/>
      <c r="T283" s="16"/>
      <c r="Y283"/>
    </row>
    <row r="284" spans="1:25">
      <c r="A284" s="1">
        <v>282</v>
      </c>
      <c r="B284" t="s">
        <v>374</v>
      </c>
      <c r="C284" s="61" t="s">
        <v>1267</v>
      </c>
      <c r="D284" s="58">
        <v>282</v>
      </c>
      <c r="E284" s="56" t="s">
        <v>1322</v>
      </c>
      <c r="F284" s="50">
        <v>282</v>
      </c>
      <c r="G284"/>
      <c r="H284" s="53"/>
      <c r="S284" s="17"/>
      <c r="T284" s="16"/>
      <c r="Y284"/>
    </row>
    <row r="285" spans="1:25">
      <c r="A285" s="1">
        <v>283</v>
      </c>
      <c r="B285" t="s">
        <v>375</v>
      </c>
      <c r="C285" s="61" t="s">
        <v>1268</v>
      </c>
      <c r="D285" s="59">
        <v>283</v>
      </c>
      <c r="E285" s="55" t="s">
        <v>1323</v>
      </c>
      <c r="F285" s="51">
        <v>283</v>
      </c>
      <c r="G285"/>
      <c r="H285" s="53"/>
      <c r="S285" s="17"/>
      <c r="T285" s="16"/>
      <c r="Y285"/>
    </row>
    <row r="286" spans="1:25">
      <c r="A286" s="1">
        <v>284</v>
      </c>
      <c r="B286" t="s">
        <v>376</v>
      </c>
      <c r="C286" s="61" t="s">
        <v>1269</v>
      </c>
      <c r="D286" s="58">
        <v>284</v>
      </c>
      <c r="E286" s="56" t="s">
        <v>978</v>
      </c>
      <c r="F286" s="50">
        <v>284</v>
      </c>
      <c r="G286"/>
      <c r="H286" s="53"/>
      <c r="S286" s="17"/>
      <c r="T286" s="16"/>
      <c r="Y286"/>
    </row>
    <row r="287" spans="1:25">
      <c r="A287" s="1">
        <v>285</v>
      </c>
      <c r="B287" t="s">
        <v>377</v>
      </c>
      <c r="C287" s="61" t="s">
        <v>1270</v>
      </c>
      <c r="D287" s="59">
        <v>285</v>
      </c>
      <c r="E287" s="55" t="s">
        <v>979</v>
      </c>
      <c r="F287" s="51">
        <v>285</v>
      </c>
      <c r="G287"/>
      <c r="H287" s="53"/>
      <c r="S287" s="17"/>
      <c r="T287" s="16"/>
      <c r="Y287"/>
    </row>
    <row r="288" spans="1:25">
      <c r="A288" s="1">
        <v>286</v>
      </c>
      <c r="B288" t="s">
        <v>378</v>
      </c>
      <c r="C288" s="61" t="s">
        <v>1271</v>
      </c>
      <c r="D288" s="58">
        <v>286</v>
      </c>
      <c r="E288" s="56" t="s">
        <v>1411</v>
      </c>
      <c r="F288" s="50">
        <v>286</v>
      </c>
      <c r="G288"/>
      <c r="H288" s="53"/>
      <c r="S288" s="17"/>
      <c r="T288" s="16"/>
      <c r="Y288"/>
    </row>
    <row r="289" spans="1:25">
      <c r="A289" s="1">
        <v>287</v>
      </c>
      <c r="B289" t="s">
        <v>379</v>
      </c>
      <c r="C289" s="61" t="s">
        <v>1272</v>
      </c>
      <c r="D289" s="59">
        <v>287</v>
      </c>
      <c r="E289" s="55" t="s">
        <v>1412</v>
      </c>
      <c r="F289" s="51">
        <v>287</v>
      </c>
      <c r="G289"/>
      <c r="H289" s="53"/>
      <c r="S289" s="17"/>
      <c r="T289" s="16"/>
      <c r="Y289"/>
    </row>
    <row r="290" spans="1:25">
      <c r="A290" s="1">
        <v>288</v>
      </c>
      <c r="B290" t="s">
        <v>380</v>
      </c>
      <c r="C290" s="61" t="s">
        <v>1273</v>
      </c>
      <c r="D290" s="58">
        <v>288</v>
      </c>
      <c r="E290" s="56" t="s">
        <v>1410</v>
      </c>
      <c r="F290" s="50">
        <v>288</v>
      </c>
      <c r="G290"/>
      <c r="H290" s="53"/>
      <c r="S290" s="17"/>
      <c r="T290" s="16"/>
      <c r="Y290"/>
    </row>
    <row r="291" spans="1:25">
      <c r="A291" s="1">
        <v>289</v>
      </c>
      <c r="B291" t="s">
        <v>381</v>
      </c>
      <c r="C291" s="61" t="s">
        <v>1274</v>
      </c>
      <c r="D291" s="59">
        <v>289</v>
      </c>
      <c r="E291" s="55" t="s">
        <v>980</v>
      </c>
      <c r="F291" s="51">
        <v>289</v>
      </c>
      <c r="G291"/>
      <c r="H291" s="53"/>
      <c r="S291" s="17"/>
      <c r="T291" s="16"/>
      <c r="Y291"/>
    </row>
    <row r="292" spans="1:25">
      <c r="A292" s="1">
        <v>290</v>
      </c>
      <c r="B292" t="s">
        <v>382</v>
      </c>
      <c r="C292" s="61" t="s">
        <v>1275</v>
      </c>
      <c r="D292" s="58">
        <v>290</v>
      </c>
      <c r="E292" s="56" t="s">
        <v>1409</v>
      </c>
      <c r="F292" s="50">
        <v>290</v>
      </c>
      <c r="G292"/>
      <c r="H292" s="53"/>
      <c r="S292" s="17"/>
      <c r="T292" s="16"/>
      <c r="Y292"/>
    </row>
    <row r="293" spans="1:25">
      <c r="A293" s="1">
        <v>291</v>
      </c>
      <c r="B293" t="s">
        <v>383</v>
      </c>
      <c r="C293" s="61" t="s">
        <v>1276</v>
      </c>
      <c r="D293" s="59">
        <v>291</v>
      </c>
      <c r="E293" s="55" t="s">
        <v>981</v>
      </c>
      <c r="F293" s="51">
        <v>291</v>
      </c>
      <c r="G293"/>
      <c r="H293" s="53"/>
      <c r="S293" s="17"/>
      <c r="T293" s="16"/>
      <c r="Y293"/>
    </row>
    <row r="294" spans="1:25">
      <c r="A294" s="1">
        <v>292</v>
      </c>
      <c r="B294" t="s">
        <v>384</v>
      </c>
      <c r="C294" s="61" t="s">
        <v>1277</v>
      </c>
      <c r="D294" s="58">
        <v>292</v>
      </c>
      <c r="E294" s="56" t="s">
        <v>982</v>
      </c>
      <c r="F294" s="50">
        <v>292</v>
      </c>
      <c r="G294"/>
      <c r="H294" s="53"/>
      <c r="S294" s="17"/>
      <c r="T294" s="16"/>
      <c r="Y294"/>
    </row>
    <row r="295" spans="1:25">
      <c r="A295" s="1">
        <v>293</v>
      </c>
      <c r="B295" t="s">
        <v>385</v>
      </c>
      <c r="C295" s="61" t="s">
        <v>1278</v>
      </c>
      <c r="D295" s="59">
        <v>293</v>
      </c>
      <c r="E295" s="55" t="s">
        <v>983</v>
      </c>
      <c r="F295" s="51">
        <v>293</v>
      </c>
      <c r="G295"/>
      <c r="H295" s="53"/>
      <c r="S295" s="17"/>
      <c r="T295" s="16"/>
      <c r="Y295"/>
    </row>
    <row r="296" spans="1:25">
      <c r="A296" s="1">
        <v>294</v>
      </c>
      <c r="B296" t="s">
        <v>386</v>
      </c>
      <c r="C296" s="61" t="s">
        <v>1279</v>
      </c>
      <c r="D296" s="58">
        <v>294</v>
      </c>
      <c r="E296" s="56" t="s">
        <v>386</v>
      </c>
      <c r="F296" s="50">
        <v>294</v>
      </c>
      <c r="G296"/>
      <c r="H296" s="53"/>
      <c r="S296" s="17"/>
      <c r="T296" s="16"/>
      <c r="Y296"/>
    </row>
    <row r="297" spans="1:25">
      <c r="A297" s="1">
        <v>295</v>
      </c>
      <c r="B297" t="s">
        <v>387</v>
      </c>
      <c r="C297" s="61" t="s">
        <v>1280</v>
      </c>
      <c r="D297" s="59">
        <v>295</v>
      </c>
      <c r="E297" s="55" t="s">
        <v>984</v>
      </c>
      <c r="F297" s="51">
        <v>295</v>
      </c>
      <c r="G297"/>
      <c r="H297" s="53"/>
      <c r="S297" s="17"/>
      <c r="T297" s="16"/>
      <c r="Y297"/>
    </row>
    <row r="298" spans="1:25">
      <c r="A298" s="1">
        <v>296</v>
      </c>
      <c r="B298" t="s">
        <v>388</v>
      </c>
      <c r="C298" s="61" t="s">
        <v>1281</v>
      </c>
      <c r="D298" s="58">
        <v>296</v>
      </c>
      <c r="E298" s="56" t="s">
        <v>388</v>
      </c>
      <c r="F298" s="50">
        <v>296</v>
      </c>
      <c r="G298"/>
      <c r="H298" s="53"/>
      <c r="S298" s="17"/>
      <c r="T298" s="16"/>
      <c r="Y298"/>
    </row>
    <row r="299" spans="1:25">
      <c r="A299" s="1">
        <v>297</v>
      </c>
      <c r="B299" t="s">
        <v>389</v>
      </c>
      <c r="C299" s="61" t="s">
        <v>1282</v>
      </c>
      <c r="D299" s="60">
        <v>297</v>
      </c>
      <c r="E299" t="s">
        <v>389</v>
      </c>
      <c r="F299" s="48">
        <v>297</v>
      </c>
      <c r="G299"/>
      <c r="H299" s="53"/>
      <c r="S299" s="17"/>
      <c r="T299" s="16"/>
      <c r="Y299"/>
    </row>
  </sheetData>
  <conditionalFormatting sqref="E1:E1048576">
    <cfRule type="expression" dxfId="0" priority="1">
      <formula>"links($E:$E;12)"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B6FC-1B99-47D3-89A5-514996BE07C4}">
  <sheetPr codeName="Blad4"/>
  <dimension ref="A1:R133"/>
  <sheetViews>
    <sheetView workbookViewId="0"/>
  </sheetViews>
  <sheetFormatPr defaultRowHeight="18.75"/>
  <cols>
    <col min="1" max="1" width="13" style="16" customWidth="1"/>
    <col min="2" max="3" width="9.140625" style="16"/>
    <col min="4" max="4" width="13.5703125" style="17" bestFit="1" customWidth="1"/>
    <col min="5" max="5" width="9.140625" style="17"/>
    <col min="6" max="6" width="16.42578125" style="17" customWidth="1"/>
    <col min="7" max="7" width="9.140625" style="17"/>
    <col min="8" max="8" width="15.140625" style="17" customWidth="1"/>
    <col min="9" max="9" width="9.140625" style="17"/>
    <col min="10" max="11" width="21.7109375" style="17" customWidth="1"/>
    <col min="12" max="12" width="25.42578125" style="17" customWidth="1"/>
    <col min="13" max="13" width="25.7109375" customWidth="1"/>
    <col min="15" max="15" width="14.28515625" customWidth="1"/>
    <col min="16" max="16" width="16" customWidth="1"/>
    <col min="17" max="17" width="10.28515625" customWidth="1"/>
    <col min="18" max="18" width="48.140625" style="1" bestFit="1" customWidth="1"/>
  </cols>
  <sheetData>
    <row r="1" spans="1:17">
      <c r="A1" s="16" t="s">
        <v>390</v>
      </c>
    </row>
    <row r="2" spans="1:17">
      <c r="A2" s="16" t="s">
        <v>403</v>
      </c>
      <c r="D2" s="18"/>
      <c r="E2" s="21"/>
      <c r="F2" s="18"/>
      <c r="G2" s="21"/>
      <c r="H2" s="18"/>
      <c r="I2" s="21"/>
      <c r="J2" s="21"/>
      <c r="K2" s="21"/>
      <c r="L2" s="21"/>
    </row>
    <row r="3" spans="1:17" ht="21">
      <c r="A3" s="24" t="s">
        <v>568</v>
      </c>
      <c r="B3" s="24"/>
      <c r="C3" s="24"/>
      <c r="D3" s="25" t="s">
        <v>399</v>
      </c>
      <c r="E3" s="26"/>
      <c r="F3" s="25" t="s">
        <v>400</v>
      </c>
      <c r="G3" s="26"/>
      <c r="H3" s="25" t="s">
        <v>401</v>
      </c>
      <c r="I3" s="26"/>
      <c r="J3" s="26"/>
      <c r="K3" s="26"/>
      <c r="L3" s="26"/>
      <c r="O3" s="75" t="s">
        <v>410</v>
      </c>
      <c r="P3" s="75" t="s">
        <v>398</v>
      </c>
      <c r="Q3" s="30" t="s">
        <v>411</v>
      </c>
    </row>
    <row r="4" spans="1:17">
      <c r="D4" s="21">
        <v>0</v>
      </c>
      <c r="E4" s="21"/>
      <c r="F4" s="28">
        <v>0</v>
      </c>
      <c r="G4" s="27"/>
      <c r="H4" s="28" t="s">
        <v>488</v>
      </c>
      <c r="I4" s="21"/>
      <c r="J4" s="21"/>
      <c r="K4" s="21"/>
      <c r="L4" s="21"/>
      <c r="O4" s="75"/>
      <c r="P4" s="75"/>
      <c r="Q4" s="30" t="s">
        <v>412</v>
      </c>
    </row>
    <row r="5" spans="1:17">
      <c r="C5" s="20" t="s">
        <v>405</v>
      </c>
      <c r="D5" s="20"/>
      <c r="E5" s="21"/>
      <c r="F5" s="22">
        <f>HEX2DEC(F4)</f>
        <v>0</v>
      </c>
      <c r="G5" s="21"/>
      <c r="H5" s="22">
        <f>HEX2DEC(H4)</f>
        <v>12</v>
      </c>
      <c r="I5" s="21"/>
      <c r="J5" s="21"/>
      <c r="K5" s="21"/>
      <c r="L5" s="21"/>
      <c r="O5" s="29">
        <v>0</v>
      </c>
      <c r="P5" s="29">
        <v>0</v>
      </c>
      <c r="Q5" s="29" t="s">
        <v>413</v>
      </c>
    </row>
    <row r="6" spans="1:17">
      <c r="C6" s="20" t="s">
        <v>406</v>
      </c>
      <c r="D6" s="20"/>
      <c r="E6" s="21" t="s">
        <v>396</v>
      </c>
      <c r="F6" s="22">
        <f>HEX2DEC(F4)*16</f>
        <v>0</v>
      </c>
      <c r="G6" s="21" t="s">
        <v>396</v>
      </c>
      <c r="H6" s="22">
        <f>HEX2DEC(H4)</f>
        <v>12</v>
      </c>
      <c r="I6" s="21" t="s">
        <v>392</v>
      </c>
      <c r="J6" s="21">
        <f>D6+F6+H6</f>
        <v>12</v>
      </c>
      <c r="K6" s="21" t="str">
        <f>DEC2HEX(J6)</f>
        <v>C</v>
      </c>
      <c r="L6" s="19" t="str">
        <f>HEX2BIN(K6,8)</f>
        <v>00001100</v>
      </c>
      <c r="M6" t="str">
        <f>BIN2HEX(L6)</f>
        <v>C</v>
      </c>
      <c r="O6" s="29">
        <v>1</v>
      </c>
      <c r="P6" s="29">
        <v>1</v>
      </c>
      <c r="Q6" s="29" t="s">
        <v>414</v>
      </c>
    </row>
    <row r="7" spans="1:17">
      <c r="D7" s="21"/>
      <c r="E7" s="21"/>
      <c r="F7" s="21"/>
      <c r="G7" s="21"/>
      <c r="H7" s="21"/>
      <c r="I7" s="21"/>
      <c r="J7" s="21" t="s">
        <v>391</v>
      </c>
      <c r="K7" s="21" t="s">
        <v>397</v>
      </c>
      <c r="L7" s="21" t="s">
        <v>398</v>
      </c>
      <c r="O7" s="29">
        <v>2</v>
      </c>
      <c r="P7" s="29">
        <v>10</v>
      </c>
      <c r="Q7" s="29" t="s">
        <v>415</v>
      </c>
    </row>
    <row r="8" spans="1:17">
      <c r="D8" s="21"/>
      <c r="E8" s="21"/>
      <c r="F8" s="21"/>
      <c r="G8" s="21"/>
      <c r="H8" s="21"/>
      <c r="I8" s="21"/>
      <c r="J8" s="21"/>
      <c r="K8" s="21"/>
      <c r="L8" s="21"/>
      <c r="O8" s="29">
        <v>3</v>
      </c>
      <c r="P8" s="29">
        <v>11</v>
      </c>
      <c r="Q8" s="29" t="s">
        <v>416</v>
      </c>
    </row>
    <row r="9" spans="1:17">
      <c r="O9" s="29" t="s">
        <v>429</v>
      </c>
      <c r="P9" s="29">
        <v>1101</v>
      </c>
      <c r="Q9" s="29" t="s">
        <v>430</v>
      </c>
    </row>
    <row r="10" spans="1:17" ht="21">
      <c r="A10" s="24" t="s">
        <v>569</v>
      </c>
      <c r="B10" s="24"/>
      <c r="C10" s="24"/>
      <c r="D10" s="25" t="s">
        <v>399</v>
      </c>
      <c r="E10" s="26"/>
      <c r="F10" s="25" t="s">
        <v>400</v>
      </c>
      <c r="G10" s="26"/>
      <c r="H10" s="25" t="s">
        <v>401</v>
      </c>
      <c r="I10" s="26"/>
      <c r="J10" s="26"/>
      <c r="K10" s="26"/>
      <c r="L10" s="26"/>
      <c r="O10" s="29" t="s">
        <v>431</v>
      </c>
      <c r="P10" s="29">
        <v>1110</v>
      </c>
      <c r="Q10" s="29" t="s">
        <v>432</v>
      </c>
    </row>
    <row r="11" spans="1:17">
      <c r="D11" s="22">
        <v>0</v>
      </c>
      <c r="F11" s="22">
        <v>1</v>
      </c>
      <c r="H11" s="17">
        <v>4</v>
      </c>
      <c r="O11" s="29" t="s">
        <v>433</v>
      </c>
      <c r="P11" s="29">
        <v>1111</v>
      </c>
      <c r="Q11" s="29" t="s">
        <v>434</v>
      </c>
    </row>
    <row r="12" spans="1:17">
      <c r="D12" s="17">
        <f>D11*16*16</f>
        <v>0</v>
      </c>
      <c r="E12" s="17" t="s">
        <v>396</v>
      </c>
      <c r="F12" s="22">
        <f>HEX2DEC(F11)*16</f>
        <v>16</v>
      </c>
      <c r="G12" s="17" t="s">
        <v>396</v>
      </c>
      <c r="H12" s="22">
        <f>HEX2DEC(H11)</f>
        <v>4</v>
      </c>
      <c r="I12" s="17" t="s">
        <v>392</v>
      </c>
      <c r="J12" s="17">
        <f>D12+F12+H12</f>
        <v>20</v>
      </c>
      <c r="K12" s="17" t="str">
        <f>DEC2HEX(J12)</f>
        <v>14</v>
      </c>
      <c r="L12" s="19" t="str">
        <f>HEX2BIN(K12,8)</f>
        <v>00010100</v>
      </c>
      <c r="M12" t="str">
        <f>BIN2HEX(L12)</f>
        <v>14</v>
      </c>
      <c r="O12" s="29">
        <v>10</v>
      </c>
      <c r="P12" s="29">
        <v>10000</v>
      </c>
      <c r="Q12" s="29" t="s">
        <v>435</v>
      </c>
    </row>
    <row r="13" spans="1:17">
      <c r="J13" s="17" t="s">
        <v>391</v>
      </c>
      <c r="K13" s="17" t="s">
        <v>397</v>
      </c>
      <c r="L13" s="17" t="s">
        <v>398</v>
      </c>
      <c r="O13" s="29">
        <v>11</v>
      </c>
      <c r="P13" s="29">
        <v>10001</v>
      </c>
      <c r="Q13" s="29" t="s">
        <v>436</v>
      </c>
    </row>
    <row r="14" spans="1:17">
      <c r="D14" s="23"/>
      <c r="E14" s="23"/>
      <c r="F14" s="23"/>
      <c r="G14" s="23"/>
      <c r="H14" s="23"/>
      <c r="I14" s="23"/>
      <c r="J14" s="23"/>
      <c r="K14" s="23"/>
      <c r="L14" s="23"/>
      <c r="O14" s="29"/>
      <c r="P14" s="29"/>
      <c r="Q14" s="29"/>
    </row>
    <row r="15" spans="1:17">
      <c r="O15" s="29">
        <v>4</v>
      </c>
      <c r="P15" s="29">
        <v>100</v>
      </c>
      <c r="Q15" s="29" t="s">
        <v>417</v>
      </c>
    </row>
    <row r="16" spans="1:17" ht="21">
      <c r="A16" s="24" t="s">
        <v>391</v>
      </c>
      <c r="B16" s="24"/>
      <c r="C16" s="24"/>
      <c r="D16" s="25" t="s">
        <v>393</v>
      </c>
      <c r="E16" s="26"/>
      <c r="F16" s="25" t="s">
        <v>394</v>
      </c>
      <c r="G16" s="26"/>
      <c r="H16" s="25" t="s">
        <v>395</v>
      </c>
      <c r="I16" s="26"/>
      <c r="J16" s="26"/>
      <c r="K16" s="26"/>
      <c r="L16" s="26"/>
      <c r="O16" s="29">
        <v>5</v>
      </c>
      <c r="P16" s="29">
        <v>101</v>
      </c>
      <c r="Q16" s="29" t="s">
        <v>418</v>
      </c>
    </row>
    <row r="17" spans="4:17">
      <c r="D17" s="17">
        <v>0</v>
      </c>
      <c r="F17" s="17">
        <v>1</v>
      </c>
      <c r="H17" s="17">
        <v>2</v>
      </c>
      <c r="O17" s="29">
        <v>6</v>
      </c>
      <c r="P17" s="29">
        <v>110</v>
      </c>
      <c r="Q17" s="29" t="s">
        <v>419</v>
      </c>
    </row>
    <row r="18" spans="4:17">
      <c r="D18" s="17">
        <f>D17*100</f>
        <v>0</v>
      </c>
      <c r="E18" s="17" t="s">
        <v>396</v>
      </c>
      <c r="F18" s="17">
        <f>F17*10</f>
        <v>10</v>
      </c>
      <c r="G18" s="17" t="s">
        <v>396</v>
      </c>
      <c r="H18" s="17">
        <f>H17*1</f>
        <v>2</v>
      </c>
      <c r="I18" s="17" t="s">
        <v>392</v>
      </c>
      <c r="J18" s="17">
        <f>D18+F18+H18</f>
        <v>12</v>
      </c>
      <c r="K18" s="22" t="str">
        <f>DEC2HEX(J18)</f>
        <v>C</v>
      </c>
      <c r="L18" s="19" t="str">
        <f>HEX2BIN(K18,9)</f>
        <v>000001100</v>
      </c>
      <c r="O18" s="29">
        <v>7</v>
      </c>
      <c r="P18" s="29">
        <v>111</v>
      </c>
      <c r="Q18" s="29" t="s">
        <v>420</v>
      </c>
    </row>
    <row r="19" spans="4:17">
      <c r="J19" s="17" t="s">
        <v>391</v>
      </c>
      <c r="K19" s="17" t="s">
        <v>397</v>
      </c>
      <c r="L19" s="17" t="s">
        <v>398</v>
      </c>
      <c r="O19" s="29">
        <v>8</v>
      </c>
      <c r="P19" s="29">
        <v>1000</v>
      </c>
      <c r="Q19" s="29" t="s">
        <v>421</v>
      </c>
    </row>
    <row r="20" spans="4:17">
      <c r="O20" s="29">
        <v>9</v>
      </c>
      <c r="P20" s="29">
        <v>1001</v>
      </c>
      <c r="Q20" s="29" t="s">
        <v>422</v>
      </c>
    </row>
    <row r="21" spans="4:17">
      <c r="O21" s="29" t="s">
        <v>423</v>
      </c>
      <c r="P21" s="29">
        <v>1010</v>
      </c>
      <c r="Q21" s="29" t="s">
        <v>424</v>
      </c>
    </row>
    <row r="22" spans="4:17">
      <c r="O22" s="29" t="s">
        <v>425</v>
      </c>
      <c r="P22" s="29">
        <v>1011</v>
      </c>
      <c r="Q22" s="29" t="s">
        <v>426</v>
      </c>
    </row>
    <row r="23" spans="4:17">
      <c r="D23" s="33" t="s">
        <v>571</v>
      </c>
      <c r="O23" s="29" t="s">
        <v>427</v>
      </c>
      <c r="P23" s="29">
        <v>1100</v>
      </c>
      <c r="Q23" s="29" t="s">
        <v>428</v>
      </c>
    </row>
    <row r="24" spans="4:17">
      <c r="D24" s="17" t="s">
        <v>570</v>
      </c>
      <c r="E24" s="17">
        <f>_xlfn.BITXOR(J6,J12)</f>
        <v>24</v>
      </c>
      <c r="O24" s="29">
        <v>12</v>
      </c>
      <c r="P24" s="29">
        <v>10010</v>
      </c>
      <c r="Q24" s="29" t="s">
        <v>437</v>
      </c>
    </row>
    <row r="25" spans="4:17">
      <c r="D25" s="21"/>
      <c r="E25" s="21"/>
      <c r="F25" s="21"/>
      <c r="G25" s="21"/>
      <c r="H25" s="21"/>
      <c r="I25" s="21"/>
      <c r="J25" s="21"/>
      <c r="K25" s="21"/>
      <c r="L25" s="21"/>
      <c r="M25" s="32"/>
      <c r="O25" s="29">
        <v>13</v>
      </c>
      <c r="P25" s="29">
        <v>10011</v>
      </c>
      <c r="Q25" s="29" t="s">
        <v>438</v>
      </c>
    </row>
    <row r="26" spans="4:17">
      <c r="L26" s="19"/>
      <c r="M26" s="19"/>
      <c r="O26" s="29">
        <v>14</v>
      </c>
      <c r="P26" s="29">
        <v>10100</v>
      </c>
      <c r="Q26" s="29" t="s">
        <v>439</v>
      </c>
    </row>
    <row r="27" spans="4:17">
      <c r="M27" s="31"/>
      <c r="O27" s="29">
        <v>15</v>
      </c>
      <c r="P27" s="29">
        <v>10101</v>
      </c>
      <c r="Q27" s="29" t="s">
        <v>440</v>
      </c>
    </row>
    <row r="28" spans="4:17">
      <c r="O28" s="29">
        <v>16</v>
      </c>
      <c r="P28" s="29">
        <v>10110</v>
      </c>
      <c r="Q28" s="29" t="s">
        <v>441</v>
      </c>
    </row>
    <row r="29" spans="4:17">
      <c r="O29" s="29">
        <v>17</v>
      </c>
      <c r="P29" s="29">
        <v>10111</v>
      </c>
      <c r="Q29" s="29" t="s">
        <v>442</v>
      </c>
    </row>
    <row r="30" spans="4:17">
      <c r="O30" s="29">
        <v>18</v>
      </c>
      <c r="P30" s="29">
        <v>11000</v>
      </c>
      <c r="Q30" s="29" t="s">
        <v>443</v>
      </c>
    </row>
    <row r="31" spans="4:17">
      <c r="O31" s="29">
        <v>19</v>
      </c>
      <c r="P31" s="29">
        <v>11001</v>
      </c>
      <c r="Q31" s="29" t="s">
        <v>444</v>
      </c>
    </row>
    <row r="32" spans="4:17">
      <c r="O32" s="29" t="s">
        <v>445</v>
      </c>
      <c r="P32" s="29">
        <v>11010</v>
      </c>
      <c r="Q32" s="29" t="s">
        <v>446</v>
      </c>
    </row>
    <row r="33" spans="15:17">
      <c r="O33" s="29" t="s">
        <v>447</v>
      </c>
      <c r="P33" s="29">
        <v>11011</v>
      </c>
      <c r="Q33" s="29" t="s">
        <v>448</v>
      </c>
    </row>
    <row r="34" spans="15:17">
      <c r="O34" s="29" t="s">
        <v>449</v>
      </c>
      <c r="P34" s="29">
        <v>11100</v>
      </c>
      <c r="Q34" s="29" t="s">
        <v>450</v>
      </c>
    </row>
    <row r="35" spans="15:17">
      <c r="O35" s="29" t="s">
        <v>451</v>
      </c>
      <c r="P35" s="29">
        <v>11101</v>
      </c>
      <c r="Q35" s="29" t="s">
        <v>452</v>
      </c>
    </row>
    <row r="36" spans="15:17">
      <c r="O36" s="29" t="s">
        <v>453</v>
      </c>
      <c r="P36" s="29">
        <v>11110</v>
      </c>
      <c r="Q36" s="29" t="s">
        <v>454</v>
      </c>
    </row>
    <row r="37" spans="15:17">
      <c r="O37" s="29" t="s">
        <v>455</v>
      </c>
      <c r="P37" s="29">
        <v>11111</v>
      </c>
      <c r="Q37" s="29" t="s">
        <v>456</v>
      </c>
    </row>
    <row r="38" spans="15:17">
      <c r="O38" s="29">
        <v>20</v>
      </c>
      <c r="P38" s="29">
        <v>100000</v>
      </c>
      <c r="Q38" s="29" t="s">
        <v>457</v>
      </c>
    </row>
    <row r="39" spans="15:17">
      <c r="O39" s="29">
        <v>21</v>
      </c>
      <c r="P39" s="29">
        <v>100001</v>
      </c>
      <c r="Q39" s="29" t="s">
        <v>458</v>
      </c>
    </row>
    <row r="40" spans="15:17">
      <c r="O40" s="29">
        <v>22</v>
      </c>
      <c r="P40" s="29">
        <v>100010</v>
      </c>
      <c r="Q40" s="29" t="s">
        <v>13</v>
      </c>
    </row>
    <row r="41" spans="15:17">
      <c r="O41" s="29">
        <v>23</v>
      </c>
      <c r="P41" s="29">
        <v>100011</v>
      </c>
      <c r="Q41" s="29" t="s">
        <v>459</v>
      </c>
    </row>
    <row r="42" spans="15:17">
      <c r="O42" s="29">
        <v>24</v>
      </c>
      <c r="P42" s="29">
        <v>100100</v>
      </c>
      <c r="Q42" s="29" t="s">
        <v>460</v>
      </c>
    </row>
    <row r="43" spans="15:17">
      <c r="O43" s="29">
        <v>25</v>
      </c>
      <c r="P43" s="29">
        <v>100101</v>
      </c>
      <c r="Q43" s="29" t="s">
        <v>461</v>
      </c>
    </row>
    <row r="44" spans="15:17">
      <c r="O44" s="29">
        <v>26</v>
      </c>
      <c r="P44" s="29">
        <v>100110</v>
      </c>
      <c r="Q44" s="29" t="s">
        <v>462</v>
      </c>
    </row>
    <row r="45" spans="15:17">
      <c r="O45" s="29">
        <v>27</v>
      </c>
      <c r="P45" s="29">
        <v>100111</v>
      </c>
      <c r="Q45" s="29" t="s">
        <v>463</v>
      </c>
    </row>
    <row r="46" spans="15:17">
      <c r="O46" s="29">
        <v>28</v>
      </c>
      <c r="P46" s="29">
        <v>101000</v>
      </c>
      <c r="Q46" s="29" t="s">
        <v>464</v>
      </c>
    </row>
    <row r="47" spans="15:17">
      <c r="O47" s="29">
        <v>29</v>
      </c>
      <c r="P47" s="29">
        <v>101001</v>
      </c>
      <c r="Q47" s="29" t="s">
        <v>465</v>
      </c>
    </row>
    <row r="48" spans="15:17">
      <c r="O48" s="29" t="s">
        <v>466</v>
      </c>
      <c r="P48" s="29">
        <v>101010</v>
      </c>
      <c r="Q48" s="29" t="s">
        <v>467</v>
      </c>
    </row>
    <row r="49" spans="15:17">
      <c r="O49" s="29" t="s">
        <v>468</v>
      </c>
      <c r="P49" s="29">
        <v>101011</v>
      </c>
      <c r="Q49" s="29" t="s">
        <v>396</v>
      </c>
    </row>
    <row r="50" spans="15:17">
      <c r="O50" s="29" t="s">
        <v>469</v>
      </c>
      <c r="P50" s="29">
        <v>101100</v>
      </c>
      <c r="Q50" s="29" t="s">
        <v>76</v>
      </c>
    </row>
    <row r="51" spans="15:17">
      <c r="O51" s="29" t="s">
        <v>470</v>
      </c>
      <c r="P51" s="29">
        <v>101101</v>
      </c>
      <c r="Q51" s="29" t="s">
        <v>471</v>
      </c>
    </row>
    <row r="52" spans="15:17">
      <c r="O52" s="29" t="s">
        <v>472</v>
      </c>
      <c r="P52" s="29">
        <v>101110</v>
      </c>
      <c r="Q52" s="29" t="s">
        <v>473</v>
      </c>
    </row>
    <row r="53" spans="15:17">
      <c r="O53" s="29" t="s">
        <v>474</v>
      </c>
      <c r="P53" s="29">
        <v>101111</v>
      </c>
      <c r="Q53" s="29" t="s">
        <v>475</v>
      </c>
    </row>
    <row r="54" spans="15:17">
      <c r="O54" s="29">
        <v>30</v>
      </c>
      <c r="P54" s="29">
        <v>110000</v>
      </c>
      <c r="Q54" s="29">
        <v>0</v>
      </c>
    </row>
    <row r="55" spans="15:17">
      <c r="O55" s="29">
        <v>31</v>
      </c>
      <c r="P55" s="29">
        <v>110001</v>
      </c>
      <c r="Q55" s="29">
        <v>1</v>
      </c>
    </row>
    <row r="56" spans="15:17">
      <c r="O56" s="29">
        <v>32</v>
      </c>
      <c r="P56" s="29">
        <v>110010</v>
      </c>
      <c r="Q56" s="29">
        <v>2</v>
      </c>
    </row>
    <row r="57" spans="15:17">
      <c r="O57" s="29">
        <v>33</v>
      </c>
      <c r="P57" s="29">
        <v>110011</v>
      </c>
      <c r="Q57" s="29">
        <v>3</v>
      </c>
    </row>
    <row r="58" spans="15:17">
      <c r="O58" s="29">
        <v>34</v>
      </c>
      <c r="P58" s="29">
        <v>110100</v>
      </c>
      <c r="Q58" s="29">
        <v>4</v>
      </c>
    </row>
    <row r="59" spans="15:17">
      <c r="O59" s="29">
        <v>35</v>
      </c>
      <c r="P59" s="29">
        <v>110101</v>
      </c>
      <c r="Q59" s="29">
        <v>5</v>
      </c>
    </row>
    <row r="60" spans="15:17">
      <c r="O60" s="29">
        <v>36</v>
      </c>
      <c r="P60" s="29">
        <v>110110</v>
      </c>
      <c r="Q60" s="29">
        <v>6</v>
      </c>
    </row>
    <row r="61" spans="15:17">
      <c r="O61" s="29">
        <v>37</v>
      </c>
      <c r="P61" s="29">
        <v>110111</v>
      </c>
      <c r="Q61" s="29">
        <v>7</v>
      </c>
    </row>
    <row r="62" spans="15:17">
      <c r="O62" s="29">
        <v>38</v>
      </c>
      <c r="P62" s="29">
        <v>111000</v>
      </c>
      <c r="Q62" s="29">
        <v>8</v>
      </c>
    </row>
    <row r="63" spans="15:17">
      <c r="O63" s="29">
        <v>39</v>
      </c>
      <c r="P63" s="29">
        <v>111001</v>
      </c>
      <c r="Q63" s="29">
        <v>9</v>
      </c>
    </row>
    <row r="64" spans="15:17">
      <c r="O64" s="29" t="s">
        <v>476</v>
      </c>
      <c r="P64" s="29">
        <v>111010</v>
      </c>
      <c r="Q64" s="29" t="s">
        <v>477</v>
      </c>
    </row>
    <row r="65" spans="15:17">
      <c r="O65" s="29" t="s">
        <v>478</v>
      </c>
      <c r="P65" s="29">
        <v>111011</v>
      </c>
      <c r="Q65" s="29" t="s">
        <v>479</v>
      </c>
    </row>
    <row r="66" spans="15:17">
      <c r="O66" s="29" t="s">
        <v>480</v>
      </c>
      <c r="P66" s="29">
        <v>111100</v>
      </c>
      <c r="Q66" s="29" t="s">
        <v>481</v>
      </c>
    </row>
    <row r="67" spans="15:17">
      <c r="O67" s="29" t="s">
        <v>408</v>
      </c>
      <c r="P67" s="29">
        <v>111101</v>
      </c>
      <c r="Q67" s="29" t="s">
        <v>392</v>
      </c>
    </row>
    <row r="68" spans="15:17">
      <c r="O68" s="29" t="s">
        <v>482</v>
      </c>
      <c r="P68" s="29">
        <v>111110</v>
      </c>
      <c r="Q68" s="29" t="s">
        <v>483</v>
      </c>
    </row>
    <row r="69" spans="15:17">
      <c r="O69" s="29" t="s">
        <v>484</v>
      </c>
      <c r="P69" s="29">
        <v>111111</v>
      </c>
      <c r="Q69" s="29" t="s">
        <v>485</v>
      </c>
    </row>
    <row r="70" spans="15:17">
      <c r="O70" s="29">
        <v>40</v>
      </c>
      <c r="P70" s="29">
        <v>1000000</v>
      </c>
      <c r="Q70" s="29" t="s">
        <v>486</v>
      </c>
    </row>
    <row r="71" spans="15:17">
      <c r="O71" s="29">
        <v>41</v>
      </c>
      <c r="P71" s="29">
        <v>1000001</v>
      </c>
      <c r="Q71" s="29" t="s">
        <v>106</v>
      </c>
    </row>
    <row r="72" spans="15:17">
      <c r="O72" s="29">
        <v>42</v>
      </c>
      <c r="P72" s="29">
        <v>1000010</v>
      </c>
      <c r="Q72" s="29" t="s">
        <v>487</v>
      </c>
    </row>
    <row r="73" spans="15:17">
      <c r="O73" s="29">
        <v>43</v>
      </c>
      <c r="P73" s="29">
        <v>1000011</v>
      </c>
      <c r="Q73" s="29" t="s">
        <v>488</v>
      </c>
    </row>
    <row r="74" spans="15:17">
      <c r="O74" s="29">
        <v>44</v>
      </c>
      <c r="P74" s="29">
        <v>1000100</v>
      </c>
      <c r="Q74" s="29" t="s">
        <v>489</v>
      </c>
    </row>
    <row r="75" spans="15:17">
      <c r="O75" s="29">
        <v>45</v>
      </c>
      <c r="P75" s="29">
        <v>1000101</v>
      </c>
      <c r="Q75" s="29" t="s">
        <v>490</v>
      </c>
    </row>
    <row r="76" spans="15:17">
      <c r="O76" s="29">
        <v>46</v>
      </c>
      <c r="P76" s="29">
        <v>1000110</v>
      </c>
      <c r="Q76" s="29" t="s">
        <v>491</v>
      </c>
    </row>
    <row r="77" spans="15:17">
      <c r="O77" s="29">
        <v>47</v>
      </c>
      <c r="P77" s="29">
        <v>1000111</v>
      </c>
      <c r="Q77" s="29" t="s">
        <v>492</v>
      </c>
    </row>
    <row r="78" spans="15:17">
      <c r="O78" s="29">
        <v>48</v>
      </c>
      <c r="P78" s="29">
        <v>1001000</v>
      </c>
      <c r="Q78" s="29" t="s">
        <v>493</v>
      </c>
    </row>
    <row r="79" spans="15:17">
      <c r="O79" s="29">
        <v>49</v>
      </c>
      <c r="P79" s="29">
        <v>1001001</v>
      </c>
      <c r="Q79" s="29" t="s">
        <v>494</v>
      </c>
    </row>
    <row r="80" spans="15:17">
      <c r="O80" s="29" t="s">
        <v>495</v>
      </c>
      <c r="P80" s="29">
        <v>1001010</v>
      </c>
      <c r="Q80" s="29" t="s">
        <v>496</v>
      </c>
    </row>
    <row r="81" spans="15:17">
      <c r="O81" s="29" t="s">
        <v>497</v>
      </c>
      <c r="P81" s="29">
        <v>1001011</v>
      </c>
      <c r="Q81" s="29" t="s">
        <v>498</v>
      </c>
    </row>
    <row r="82" spans="15:17">
      <c r="O82" s="29" t="s">
        <v>499</v>
      </c>
      <c r="P82" s="29">
        <v>1001100</v>
      </c>
      <c r="Q82" s="29" t="s">
        <v>500</v>
      </c>
    </row>
    <row r="83" spans="15:17">
      <c r="O83" s="29" t="s">
        <v>501</v>
      </c>
      <c r="P83" s="29">
        <v>1001101</v>
      </c>
      <c r="Q83" s="29" t="s">
        <v>502</v>
      </c>
    </row>
    <row r="84" spans="15:17">
      <c r="O84" s="29" t="s">
        <v>503</v>
      </c>
      <c r="P84" s="29">
        <v>1001110</v>
      </c>
      <c r="Q84" s="29" t="s">
        <v>504</v>
      </c>
    </row>
    <row r="85" spans="15:17">
      <c r="O85" s="29" t="s">
        <v>407</v>
      </c>
      <c r="P85" s="29">
        <v>1001111</v>
      </c>
      <c r="Q85" s="29" t="s">
        <v>505</v>
      </c>
    </row>
    <row r="86" spans="15:17">
      <c r="O86" s="29">
        <v>50</v>
      </c>
      <c r="P86" s="29">
        <v>1010000</v>
      </c>
      <c r="Q86" s="29" t="s">
        <v>506</v>
      </c>
    </row>
    <row r="87" spans="15:17">
      <c r="O87" s="29">
        <v>51</v>
      </c>
      <c r="P87" s="29">
        <v>1010001</v>
      </c>
      <c r="Q87" s="29" t="s">
        <v>507</v>
      </c>
    </row>
    <row r="88" spans="15:17">
      <c r="O88" s="29">
        <v>52</v>
      </c>
      <c r="P88" s="29">
        <v>1010010</v>
      </c>
      <c r="Q88" s="29" t="s">
        <v>508</v>
      </c>
    </row>
    <row r="89" spans="15:17">
      <c r="O89" s="29">
        <v>53</v>
      </c>
      <c r="P89" s="29">
        <v>1010011</v>
      </c>
      <c r="Q89" s="29" t="s">
        <v>509</v>
      </c>
    </row>
    <row r="90" spans="15:17">
      <c r="O90" s="29">
        <v>54</v>
      </c>
      <c r="P90" s="29">
        <v>1010100</v>
      </c>
      <c r="Q90" s="29" t="s">
        <v>510</v>
      </c>
    </row>
    <row r="91" spans="15:17">
      <c r="O91" s="29">
        <v>55</v>
      </c>
      <c r="P91" s="29">
        <v>1010101</v>
      </c>
      <c r="Q91" s="29" t="s">
        <v>511</v>
      </c>
    </row>
    <row r="92" spans="15:17">
      <c r="O92" s="29">
        <v>56</v>
      </c>
      <c r="P92" s="29">
        <v>1010110</v>
      </c>
      <c r="Q92" s="29" t="s">
        <v>512</v>
      </c>
    </row>
    <row r="93" spans="15:17">
      <c r="O93" s="29">
        <v>57</v>
      </c>
      <c r="P93" s="29">
        <v>1010111</v>
      </c>
      <c r="Q93" s="29" t="s">
        <v>513</v>
      </c>
    </row>
    <row r="94" spans="15:17">
      <c r="O94" s="29">
        <v>58</v>
      </c>
      <c r="P94" s="29">
        <v>1011000</v>
      </c>
      <c r="Q94" s="29" t="s">
        <v>404</v>
      </c>
    </row>
    <row r="95" spans="15:17">
      <c r="O95" s="29">
        <v>59</v>
      </c>
      <c r="P95" s="29">
        <v>1011001</v>
      </c>
      <c r="Q95" s="29" t="s">
        <v>514</v>
      </c>
    </row>
    <row r="96" spans="15:17">
      <c r="O96" s="29" t="s">
        <v>515</v>
      </c>
      <c r="P96" s="29">
        <v>1011010</v>
      </c>
      <c r="Q96" s="29" t="s">
        <v>516</v>
      </c>
    </row>
    <row r="97" spans="15:17">
      <c r="O97" s="29" t="s">
        <v>517</v>
      </c>
      <c r="P97" s="29">
        <v>1011011</v>
      </c>
      <c r="Q97" s="29" t="s">
        <v>518</v>
      </c>
    </row>
    <row r="98" spans="15:17">
      <c r="O98" s="29" t="s">
        <v>519</v>
      </c>
      <c r="P98" s="29">
        <v>1011100</v>
      </c>
      <c r="Q98" s="29" t="s">
        <v>520</v>
      </c>
    </row>
    <row r="99" spans="15:17">
      <c r="O99" s="29" t="s">
        <v>521</v>
      </c>
      <c r="P99" s="29">
        <v>1011101</v>
      </c>
      <c r="Q99" s="29" t="s">
        <v>522</v>
      </c>
    </row>
    <row r="100" spans="15:17">
      <c r="O100" s="29" t="s">
        <v>523</v>
      </c>
      <c r="P100" s="29">
        <v>1011110</v>
      </c>
      <c r="Q100" s="29" t="s">
        <v>524</v>
      </c>
    </row>
    <row r="101" spans="15:17">
      <c r="O101" s="29" t="s">
        <v>525</v>
      </c>
      <c r="P101" s="29">
        <v>1011111</v>
      </c>
      <c r="Q101" s="29" t="s">
        <v>526</v>
      </c>
    </row>
    <row r="102" spans="15:17">
      <c r="O102" s="29">
        <v>60</v>
      </c>
      <c r="P102" s="29">
        <v>1100000</v>
      </c>
      <c r="Q102" s="29" t="s">
        <v>527</v>
      </c>
    </row>
    <row r="103" spans="15:17">
      <c r="O103" s="29">
        <v>61</v>
      </c>
      <c r="P103" s="29">
        <v>1100001</v>
      </c>
      <c r="Q103" s="29" t="s">
        <v>528</v>
      </c>
    </row>
    <row r="104" spans="15:17">
      <c r="O104" s="29">
        <v>62</v>
      </c>
      <c r="P104" s="29">
        <v>1100010</v>
      </c>
      <c r="Q104" s="29" t="s">
        <v>529</v>
      </c>
    </row>
    <row r="105" spans="15:17">
      <c r="O105" s="29">
        <v>63</v>
      </c>
      <c r="P105" s="29">
        <v>1100011</v>
      </c>
      <c r="Q105" s="29" t="s">
        <v>409</v>
      </c>
    </row>
    <row r="106" spans="15:17">
      <c r="O106" s="29">
        <v>64</v>
      </c>
      <c r="P106" s="29">
        <v>1100100</v>
      </c>
      <c r="Q106" s="29" t="s">
        <v>530</v>
      </c>
    </row>
    <row r="107" spans="15:17">
      <c r="O107" s="29">
        <v>65</v>
      </c>
      <c r="P107" s="29">
        <v>1100101</v>
      </c>
      <c r="Q107" s="29" t="s">
        <v>531</v>
      </c>
    </row>
    <row r="108" spans="15:17">
      <c r="O108" s="29">
        <v>66</v>
      </c>
      <c r="P108" s="29">
        <v>1100110</v>
      </c>
      <c r="Q108" s="29" t="s">
        <v>402</v>
      </c>
    </row>
    <row r="109" spans="15:17">
      <c r="O109" s="29">
        <v>67</v>
      </c>
      <c r="P109" s="29">
        <v>1100111</v>
      </c>
      <c r="Q109" s="29" t="s">
        <v>532</v>
      </c>
    </row>
    <row r="110" spans="15:17">
      <c r="O110" s="29">
        <v>68</v>
      </c>
      <c r="P110" s="29">
        <v>1101000</v>
      </c>
      <c r="Q110" s="29" t="s">
        <v>533</v>
      </c>
    </row>
    <row r="111" spans="15:17">
      <c r="O111" s="29">
        <v>69</v>
      </c>
      <c r="P111" s="29">
        <v>1101001</v>
      </c>
      <c r="Q111" s="29" t="s">
        <v>534</v>
      </c>
    </row>
    <row r="112" spans="15:17">
      <c r="O112" s="29" t="s">
        <v>535</v>
      </c>
      <c r="P112" s="29">
        <v>1101010</v>
      </c>
      <c r="Q112" s="29" t="s">
        <v>536</v>
      </c>
    </row>
    <row r="113" spans="15:17">
      <c r="O113" s="29" t="s">
        <v>537</v>
      </c>
      <c r="P113" s="29">
        <v>1101011</v>
      </c>
      <c r="Q113" s="29" t="s">
        <v>538</v>
      </c>
    </row>
    <row r="114" spans="15:17">
      <c r="O114" s="29" t="s">
        <v>539</v>
      </c>
      <c r="P114" s="29">
        <v>1101100</v>
      </c>
      <c r="Q114" s="29" t="s">
        <v>540</v>
      </c>
    </row>
    <row r="115" spans="15:17">
      <c r="O115" s="29" t="s">
        <v>541</v>
      </c>
      <c r="P115" s="29">
        <v>1101101</v>
      </c>
      <c r="Q115" s="29" t="s">
        <v>542</v>
      </c>
    </row>
    <row r="116" spans="15:17">
      <c r="O116" s="29" t="s">
        <v>543</v>
      </c>
      <c r="P116" s="29">
        <v>1101110</v>
      </c>
      <c r="Q116" s="29" t="s">
        <v>544</v>
      </c>
    </row>
    <row r="117" spans="15:17">
      <c r="O117" s="29" t="s">
        <v>545</v>
      </c>
      <c r="P117" s="29">
        <v>1101111</v>
      </c>
      <c r="Q117" s="29" t="s">
        <v>546</v>
      </c>
    </row>
    <row r="118" spans="15:17">
      <c r="O118" s="29">
        <v>70</v>
      </c>
      <c r="P118" s="29">
        <v>1110000</v>
      </c>
      <c r="Q118" s="29" t="s">
        <v>547</v>
      </c>
    </row>
    <row r="119" spans="15:17">
      <c r="O119" s="29">
        <v>71</v>
      </c>
      <c r="P119" s="29">
        <v>1110001</v>
      </c>
      <c r="Q119" s="29" t="s">
        <v>548</v>
      </c>
    </row>
    <row r="120" spans="15:17">
      <c r="O120" s="29">
        <v>72</v>
      </c>
      <c r="P120" s="29">
        <v>1110010</v>
      </c>
      <c r="Q120" s="29" t="s">
        <v>549</v>
      </c>
    </row>
    <row r="121" spans="15:17">
      <c r="O121" s="29">
        <v>73</v>
      </c>
      <c r="P121" s="29">
        <v>1110011</v>
      </c>
      <c r="Q121" s="29" t="s">
        <v>550</v>
      </c>
    </row>
    <row r="122" spans="15:17">
      <c r="O122" s="29">
        <v>74</v>
      </c>
      <c r="P122" s="29">
        <v>1110100</v>
      </c>
      <c r="Q122" s="29" t="s">
        <v>551</v>
      </c>
    </row>
    <row r="123" spans="15:17">
      <c r="O123" s="29">
        <v>75</v>
      </c>
      <c r="P123" s="29">
        <v>1110101</v>
      </c>
      <c r="Q123" s="29" t="s">
        <v>552</v>
      </c>
    </row>
    <row r="124" spans="15:17">
      <c r="O124" s="29">
        <v>76</v>
      </c>
      <c r="P124" s="29">
        <v>1110110</v>
      </c>
      <c r="Q124" s="29" t="s">
        <v>553</v>
      </c>
    </row>
    <row r="125" spans="15:17">
      <c r="O125" s="29">
        <v>77</v>
      </c>
      <c r="P125" s="29">
        <v>1110111</v>
      </c>
      <c r="Q125" s="29" t="s">
        <v>554</v>
      </c>
    </row>
    <row r="126" spans="15:17">
      <c r="O126" s="29">
        <v>78</v>
      </c>
      <c r="P126" s="29">
        <v>1111000</v>
      </c>
      <c r="Q126" s="29" t="s">
        <v>555</v>
      </c>
    </row>
    <row r="127" spans="15:17">
      <c r="O127" s="29">
        <v>79</v>
      </c>
      <c r="P127" s="29">
        <v>1111001</v>
      </c>
      <c r="Q127" s="29" t="s">
        <v>556</v>
      </c>
    </row>
    <row r="128" spans="15:17">
      <c r="O128" s="29" t="s">
        <v>557</v>
      </c>
      <c r="P128" s="29">
        <v>1111010</v>
      </c>
      <c r="Q128" s="29" t="s">
        <v>558</v>
      </c>
    </row>
    <row r="129" spans="15:17">
      <c r="O129" s="29" t="s">
        <v>559</v>
      </c>
      <c r="P129" s="29">
        <v>1111011</v>
      </c>
      <c r="Q129" s="29" t="s">
        <v>560</v>
      </c>
    </row>
    <row r="130" spans="15:17">
      <c r="O130" s="29" t="s">
        <v>561</v>
      </c>
      <c r="P130" s="29">
        <v>1111100</v>
      </c>
      <c r="Q130" s="29" t="s">
        <v>562</v>
      </c>
    </row>
    <row r="131" spans="15:17">
      <c r="O131" s="29" t="s">
        <v>563</v>
      </c>
      <c r="P131" s="29">
        <v>1111101</v>
      </c>
      <c r="Q131" s="29" t="s">
        <v>105</v>
      </c>
    </row>
    <row r="132" spans="15:17">
      <c r="O132" s="29" t="s">
        <v>564</v>
      </c>
      <c r="P132" s="29">
        <v>1111110</v>
      </c>
      <c r="Q132" s="29" t="s">
        <v>565</v>
      </c>
    </row>
    <row r="133" spans="15:17">
      <c r="O133" s="29" t="s">
        <v>566</v>
      </c>
      <c r="P133" s="29">
        <v>1111111</v>
      </c>
      <c r="Q133" s="29" t="s">
        <v>567</v>
      </c>
    </row>
  </sheetData>
  <mergeCells count="2">
    <mergeCell ref="O3:O4"/>
    <mergeCell ref="P3:P4"/>
  </mergeCells>
  <hyperlinks>
    <hyperlink ref="Q3" r:id="rId1" display="https://www.rapidtables.com/code/text/ascii-table.html" xr:uid="{31EAEAB2-32AB-4B63-AF15-DA094F83D8A4}"/>
    <hyperlink ref="Q4" r:id="rId2" display="https://www.rapidtables.com/code/text/ascii-table.html" xr:uid="{44283BCD-4D28-40CF-BA6F-5A511D941B96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02AE0-DB50-48D9-917B-C6BC206A54D2}">
  <sheetPr codeName="Blad5"/>
  <dimension ref="A1:I111"/>
  <sheetViews>
    <sheetView workbookViewId="0"/>
  </sheetViews>
  <sheetFormatPr defaultRowHeight="15"/>
  <cols>
    <col min="1" max="1" width="40.7109375" bestFit="1" customWidth="1"/>
    <col min="3" max="3" width="23.140625" customWidth="1"/>
    <col min="5" max="5" width="19.28515625" bestFit="1" customWidth="1"/>
    <col min="9" max="9" width="64.5703125" bestFit="1" customWidth="1"/>
  </cols>
  <sheetData>
    <row r="1" spans="1:9">
      <c r="A1" t="s">
        <v>842</v>
      </c>
    </row>
    <row r="4" spans="1:9">
      <c r="A4" s="38" t="s">
        <v>841</v>
      </c>
      <c r="B4">
        <v>0</v>
      </c>
      <c r="C4" t="s">
        <v>840</v>
      </c>
      <c r="D4">
        <v>10</v>
      </c>
      <c r="E4" t="s">
        <v>839</v>
      </c>
      <c r="F4">
        <v>0</v>
      </c>
      <c r="G4" t="s">
        <v>479</v>
      </c>
      <c r="H4" t="s">
        <v>105</v>
      </c>
      <c r="I4" t="str">
        <f t="shared" ref="I4:I35" si="0">A4&amp;B4&amp;C4&amp;D4&amp;E4&amp;F4&amp;G4&amp;H4</f>
        <v>if ((PresetNumb &gt;=0) &amp;&amp; (PresetNumb&lt;10)) {PresetNumb = 0;}</v>
      </c>
    </row>
    <row r="5" spans="1:9">
      <c r="A5" s="38" t="s">
        <v>841</v>
      </c>
      <c r="B5">
        <v>10</v>
      </c>
      <c r="C5" t="s">
        <v>840</v>
      </c>
      <c r="D5">
        <v>20</v>
      </c>
      <c r="E5" t="s">
        <v>839</v>
      </c>
      <c r="F5">
        <v>10</v>
      </c>
      <c r="G5" t="s">
        <v>479</v>
      </c>
      <c r="H5" t="s">
        <v>105</v>
      </c>
      <c r="I5" t="str">
        <f t="shared" si="0"/>
        <v>if ((PresetNumb &gt;=10) &amp;&amp; (PresetNumb&lt;20)) {PresetNumb = 10;}</v>
      </c>
    </row>
    <row r="6" spans="1:9">
      <c r="A6" s="38" t="s">
        <v>841</v>
      </c>
      <c r="B6">
        <v>20</v>
      </c>
      <c r="C6" t="s">
        <v>840</v>
      </c>
      <c r="D6">
        <v>30</v>
      </c>
      <c r="E6" t="s">
        <v>839</v>
      </c>
      <c r="F6">
        <v>20</v>
      </c>
      <c r="G6" t="s">
        <v>479</v>
      </c>
      <c r="H6" t="s">
        <v>105</v>
      </c>
      <c r="I6" t="str">
        <f t="shared" si="0"/>
        <v>if ((PresetNumb &gt;=20) &amp;&amp; (PresetNumb&lt;30)) {PresetNumb = 20;}</v>
      </c>
    </row>
    <row r="7" spans="1:9">
      <c r="A7" s="38" t="s">
        <v>841</v>
      </c>
      <c r="B7">
        <v>30</v>
      </c>
      <c r="C7" t="s">
        <v>840</v>
      </c>
      <c r="D7">
        <v>40</v>
      </c>
      <c r="E7" t="s">
        <v>839</v>
      </c>
      <c r="F7">
        <v>30</v>
      </c>
      <c r="G7" t="s">
        <v>479</v>
      </c>
      <c r="H7" t="s">
        <v>105</v>
      </c>
      <c r="I7" t="str">
        <f t="shared" si="0"/>
        <v>if ((PresetNumb &gt;=30) &amp;&amp; (PresetNumb&lt;40)) {PresetNumb = 30;}</v>
      </c>
    </row>
    <row r="8" spans="1:9">
      <c r="A8" s="38" t="s">
        <v>841</v>
      </c>
      <c r="B8">
        <v>40</v>
      </c>
      <c r="C8" t="s">
        <v>840</v>
      </c>
      <c r="D8">
        <v>50</v>
      </c>
      <c r="E8" t="s">
        <v>839</v>
      </c>
      <c r="F8">
        <v>40</v>
      </c>
      <c r="G8" t="s">
        <v>479</v>
      </c>
      <c r="H8" t="s">
        <v>105</v>
      </c>
      <c r="I8" t="str">
        <f t="shared" si="0"/>
        <v>if ((PresetNumb &gt;=40) &amp;&amp; (PresetNumb&lt;50)) {PresetNumb = 40;}</v>
      </c>
    </row>
    <row r="9" spans="1:9">
      <c r="A9" s="38" t="s">
        <v>841</v>
      </c>
      <c r="B9">
        <v>50</v>
      </c>
      <c r="C9" t="s">
        <v>840</v>
      </c>
      <c r="D9">
        <v>60</v>
      </c>
      <c r="E9" t="s">
        <v>839</v>
      </c>
      <c r="F9">
        <v>50</v>
      </c>
      <c r="G9" t="s">
        <v>479</v>
      </c>
      <c r="H9" t="s">
        <v>105</v>
      </c>
      <c r="I9" t="str">
        <f t="shared" si="0"/>
        <v>if ((PresetNumb &gt;=50) &amp;&amp; (PresetNumb&lt;60)) {PresetNumb = 50;}</v>
      </c>
    </row>
    <row r="10" spans="1:9">
      <c r="A10" s="38" t="s">
        <v>841</v>
      </c>
      <c r="B10">
        <v>60</v>
      </c>
      <c r="C10" t="s">
        <v>840</v>
      </c>
      <c r="D10">
        <v>70</v>
      </c>
      <c r="E10" t="s">
        <v>839</v>
      </c>
      <c r="F10">
        <v>60</v>
      </c>
      <c r="G10" t="s">
        <v>479</v>
      </c>
      <c r="H10" t="s">
        <v>105</v>
      </c>
      <c r="I10" t="str">
        <f t="shared" si="0"/>
        <v>if ((PresetNumb &gt;=60) &amp;&amp; (PresetNumb&lt;70)) {PresetNumb = 60;}</v>
      </c>
    </row>
    <row r="11" spans="1:9">
      <c r="A11" s="38" t="s">
        <v>841</v>
      </c>
      <c r="B11">
        <v>70</v>
      </c>
      <c r="C11" t="s">
        <v>840</v>
      </c>
      <c r="D11">
        <v>80</v>
      </c>
      <c r="E11" t="s">
        <v>839</v>
      </c>
      <c r="F11">
        <v>70</v>
      </c>
      <c r="G11" t="s">
        <v>479</v>
      </c>
      <c r="H11" t="s">
        <v>105</v>
      </c>
      <c r="I11" t="str">
        <f t="shared" si="0"/>
        <v>if ((PresetNumb &gt;=70) &amp;&amp; (PresetNumb&lt;80)) {PresetNumb = 70;}</v>
      </c>
    </row>
    <row r="12" spans="1:9">
      <c r="A12" s="38" t="s">
        <v>841</v>
      </c>
      <c r="B12">
        <v>80</v>
      </c>
      <c r="C12" t="s">
        <v>840</v>
      </c>
      <c r="D12">
        <v>90</v>
      </c>
      <c r="E12" t="s">
        <v>839</v>
      </c>
      <c r="F12">
        <v>80</v>
      </c>
      <c r="G12" t="s">
        <v>479</v>
      </c>
      <c r="H12" t="s">
        <v>105</v>
      </c>
      <c r="I12" t="str">
        <f t="shared" si="0"/>
        <v>if ((PresetNumb &gt;=80) &amp;&amp; (PresetNumb&lt;90)) {PresetNumb = 80;}</v>
      </c>
    </row>
    <row r="13" spans="1:9">
      <c r="A13" s="38" t="s">
        <v>841</v>
      </c>
      <c r="B13">
        <v>90</v>
      </c>
      <c r="C13" t="s">
        <v>840</v>
      </c>
      <c r="D13">
        <v>100</v>
      </c>
      <c r="E13" t="s">
        <v>839</v>
      </c>
      <c r="F13">
        <v>90</v>
      </c>
      <c r="G13" t="s">
        <v>479</v>
      </c>
      <c r="H13" t="s">
        <v>105</v>
      </c>
      <c r="I13" t="str">
        <f t="shared" si="0"/>
        <v>if ((PresetNumb &gt;=90) &amp;&amp; (PresetNumb&lt;100)) {PresetNumb = 90;}</v>
      </c>
    </row>
    <row r="14" spans="1:9">
      <c r="A14" s="38" t="s">
        <v>841</v>
      </c>
      <c r="B14">
        <v>100</v>
      </c>
      <c r="C14" t="s">
        <v>840</v>
      </c>
      <c r="D14">
        <v>110</v>
      </c>
      <c r="E14" t="s">
        <v>839</v>
      </c>
      <c r="F14">
        <v>100</v>
      </c>
      <c r="G14" t="s">
        <v>479</v>
      </c>
      <c r="H14" t="s">
        <v>105</v>
      </c>
      <c r="I14" t="str">
        <f t="shared" si="0"/>
        <v>if ((PresetNumb &gt;=100) &amp;&amp; (PresetNumb&lt;110)) {PresetNumb = 100;}</v>
      </c>
    </row>
    <row r="15" spans="1:9">
      <c r="A15" s="38" t="s">
        <v>841</v>
      </c>
      <c r="B15">
        <v>110</v>
      </c>
      <c r="C15" t="s">
        <v>840</v>
      </c>
      <c r="D15">
        <v>120</v>
      </c>
      <c r="E15" t="s">
        <v>839</v>
      </c>
      <c r="F15">
        <v>110</v>
      </c>
      <c r="G15" t="s">
        <v>479</v>
      </c>
      <c r="H15" t="s">
        <v>105</v>
      </c>
      <c r="I15" t="str">
        <f t="shared" si="0"/>
        <v>if ((PresetNumb &gt;=110) &amp;&amp; (PresetNumb&lt;120)) {PresetNumb = 110;}</v>
      </c>
    </row>
    <row r="16" spans="1:9">
      <c r="A16" s="38" t="s">
        <v>841</v>
      </c>
      <c r="B16">
        <v>120</v>
      </c>
      <c r="C16" t="s">
        <v>840</v>
      </c>
      <c r="D16">
        <v>130</v>
      </c>
      <c r="E16" t="s">
        <v>839</v>
      </c>
      <c r="F16">
        <v>120</v>
      </c>
      <c r="G16" t="s">
        <v>479</v>
      </c>
      <c r="H16" t="s">
        <v>105</v>
      </c>
      <c r="I16" t="str">
        <f t="shared" si="0"/>
        <v>if ((PresetNumb &gt;=120) &amp;&amp; (PresetNumb&lt;130)) {PresetNumb = 120;}</v>
      </c>
    </row>
    <row r="17" spans="1:9">
      <c r="A17" s="38" t="s">
        <v>841</v>
      </c>
      <c r="B17">
        <v>130</v>
      </c>
      <c r="C17" t="s">
        <v>840</v>
      </c>
      <c r="D17">
        <v>140</v>
      </c>
      <c r="E17" t="s">
        <v>839</v>
      </c>
      <c r="F17">
        <v>130</v>
      </c>
      <c r="G17" t="s">
        <v>479</v>
      </c>
      <c r="H17" t="s">
        <v>105</v>
      </c>
      <c r="I17" t="str">
        <f t="shared" si="0"/>
        <v>if ((PresetNumb &gt;=130) &amp;&amp; (PresetNumb&lt;140)) {PresetNumb = 130;}</v>
      </c>
    </row>
    <row r="18" spans="1:9">
      <c r="A18" s="38" t="s">
        <v>841</v>
      </c>
      <c r="B18">
        <v>140</v>
      </c>
      <c r="C18" t="s">
        <v>840</v>
      </c>
      <c r="D18">
        <v>150</v>
      </c>
      <c r="E18" t="s">
        <v>839</v>
      </c>
      <c r="F18">
        <v>140</v>
      </c>
      <c r="G18" t="s">
        <v>479</v>
      </c>
      <c r="H18" t="s">
        <v>105</v>
      </c>
      <c r="I18" t="str">
        <f t="shared" si="0"/>
        <v>if ((PresetNumb &gt;=140) &amp;&amp; (PresetNumb&lt;150)) {PresetNumb = 140;}</v>
      </c>
    </row>
    <row r="19" spans="1:9">
      <c r="A19" s="38" t="s">
        <v>841</v>
      </c>
      <c r="B19">
        <v>150</v>
      </c>
      <c r="C19" t="s">
        <v>840</v>
      </c>
      <c r="D19">
        <v>160</v>
      </c>
      <c r="E19" t="s">
        <v>839</v>
      </c>
      <c r="F19">
        <v>150</v>
      </c>
      <c r="G19" t="s">
        <v>479</v>
      </c>
      <c r="H19" t="s">
        <v>105</v>
      </c>
      <c r="I19" t="str">
        <f t="shared" si="0"/>
        <v>if ((PresetNumb &gt;=150) &amp;&amp; (PresetNumb&lt;160)) {PresetNumb = 150;}</v>
      </c>
    </row>
    <row r="20" spans="1:9">
      <c r="A20" s="38" t="s">
        <v>841</v>
      </c>
      <c r="B20">
        <v>160</v>
      </c>
      <c r="C20" t="s">
        <v>840</v>
      </c>
      <c r="D20">
        <v>170</v>
      </c>
      <c r="E20" t="s">
        <v>839</v>
      </c>
      <c r="F20">
        <v>160</v>
      </c>
      <c r="G20" t="s">
        <v>479</v>
      </c>
      <c r="H20" t="s">
        <v>105</v>
      </c>
      <c r="I20" t="str">
        <f t="shared" si="0"/>
        <v>if ((PresetNumb &gt;=160) &amp;&amp; (PresetNumb&lt;170)) {PresetNumb = 160;}</v>
      </c>
    </row>
    <row r="21" spans="1:9">
      <c r="A21" s="38" t="s">
        <v>841</v>
      </c>
      <c r="B21">
        <v>170</v>
      </c>
      <c r="C21" t="s">
        <v>840</v>
      </c>
      <c r="D21">
        <v>180</v>
      </c>
      <c r="E21" t="s">
        <v>839</v>
      </c>
      <c r="F21">
        <v>170</v>
      </c>
      <c r="G21" t="s">
        <v>479</v>
      </c>
      <c r="H21" t="s">
        <v>105</v>
      </c>
      <c r="I21" t="str">
        <f t="shared" si="0"/>
        <v>if ((PresetNumb &gt;=170) &amp;&amp; (PresetNumb&lt;180)) {PresetNumb = 170;}</v>
      </c>
    </row>
    <row r="22" spans="1:9">
      <c r="A22" s="38" t="s">
        <v>841</v>
      </c>
      <c r="B22">
        <v>180</v>
      </c>
      <c r="C22" t="s">
        <v>840</v>
      </c>
      <c r="D22">
        <v>190</v>
      </c>
      <c r="E22" t="s">
        <v>839</v>
      </c>
      <c r="F22">
        <v>180</v>
      </c>
      <c r="G22" t="s">
        <v>479</v>
      </c>
      <c r="H22" t="s">
        <v>105</v>
      </c>
      <c r="I22" t="str">
        <f t="shared" si="0"/>
        <v>if ((PresetNumb &gt;=180) &amp;&amp; (PresetNumb&lt;190)) {PresetNumb = 180;}</v>
      </c>
    </row>
    <row r="23" spans="1:9">
      <c r="A23" s="38" t="s">
        <v>841</v>
      </c>
      <c r="B23">
        <v>190</v>
      </c>
      <c r="C23" t="s">
        <v>840</v>
      </c>
      <c r="D23">
        <v>200</v>
      </c>
      <c r="E23" t="s">
        <v>839</v>
      </c>
      <c r="F23">
        <v>190</v>
      </c>
      <c r="G23" t="s">
        <v>479</v>
      </c>
      <c r="H23" t="s">
        <v>105</v>
      </c>
      <c r="I23" t="str">
        <f t="shared" si="0"/>
        <v>if ((PresetNumb &gt;=190) &amp;&amp; (PresetNumb&lt;200)) {PresetNumb = 190;}</v>
      </c>
    </row>
    <row r="24" spans="1:9">
      <c r="A24" s="38" t="s">
        <v>841</v>
      </c>
      <c r="B24">
        <v>200</v>
      </c>
      <c r="C24" t="s">
        <v>840</v>
      </c>
      <c r="D24">
        <v>210</v>
      </c>
      <c r="E24" t="s">
        <v>839</v>
      </c>
      <c r="F24">
        <v>200</v>
      </c>
      <c r="G24" t="s">
        <v>479</v>
      </c>
      <c r="H24" t="s">
        <v>105</v>
      </c>
      <c r="I24" t="str">
        <f t="shared" si="0"/>
        <v>if ((PresetNumb &gt;=200) &amp;&amp; (PresetNumb&lt;210)) {PresetNumb = 200;}</v>
      </c>
    </row>
    <row r="25" spans="1:9">
      <c r="A25" s="38" t="s">
        <v>841</v>
      </c>
      <c r="B25">
        <v>210</v>
      </c>
      <c r="C25" t="s">
        <v>840</v>
      </c>
      <c r="D25">
        <v>220</v>
      </c>
      <c r="E25" t="s">
        <v>839</v>
      </c>
      <c r="F25">
        <v>210</v>
      </c>
      <c r="G25" t="s">
        <v>479</v>
      </c>
      <c r="H25" t="s">
        <v>105</v>
      </c>
      <c r="I25" t="str">
        <f t="shared" si="0"/>
        <v>if ((PresetNumb &gt;=210) &amp;&amp; (PresetNumb&lt;220)) {PresetNumb = 210;}</v>
      </c>
    </row>
    <row r="26" spans="1:9">
      <c r="A26" s="38" t="s">
        <v>841</v>
      </c>
      <c r="B26">
        <v>220</v>
      </c>
      <c r="C26" t="s">
        <v>840</v>
      </c>
      <c r="D26">
        <v>230</v>
      </c>
      <c r="E26" t="s">
        <v>839</v>
      </c>
      <c r="F26">
        <v>220</v>
      </c>
      <c r="G26" t="s">
        <v>479</v>
      </c>
      <c r="H26" t="s">
        <v>105</v>
      </c>
      <c r="I26" t="str">
        <f t="shared" si="0"/>
        <v>if ((PresetNumb &gt;=220) &amp;&amp; (PresetNumb&lt;230)) {PresetNumb = 220;}</v>
      </c>
    </row>
    <row r="27" spans="1:9">
      <c r="A27" s="38" t="s">
        <v>841</v>
      </c>
      <c r="B27">
        <v>230</v>
      </c>
      <c r="C27" t="s">
        <v>840</v>
      </c>
      <c r="D27">
        <v>240</v>
      </c>
      <c r="E27" t="s">
        <v>839</v>
      </c>
      <c r="F27">
        <v>230</v>
      </c>
      <c r="G27" t="s">
        <v>479</v>
      </c>
      <c r="H27" t="s">
        <v>105</v>
      </c>
      <c r="I27" t="str">
        <f t="shared" si="0"/>
        <v>if ((PresetNumb &gt;=230) &amp;&amp; (PresetNumb&lt;240)) {PresetNumb = 230;}</v>
      </c>
    </row>
    <row r="28" spans="1:9">
      <c r="A28" s="38" t="s">
        <v>841</v>
      </c>
      <c r="B28">
        <v>240</v>
      </c>
      <c r="C28" t="s">
        <v>840</v>
      </c>
      <c r="D28">
        <v>250</v>
      </c>
      <c r="E28" t="s">
        <v>839</v>
      </c>
      <c r="F28">
        <v>240</v>
      </c>
      <c r="G28" t="s">
        <v>479</v>
      </c>
      <c r="H28" t="s">
        <v>105</v>
      </c>
      <c r="I28" t="str">
        <f t="shared" si="0"/>
        <v>if ((PresetNumb &gt;=240) &amp;&amp; (PresetNumb&lt;250)) {PresetNumb = 240;}</v>
      </c>
    </row>
    <row r="29" spans="1:9">
      <c r="A29" s="38" t="s">
        <v>841</v>
      </c>
      <c r="B29">
        <v>250</v>
      </c>
      <c r="C29" t="s">
        <v>840</v>
      </c>
      <c r="D29">
        <v>260</v>
      </c>
      <c r="E29" t="s">
        <v>839</v>
      </c>
      <c r="F29">
        <v>250</v>
      </c>
      <c r="G29" t="s">
        <v>479</v>
      </c>
      <c r="H29" t="s">
        <v>105</v>
      </c>
      <c r="I29" t="str">
        <f t="shared" si="0"/>
        <v>if ((PresetNumb &gt;=250) &amp;&amp; (PresetNumb&lt;260)) {PresetNumb = 250;}</v>
      </c>
    </row>
    <row r="30" spans="1:9">
      <c r="A30" s="38" t="s">
        <v>841</v>
      </c>
      <c r="B30">
        <v>260</v>
      </c>
      <c r="C30" t="s">
        <v>840</v>
      </c>
      <c r="D30">
        <v>270</v>
      </c>
      <c r="E30" t="s">
        <v>839</v>
      </c>
      <c r="F30">
        <v>260</v>
      </c>
      <c r="G30" t="s">
        <v>479</v>
      </c>
      <c r="H30" t="s">
        <v>105</v>
      </c>
      <c r="I30" t="str">
        <f t="shared" si="0"/>
        <v>if ((PresetNumb &gt;=260) &amp;&amp; (PresetNumb&lt;270)) {PresetNumb = 260;}</v>
      </c>
    </row>
    <row r="31" spans="1:9">
      <c r="A31" s="38" t="s">
        <v>841</v>
      </c>
      <c r="B31">
        <v>270</v>
      </c>
      <c r="C31" t="s">
        <v>840</v>
      </c>
      <c r="D31">
        <v>280</v>
      </c>
      <c r="E31" t="s">
        <v>839</v>
      </c>
      <c r="F31">
        <v>270</v>
      </c>
      <c r="G31" t="s">
        <v>479</v>
      </c>
      <c r="H31" t="s">
        <v>105</v>
      </c>
      <c r="I31" t="str">
        <f t="shared" si="0"/>
        <v>if ((PresetNumb &gt;=270) &amp;&amp; (PresetNumb&lt;280)) {PresetNumb = 270;}</v>
      </c>
    </row>
    <row r="32" spans="1:9">
      <c r="A32" s="38" t="s">
        <v>841</v>
      </c>
      <c r="B32">
        <v>280</v>
      </c>
      <c r="C32" t="s">
        <v>840</v>
      </c>
      <c r="D32">
        <v>290</v>
      </c>
      <c r="E32" t="s">
        <v>839</v>
      </c>
      <c r="F32">
        <v>280</v>
      </c>
      <c r="G32" t="s">
        <v>479</v>
      </c>
      <c r="H32" t="s">
        <v>105</v>
      </c>
      <c r="I32" t="str">
        <f t="shared" si="0"/>
        <v>if ((PresetNumb &gt;=280) &amp;&amp; (PresetNumb&lt;290)) {PresetNumb = 280;}</v>
      </c>
    </row>
    <row r="33" spans="1:9">
      <c r="A33" s="38" t="s">
        <v>841</v>
      </c>
      <c r="B33">
        <v>290</v>
      </c>
      <c r="C33" t="s">
        <v>840</v>
      </c>
      <c r="D33">
        <v>300</v>
      </c>
      <c r="E33" t="s">
        <v>839</v>
      </c>
      <c r="F33">
        <v>290</v>
      </c>
      <c r="G33" t="s">
        <v>479</v>
      </c>
      <c r="H33" t="s">
        <v>105</v>
      </c>
      <c r="I33" t="str">
        <f t="shared" si="0"/>
        <v>if ((PresetNumb &gt;=290) &amp;&amp; (PresetNumb&lt;300)) {PresetNumb = 290;}</v>
      </c>
    </row>
    <row r="34" spans="1:9">
      <c r="A34" s="38" t="s">
        <v>841</v>
      </c>
      <c r="B34">
        <v>300</v>
      </c>
      <c r="C34" t="s">
        <v>840</v>
      </c>
      <c r="D34">
        <v>310</v>
      </c>
      <c r="E34" t="s">
        <v>839</v>
      </c>
      <c r="F34">
        <v>300</v>
      </c>
      <c r="G34" t="s">
        <v>479</v>
      </c>
      <c r="H34" t="s">
        <v>105</v>
      </c>
      <c r="I34" t="str">
        <f t="shared" si="0"/>
        <v>if ((PresetNumb &gt;=300) &amp;&amp; (PresetNumb&lt;310)) {PresetNumb = 300;}</v>
      </c>
    </row>
    <row r="35" spans="1:9">
      <c r="A35" s="38" t="s">
        <v>841</v>
      </c>
      <c r="B35">
        <v>310</v>
      </c>
      <c r="C35" t="s">
        <v>840</v>
      </c>
      <c r="D35">
        <v>320</v>
      </c>
      <c r="E35" t="s">
        <v>839</v>
      </c>
      <c r="F35">
        <v>310</v>
      </c>
      <c r="G35" t="s">
        <v>479</v>
      </c>
      <c r="H35" t="s">
        <v>105</v>
      </c>
      <c r="I35" t="str">
        <f t="shared" si="0"/>
        <v>if ((PresetNumb &gt;=310) &amp;&amp; (PresetNumb&lt;320)) {PresetNumb = 310;}</v>
      </c>
    </row>
    <row r="36" spans="1:9">
      <c r="A36" s="38" t="s">
        <v>841</v>
      </c>
      <c r="B36">
        <v>320</v>
      </c>
      <c r="C36" t="s">
        <v>840</v>
      </c>
      <c r="D36">
        <v>330</v>
      </c>
      <c r="E36" t="s">
        <v>839</v>
      </c>
      <c r="F36">
        <v>320</v>
      </c>
      <c r="G36" t="s">
        <v>479</v>
      </c>
      <c r="H36" t="s">
        <v>105</v>
      </c>
      <c r="I36" t="str">
        <f t="shared" ref="I36:I67" si="1">A36&amp;B36&amp;C36&amp;D36&amp;E36&amp;F36&amp;G36&amp;H36</f>
        <v>if ((PresetNumb &gt;=320) &amp;&amp; (PresetNumb&lt;330)) {PresetNumb = 320;}</v>
      </c>
    </row>
    <row r="37" spans="1:9">
      <c r="A37" s="38" t="s">
        <v>841</v>
      </c>
      <c r="B37">
        <v>330</v>
      </c>
      <c r="C37" t="s">
        <v>840</v>
      </c>
      <c r="D37">
        <v>340</v>
      </c>
      <c r="E37" t="s">
        <v>839</v>
      </c>
      <c r="F37">
        <v>330</v>
      </c>
      <c r="G37" t="s">
        <v>479</v>
      </c>
      <c r="H37" t="s">
        <v>105</v>
      </c>
      <c r="I37" t="str">
        <f t="shared" si="1"/>
        <v>if ((PresetNumb &gt;=330) &amp;&amp; (PresetNumb&lt;340)) {PresetNumb = 330;}</v>
      </c>
    </row>
    <row r="38" spans="1:9">
      <c r="A38" s="38" t="s">
        <v>841</v>
      </c>
      <c r="B38">
        <v>340</v>
      </c>
      <c r="C38" t="s">
        <v>840</v>
      </c>
      <c r="D38">
        <v>350</v>
      </c>
      <c r="E38" t="s">
        <v>839</v>
      </c>
      <c r="F38">
        <v>340</v>
      </c>
      <c r="G38" t="s">
        <v>479</v>
      </c>
      <c r="H38" t="s">
        <v>105</v>
      </c>
      <c r="I38" t="str">
        <f t="shared" si="1"/>
        <v>if ((PresetNumb &gt;=340) &amp;&amp; (PresetNumb&lt;350)) {PresetNumb = 340;}</v>
      </c>
    </row>
    <row r="39" spans="1:9">
      <c r="A39" s="38" t="s">
        <v>841</v>
      </c>
      <c r="B39">
        <v>350</v>
      </c>
      <c r="C39" t="s">
        <v>840</v>
      </c>
      <c r="D39">
        <v>360</v>
      </c>
      <c r="E39" t="s">
        <v>839</v>
      </c>
      <c r="F39">
        <v>350</v>
      </c>
      <c r="G39" t="s">
        <v>479</v>
      </c>
      <c r="H39" t="s">
        <v>105</v>
      </c>
      <c r="I39" t="str">
        <f t="shared" si="1"/>
        <v>if ((PresetNumb &gt;=350) &amp;&amp; (PresetNumb&lt;360)) {PresetNumb = 350;}</v>
      </c>
    </row>
    <row r="40" spans="1:9">
      <c r="A40" s="38" t="s">
        <v>841</v>
      </c>
      <c r="B40">
        <v>360</v>
      </c>
      <c r="C40" t="s">
        <v>840</v>
      </c>
      <c r="D40">
        <v>370</v>
      </c>
      <c r="E40" t="s">
        <v>839</v>
      </c>
      <c r="F40">
        <v>360</v>
      </c>
      <c r="G40" t="s">
        <v>479</v>
      </c>
      <c r="H40" t="s">
        <v>105</v>
      </c>
      <c r="I40" t="str">
        <f t="shared" si="1"/>
        <v>if ((PresetNumb &gt;=360) &amp;&amp; (PresetNumb&lt;370)) {PresetNumb = 360;}</v>
      </c>
    </row>
    <row r="41" spans="1:9">
      <c r="A41" s="38" t="s">
        <v>841</v>
      </c>
      <c r="B41">
        <v>370</v>
      </c>
      <c r="C41" t="s">
        <v>840</v>
      </c>
      <c r="D41">
        <v>380</v>
      </c>
      <c r="E41" t="s">
        <v>839</v>
      </c>
      <c r="F41">
        <v>370</v>
      </c>
      <c r="G41" t="s">
        <v>479</v>
      </c>
      <c r="H41" t="s">
        <v>105</v>
      </c>
      <c r="I41" t="str">
        <f t="shared" si="1"/>
        <v>if ((PresetNumb &gt;=370) &amp;&amp; (PresetNumb&lt;380)) {PresetNumb = 370;}</v>
      </c>
    </row>
    <row r="42" spans="1:9">
      <c r="A42" s="38" t="s">
        <v>841</v>
      </c>
      <c r="B42">
        <v>380</v>
      </c>
      <c r="C42" t="s">
        <v>840</v>
      </c>
      <c r="D42">
        <v>390</v>
      </c>
      <c r="E42" t="s">
        <v>839</v>
      </c>
      <c r="F42">
        <v>380</v>
      </c>
      <c r="G42" t="s">
        <v>479</v>
      </c>
      <c r="H42" t="s">
        <v>105</v>
      </c>
      <c r="I42" t="str">
        <f t="shared" si="1"/>
        <v>if ((PresetNumb &gt;=380) &amp;&amp; (PresetNumb&lt;390)) {PresetNumb = 380;}</v>
      </c>
    </row>
    <row r="43" spans="1:9">
      <c r="A43" s="38" t="s">
        <v>841</v>
      </c>
      <c r="B43">
        <v>390</v>
      </c>
      <c r="C43" t="s">
        <v>840</v>
      </c>
      <c r="D43">
        <v>400</v>
      </c>
      <c r="E43" t="s">
        <v>839</v>
      </c>
      <c r="F43">
        <v>390</v>
      </c>
      <c r="G43" t="s">
        <v>479</v>
      </c>
      <c r="H43" t="s">
        <v>105</v>
      </c>
      <c r="I43" t="str">
        <f t="shared" si="1"/>
        <v>if ((PresetNumb &gt;=390) &amp;&amp; (PresetNumb&lt;400)) {PresetNumb = 390;}</v>
      </c>
    </row>
    <row r="44" spans="1:9">
      <c r="A44" s="38" t="s">
        <v>841</v>
      </c>
      <c r="B44">
        <v>400</v>
      </c>
      <c r="C44" t="s">
        <v>840</v>
      </c>
      <c r="D44">
        <v>410</v>
      </c>
      <c r="E44" t="s">
        <v>839</v>
      </c>
      <c r="F44">
        <v>400</v>
      </c>
      <c r="G44" t="s">
        <v>479</v>
      </c>
      <c r="H44" t="s">
        <v>105</v>
      </c>
      <c r="I44" t="str">
        <f t="shared" si="1"/>
        <v>if ((PresetNumb &gt;=400) &amp;&amp; (PresetNumb&lt;410)) {PresetNumb = 400;}</v>
      </c>
    </row>
    <row r="45" spans="1:9">
      <c r="A45" s="38" t="s">
        <v>841</v>
      </c>
      <c r="B45">
        <v>410</v>
      </c>
      <c r="C45" t="s">
        <v>840</v>
      </c>
      <c r="D45">
        <v>420</v>
      </c>
      <c r="E45" t="s">
        <v>839</v>
      </c>
      <c r="F45">
        <v>410</v>
      </c>
      <c r="G45" t="s">
        <v>479</v>
      </c>
      <c r="H45" t="s">
        <v>105</v>
      </c>
      <c r="I45" t="str">
        <f t="shared" si="1"/>
        <v>if ((PresetNumb &gt;=410) &amp;&amp; (PresetNumb&lt;420)) {PresetNumb = 410;}</v>
      </c>
    </row>
    <row r="46" spans="1:9">
      <c r="A46" s="38" t="s">
        <v>841</v>
      </c>
      <c r="B46">
        <v>420</v>
      </c>
      <c r="C46" t="s">
        <v>840</v>
      </c>
      <c r="D46">
        <v>430</v>
      </c>
      <c r="E46" t="s">
        <v>839</v>
      </c>
      <c r="F46">
        <v>420</v>
      </c>
      <c r="G46" t="s">
        <v>479</v>
      </c>
      <c r="H46" t="s">
        <v>105</v>
      </c>
      <c r="I46" t="str">
        <f t="shared" si="1"/>
        <v>if ((PresetNumb &gt;=420) &amp;&amp; (PresetNumb&lt;430)) {PresetNumb = 420;}</v>
      </c>
    </row>
    <row r="47" spans="1:9">
      <c r="A47" s="38" t="s">
        <v>841</v>
      </c>
      <c r="B47">
        <v>430</v>
      </c>
      <c r="C47" t="s">
        <v>840</v>
      </c>
      <c r="D47">
        <v>440</v>
      </c>
      <c r="E47" t="s">
        <v>839</v>
      </c>
      <c r="F47">
        <v>430</v>
      </c>
      <c r="G47" t="s">
        <v>479</v>
      </c>
      <c r="H47" t="s">
        <v>105</v>
      </c>
      <c r="I47" t="str">
        <f t="shared" si="1"/>
        <v>if ((PresetNumb &gt;=430) &amp;&amp; (PresetNumb&lt;440)) {PresetNumb = 430;}</v>
      </c>
    </row>
    <row r="48" spans="1:9">
      <c r="A48" s="38" t="s">
        <v>841</v>
      </c>
      <c r="B48">
        <v>440</v>
      </c>
      <c r="C48" t="s">
        <v>840</v>
      </c>
      <c r="D48">
        <v>450</v>
      </c>
      <c r="E48" t="s">
        <v>839</v>
      </c>
      <c r="F48">
        <v>440</v>
      </c>
      <c r="G48" t="s">
        <v>479</v>
      </c>
      <c r="H48" t="s">
        <v>105</v>
      </c>
      <c r="I48" t="str">
        <f t="shared" si="1"/>
        <v>if ((PresetNumb &gt;=440) &amp;&amp; (PresetNumb&lt;450)) {PresetNumb = 440;}</v>
      </c>
    </row>
    <row r="49" spans="1:9">
      <c r="A49" s="38" t="s">
        <v>841</v>
      </c>
      <c r="B49">
        <v>450</v>
      </c>
      <c r="C49" t="s">
        <v>840</v>
      </c>
      <c r="D49">
        <v>460</v>
      </c>
      <c r="E49" t="s">
        <v>839</v>
      </c>
      <c r="F49">
        <v>450</v>
      </c>
      <c r="G49" t="s">
        <v>479</v>
      </c>
      <c r="H49" t="s">
        <v>105</v>
      </c>
      <c r="I49" t="str">
        <f t="shared" si="1"/>
        <v>if ((PresetNumb &gt;=450) &amp;&amp; (PresetNumb&lt;460)) {PresetNumb = 450;}</v>
      </c>
    </row>
    <row r="50" spans="1:9">
      <c r="A50" s="38" t="s">
        <v>841</v>
      </c>
      <c r="B50">
        <v>460</v>
      </c>
      <c r="C50" t="s">
        <v>840</v>
      </c>
      <c r="D50">
        <v>470</v>
      </c>
      <c r="E50" t="s">
        <v>839</v>
      </c>
      <c r="F50">
        <v>460</v>
      </c>
      <c r="G50" t="s">
        <v>479</v>
      </c>
      <c r="H50" t="s">
        <v>105</v>
      </c>
      <c r="I50" t="str">
        <f t="shared" si="1"/>
        <v>if ((PresetNumb &gt;=460) &amp;&amp; (PresetNumb&lt;470)) {PresetNumb = 460;}</v>
      </c>
    </row>
    <row r="51" spans="1:9">
      <c r="A51" s="38" t="s">
        <v>841</v>
      </c>
      <c r="B51">
        <v>470</v>
      </c>
      <c r="C51" t="s">
        <v>840</v>
      </c>
      <c r="D51">
        <v>480</v>
      </c>
      <c r="E51" t="s">
        <v>839</v>
      </c>
      <c r="F51">
        <v>470</v>
      </c>
      <c r="G51" t="s">
        <v>479</v>
      </c>
      <c r="H51" t="s">
        <v>105</v>
      </c>
      <c r="I51" t="str">
        <f t="shared" si="1"/>
        <v>if ((PresetNumb &gt;=470) &amp;&amp; (PresetNumb&lt;480)) {PresetNumb = 470;}</v>
      </c>
    </row>
    <row r="52" spans="1:9">
      <c r="A52" s="38" t="s">
        <v>841</v>
      </c>
      <c r="B52">
        <v>480</v>
      </c>
      <c r="C52" t="s">
        <v>840</v>
      </c>
      <c r="D52">
        <v>490</v>
      </c>
      <c r="E52" t="s">
        <v>839</v>
      </c>
      <c r="F52">
        <v>480</v>
      </c>
      <c r="G52" t="s">
        <v>479</v>
      </c>
      <c r="H52" t="s">
        <v>105</v>
      </c>
      <c r="I52" t="str">
        <f t="shared" si="1"/>
        <v>if ((PresetNumb &gt;=480) &amp;&amp; (PresetNumb&lt;490)) {PresetNumb = 480;}</v>
      </c>
    </row>
    <row r="53" spans="1:9">
      <c r="A53" s="38" t="s">
        <v>841</v>
      </c>
      <c r="B53">
        <v>490</v>
      </c>
      <c r="C53" t="s">
        <v>840</v>
      </c>
      <c r="D53">
        <v>500</v>
      </c>
      <c r="E53" t="s">
        <v>839</v>
      </c>
      <c r="F53">
        <v>490</v>
      </c>
      <c r="G53" t="s">
        <v>479</v>
      </c>
      <c r="H53" t="s">
        <v>105</v>
      </c>
      <c r="I53" t="str">
        <f t="shared" si="1"/>
        <v>if ((PresetNumb &gt;=490) &amp;&amp; (PresetNumb&lt;500)) {PresetNumb = 490;}</v>
      </c>
    </row>
    <row r="54" spans="1:9">
      <c r="A54" s="38" t="s">
        <v>841</v>
      </c>
      <c r="B54">
        <v>500</v>
      </c>
      <c r="C54" t="s">
        <v>840</v>
      </c>
      <c r="D54">
        <v>510</v>
      </c>
      <c r="E54" t="s">
        <v>839</v>
      </c>
      <c r="F54">
        <v>500</v>
      </c>
      <c r="G54" t="s">
        <v>479</v>
      </c>
      <c r="H54" t="s">
        <v>105</v>
      </c>
      <c r="I54" t="str">
        <f t="shared" si="1"/>
        <v>if ((PresetNumb &gt;=500) &amp;&amp; (PresetNumb&lt;510)) {PresetNumb = 500;}</v>
      </c>
    </row>
    <row r="55" spans="1:9">
      <c r="A55" s="38" t="s">
        <v>841</v>
      </c>
      <c r="B55">
        <v>510</v>
      </c>
      <c r="C55" t="s">
        <v>840</v>
      </c>
      <c r="D55">
        <v>520</v>
      </c>
      <c r="E55" t="s">
        <v>839</v>
      </c>
      <c r="F55">
        <v>510</v>
      </c>
      <c r="G55" t="s">
        <v>479</v>
      </c>
      <c r="H55" t="s">
        <v>105</v>
      </c>
      <c r="I55" t="str">
        <f t="shared" si="1"/>
        <v>if ((PresetNumb &gt;=510) &amp;&amp; (PresetNumb&lt;520)) {PresetNumb = 510;}</v>
      </c>
    </row>
    <row r="56" spans="1:9">
      <c r="A56" s="38" t="s">
        <v>841</v>
      </c>
      <c r="B56">
        <v>520</v>
      </c>
      <c r="C56" t="s">
        <v>840</v>
      </c>
      <c r="D56">
        <v>530</v>
      </c>
      <c r="E56" t="s">
        <v>839</v>
      </c>
      <c r="F56">
        <v>520</v>
      </c>
      <c r="G56" t="s">
        <v>479</v>
      </c>
      <c r="H56" t="s">
        <v>105</v>
      </c>
      <c r="I56" t="str">
        <f t="shared" si="1"/>
        <v>if ((PresetNumb &gt;=520) &amp;&amp; (PresetNumb&lt;530)) {PresetNumb = 520;}</v>
      </c>
    </row>
    <row r="57" spans="1:9">
      <c r="A57" s="38" t="s">
        <v>841</v>
      </c>
      <c r="B57">
        <v>530</v>
      </c>
      <c r="C57" t="s">
        <v>840</v>
      </c>
      <c r="D57">
        <v>540</v>
      </c>
      <c r="E57" t="s">
        <v>839</v>
      </c>
      <c r="F57">
        <v>530</v>
      </c>
      <c r="G57" t="s">
        <v>479</v>
      </c>
      <c r="H57" t="s">
        <v>105</v>
      </c>
      <c r="I57" t="str">
        <f t="shared" si="1"/>
        <v>if ((PresetNumb &gt;=530) &amp;&amp; (PresetNumb&lt;540)) {PresetNumb = 530;}</v>
      </c>
    </row>
    <row r="58" spans="1:9">
      <c r="A58" s="38" t="s">
        <v>841</v>
      </c>
      <c r="B58">
        <v>540</v>
      </c>
      <c r="C58" t="s">
        <v>840</v>
      </c>
      <c r="D58">
        <v>550</v>
      </c>
      <c r="E58" t="s">
        <v>839</v>
      </c>
      <c r="F58">
        <v>540</v>
      </c>
      <c r="G58" t="s">
        <v>479</v>
      </c>
      <c r="H58" t="s">
        <v>105</v>
      </c>
      <c r="I58" t="str">
        <f t="shared" si="1"/>
        <v>if ((PresetNumb &gt;=540) &amp;&amp; (PresetNumb&lt;550)) {PresetNumb = 540;}</v>
      </c>
    </row>
    <row r="59" spans="1:9">
      <c r="A59" s="38" t="s">
        <v>841</v>
      </c>
      <c r="B59">
        <v>550</v>
      </c>
      <c r="C59" t="s">
        <v>840</v>
      </c>
      <c r="D59">
        <v>560</v>
      </c>
      <c r="E59" t="s">
        <v>839</v>
      </c>
      <c r="F59">
        <v>550</v>
      </c>
      <c r="G59" t="s">
        <v>479</v>
      </c>
      <c r="H59" t="s">
        <v>105</v>
      </c>
      <c r="I59" t="str">
        <f t="shared" si="1"/>
        <v>if ((PresetNumb &gt;=550) &amp;&amp; (PresetNumb&lt;560)) {PresetNumb = 550;}</v>
      </c>
    </row>
    <row r="60" spans="1:9">
      <c r="A60" s="38" t="s">
        <v>841</v>
      </c>
      <c r="B60">
        <v>560</v>
      </c>
      <c r="C60" t="s">
        <v>840</v>
      </c>
      <c r="D60">
        <v>570</v>
      </c>
      <c r="E60" t="s">
        <v>839</v>
      </c>
      <c r="F60">
        <v>560</v>
      </c>
      <c r="G60" t="s">
        <v>479</v>
      </c>
      <c r="H60" t="s">
        <v>105</v>
      </c>
      <c r="I60" t="str">
        <f t="shared" si="1"/>
        <v>if ((PresetNumb &gt;=560) &amp;&amp; (PresetNumb&lt;570)) {PresetNumb = 560;}</v>
      </c>
    </row>
    <row r="61" spans="1:9">
      <c r="A61" s="38" t="s">
        <v>841</v>
      </c>
      <c r="B61">
        <v>570</v>
      </c>
      <c r="C61" t="s">
        <v>840</v>
      </c>
      <c r="D61">
        <v>580</v>
      </c>
      <c r="E61" t="s">
        <v>839</v>
      </c>
      <c r="F61">
        <v>570</v>
      </c>
      <c r="G61" t="s">
        <v>479</v>
      </c>
      <c r="H61" t="s">
        <v>105</v>
      </c>
      <c r="I61" t="str">
        <f t="shared" si="1"/>
        <v>if ((PresetNumb &gt;=570) &amp;&amp; (PresetNumb&lt;580)) {PresetNumb = 570;}</v>
      </c>
    </row>
    <row r="62" spans="1:9">
      <c r="A62" s="38" t="s">
        <v>841</v>
      </c>
      <c r="B62">
        <v>580</v>
      </c>
      <c r="C62" t="s">
        <v>840</v>
      </c>
      <c r="D62">
        <v>590</v>
      </c>
      <c r="E62" t="s">
        <v>839</v>
      </c>
      <c r="F62">
        <v>580</v>
      </c>
      <c r="G62" t="s">
        <v>479</v>
      </c>
      <c r="H62" t="s">
        <v>105</v>
      </c>
      <c r="I62" t="str">
        <f t="shared" si="1"/>
        <v>if ((PresetNumb &gt;=580) &amp;&amp; (PresetNumb&lt;590)) {PresetNumb = 580;}</v>
      </c>
    </row>
    <row r="63" spans="1:9">
      <c r="A63" s="38" t="s">
        <v>841</v>
      </c>
      <c r="B63">
        <v>590</v>
      </c>
      <c r="C63" t="s">
        <v>840</v>
      </c>
      <c r="D63">
        <v>600</v>
      </c>
      <c r="E63" t="s">
        <v>839</v>
      </c>
      <c r="F63">
        <v>590</v>
      </c>
      <c r="G63" t="s">
        <v>479</v>
      </c>
      <c r="H63" t="s">
        <v>105</v>
      </c>
      <c r="I63" t="str">
        <f t="shared" si="1"/>
        <v>if ((PresetNumb &gt;=590) &amp;&amp; (PresetNumb&lt;600)) {PresetNumb = 590;}</v>
      </c>
    </row>
    <row r="64" spans="1:9">
      <c r="A64" s="38" t="s">
        <v>841</v>
      </c>
      <c r="B64">
        <v>600</v>
      </c>
      <c r="C64" t="s">
        <v>840</v>
      </c>
      <c r="D64">
        <v>610</v>
      </c>
      <c r="E64" t="s">
        <v>839</v>
      </c>
      <c r="F64">
        <v>600</v>
      </c>
      <c r="G64" t="s">
        <v>479</v>
      </c>
      <c r="H64" t="s">
        <v>105</v>
      </c>
      <c r="I64" t="str">
        <f t="shared" si="1"/>
        <v>if ((PresetNumb &gt;=600) &amp;&amp; (PresetNumb&lt;610)) {PresetNumb = 600;}</v>
      </c>
    </row>
    <row r="65" spans="1:9">
      <c r="A65" s="38" t="s">
        <v>841</v>
      </c>
      <c r="B65">
        <v>610</v>
      </c>
      <c r="C65" t="s">
        <v>840</v>
      </c>
      <c r="D65">
        <v>620</v>
      </c>
      <c r="E65" t="s">
        <v>839</v>
      </c>
      <c r="F65">
        <v>610</v>
      </c>
      <c r="G65" t="s">
        <v>479</v>
      </c>
      <c r="H65" t="s">
        <v>105</v>
      </c>
      <c r="I65" t="str">
        <f t="shared" si="1"/>
        <v>if ((PresetNumb &gt;=610) &amp;&amp; (PresetNumb&lt;620)) {PresetNumb = 610;}</v>
      </c>
    </row>
    <row r="66" spans="1:9">
      <c r="A66" s="38" t="s">
        <v>841</v>
      </c>
      <c r="B66">
        <v>620</v>
      </c>
      <c r="C66" t="s">
        <v>840</v>
      </c>
      <c r="D66">
        <v>630</v>
      </c>
      <c r="E66" t="s">
        <v>839</v>
      </c>
      <c r="F66">
        <v>620</v>
      </c>
      <c r="G66" t="s">
        <v>479</v>
      </c>
      <c r="H66" t="s">
        <v>105</v>
      </c>
      <c r="I66" t="str">
        <f t="shared" si="1"/>
        <v>if ((PresetNumb &gt;=620) &amp;&amp; (PresetNumb&lt;630)) {PresetNumb = 620;}</v>
      </c>
    </row>
    <row r="67" spans="1:9">
      <c r="A67" s="38" t="s">
        <v>841</v>
      </c>
      <c r="B67">
        <v>630</v>
      </c>
      <c r="C67" t="s">
        <v>840</v>
      </c>
      <c r="D67">
        <v>640</v>
      </c>
      <c r="E67" t="s">
        <v>839</v>
      </c>
      <c r="F67">
        <v>630</v>
      </c>
      <c r="G67" t="s">
        <v>479</v>
      </c>
      <c r="H67" t="s">
        <v>105</v>
      </c>
      <c r="I67" t="str">
        <f t="shared" si="1"/>
        <v>if ((PresetNumb &gt;=630) &amp;&amp; (PresetNumb&lt;640)) {PresetNumb = 630;}</v>
      </c>
    </row>
    <row r="68" spans="1:9">
      <c r="A68" s="38" t="s">
        <v>841</v>
      </c>
      <c r="B68">
        <v>640</v>
      </c>
      <c r="C68" t="s">
        <v>840</v>
      </c>
      <c r="D68">
        <v>650</v>
      </c>
      <c r="E68" t="s">
        <v>839</v>
      </c>
      <c r="F68">
        <v>640</v>
      </c>
      <c r="G68" t="s">
        <v>479</v>
      </c>
      <c r="H68" t="s">
        <v>105</v>
      </c>
      <c r="I68" t="str">
        <f t="shared" ref="I68:I99" si="2">A68&amp;B68&amp;C68&amp;D68&amp;E68&amp;F68&amp;G68&amp;H68</f>
        <v>if ((PresetNumb &gt;=640) &amp;&amp; (PresetNumb&lt;650)) {PresetNumb = 640;}</v>
      </c>
    </row>
    <row r="69" spans="1:9">
      <c r="A69" s="38" t="s">
        <v>841</v>
      </c>
      <c r="B69">
        <v>650</v>
      </c>
      <c r="C69" t="s">
        <v>840</v>
      </c>
      <c r="D69">
        <v>660</v>
      </c>
      <c r="E69" t="s">
        <v>839</v>
      </c>
      <c r="F69">
        <v>650</v>
      </c>
      <c r="G69" t="s">
        <v>479</v>
      </c>
      <c r="H69" t="s">
        <v>105</v>
      </c>
      <c r="I69" t="str">
        <f t="shared" si="2"/>
        <v>if ((PresetNumb &gt;=650) &amp;&amp; (PresetNumb&lt;660)) {PresetNumb = 650;}</v>
      </c>
    </row>
    <row r="70" spans="1:9">
      <c r="A70" s="38" t="s">
        <v>841</v>
      </c>
      <c r="B70">
        <v>660</v>
      </c>
      <c r="C70" t="s">
        <v>840</v>
      </c>
      <c r="D70">
        <v>670</v>
      </c>
      <c r="E70" t="s">
        <v>839</v>
      </c>
      <c r="F70">
        <v>660</v>
      </c>
      <c r="G70" t="s">
        <v>479</v>
      </c>
      <c r="H70" t="s">
        <v>105</v>
      </c>
      <c r="I70" t="str">
        <f t="shared" si="2"/>
        <v>if ((PresetNumb &gt;=660) &amp;&amp; (PresetNumb&lt;670)) {PresetNumb = 660;}</v>
      </c>
    </row>
    <row r="71" spans="1:9">
      <c r="A71" s="38" t="s">
        <v>841</v>
      </c>
      <c r="B71">
        <v>670</v>
      </c>
      <c r="C71" t="s">
        <v>840</v>
      </c>
      <c r="D71">
        <v>680</v>
      </c>
      <c r="E71" t="s">
        <v>839</v>
      </c>
      <c r="F71">
        <v>670</v>
      </c>
      <c r="G71" t="s">
        <v>479</v>
      </c>
      <c r="H71" t="s">
        <v>105</v>
      </c>
      <c r="I71" t="str">
        <f t="shared" si="2"/>
        <v>if ((PresetNumb &gt;=670) &amp;&amp; (PresetNumb&lt;680)) {PresetNumb = 670;}</v>
      </c>
    </row>
    <row r="72" spans="1:9">
      <c r="A72" s="38" t="s">
        <v>841</v>
      </c>
      <c r="B72">
        <v>680</v>
      </c>
      <c r="C72" t="s">
        <v>840</v>
      </c>
      <c r="D72">
        <v>690</v>
      </c>
      <c r="E72" t="s">
        <v>839</v>
      </c>
      <c r="F72">
        <v>680</v>
      </c>
      <c r="G72" t="s">
        <v>479</v>
      </c>
      <c r="H72" t="s">
        <v>105</v>
      </c>
      <c r="I72" t="str">
        <f t="shared" si="2"/>
        <v>if ((PresetNumb &gt;=680) &amp;&amp; (PresetNumb&lt;690)) {PresetNumb = 680;}</v>
      </c>
    </row>
    <row r="73" spans="1:9">
      <c r="A73" s="38" t="s">
        <v>841</v>
      </c>
      <c r="B73">
        <v>690</v>
      </c>
      <c r="C73" t="s">
        <v>840</v>
      </c>
      <c r="D73">
        <v>700</v>
      </c>
      <c r="E73" t="s">
        <v>839</v>
      </c>
      <c r="F73">
        <v>690</v>
      </c>
      <c r="G73" t="s">
        <v>479</v>
      </c>
      <c r="H73" t="s">
        <v>105</v>
      </c>
      <c r="I73" t="str">
        <f t="shared" si="2"/>
        <v>if ((PresetNumb &gt;=690) &amp;&amp; (PresetNumb&lt;700)) {PresetNumb = 690;}</v>
      </c>
    </row>
    <row r="74" spans="1:9">
      <c r="A74" s="38" t="s">
        <v>841</v>
      </c>
      <c r="B74">
        <v>700</v>
      </c>
      <c r="C74" t="s">
        <v>840</v>
      </c>
      <c r="D74">
        <v>710</v>
      </c>
      <c r="E74" t="s">
        <v>839</v>
      </c>
      <c r="F74">
        <v>700</v>
      </c>
      <c r="G74" t="s">
        <v>479</v>
      </c>
      <c r="H74" t="s">
        <v>105</v>
      </c>
      <c r="I74" t="str">
        <f t="shared" si="2"/>
        <v>if ((PresetNumb &gt;=700) &amp;&amp; (PresetNumb&lt;710)) {PresetNumb = 700;}</v>
      </c>
    </row>
    <row r="75" spans="1:9">
      <c r="A75" s="38" t="s">
        <v>841</v>
      </c>
      <c r="B75">
        <v>710</v>
      </c>
      <c r="C75" t="s">
        <v>840</v>
      </c>
      <c r="D75">
        <v>720</v>
      </c>
      <c r="E75" t="s">
        <v>839</v>
      </c>
      <c r="F75">
        <v>710</v>
      </c>
      <c r="G75" t="s">
        <v>479</v>
      </c>
      <c r="H75" t="s">
        <v>105</v>
      </c>
      <c r="I75" t="str">
        <f t="shared" si="2"/>
        <v>if ((PresetNumb &gt;=710) &amp;&amp; (PresetNumb&lt;720)) {PresetNumb = 710;}</v>
      </c>
    </row>
    <row r="76" spans="1:9">
      <c r="A76" s="38" t="s">
        <v>841</v>
      </c>
      <c r="B76">
        <v>720</v>
      </c>
      <c r="C76" t="s">
        <v>840</v>
      </c>
      <c r="D76">
        <v>730</v>
      </c>
      <c r="E76" t="s">
        <v>839</v>
      </c>
      <c r="F76">
        <v>720</v>
      </c>
      <c r="G76" t="s">
        <v>479</v>
      </c>
      <c r="H76" t="s">
        <v>105</v>
      </c>
      <c r="I76" t="str">
        <f t="shared" si="2"/>
        <v>if ((PresetNumb &gt;=720) &amp;&amp; (PresetNumb&lt;730)) {PresetNumb = 720;}</v>
      </c>
    </row>
    <row r="77" spans="1:9">
      <c r="A77" s="38" t="s">
        <v>841</v>
      </c>
      <c r="B77">
        <v>730</v>
      </c>
      <c r="C77" t="s">
        <v>840</v>
      </c>
      <c r="D77">
        <v>740</v>
      </c>
      <c r="E77" t="s">
        <v>839</v>
      </c>
      <c r="F77">
        <v>730</v>
      </c>
      <c r="G77" t="s">
        <v>479</v>
      </c>
      <c r="H77" t="s">
        <v>105</v>
      </c>
      <c r="I77" t="str">
        <f t="shared" si="2"/>
        <v>if ((PresetNumb &gt;=730) &amp;&amp; (PresetNumb&lt;740)) {PresetNumb = 730;}</v>
      </c>
    </row>
    <row r="78" spans="1:9">
      <c r="A78" s="38" t="s">
        <v>841</v>
      </c>
      <c r="B78">
        <v>740</v>
      </c>
      <c r="C78" t="s">
        <v>840</v>
      </c>
      <c r="D78">
        <v>750</v>
      </c>
      <c r="E78" t="s">
        <v>839</v>
      </c>
      <c r="F78">
        <v>740</v>
      </c>
      <c r="G78" t="s">
        <v>479</v>
      </c>
      <c r="H78" t="s">
        <v>105</v>
      </c>
      <c r="I78" t="str">
        <f t="shared" si="2"/>
        <v>if ((PresetNumb &gt;=740) &amp;&amp; (PresetNumb&lt;750)) {PresetNumb = 740;}</v>
      </c>
    </row>
    <row r="79" spans="1:9">
      <c r="A79" s="38" t="s">
        <v>841</v>
      </c>
      <c r="B79">
        <v>750</v>
      </c>
      <c r="C79" t="s">
        <v>840</v>
      </c>
      <c r="D79">
        <v>760</v>
      </c>
      <c r="E79" t="s">
        <v>839</v>
      </c>
      <c r="F79">
        <v>750</v>
      </c>
      <c r="G79" t="s">
        <v>479</v>
      </c>
      <c r="H79" t="s">
        <v>105</v>
      </c>
      <c r="I79" t="str">
        <f t="shared" si="2"/>
        <v>if ((PresetNumb &gt;=750) &amp;&amp; (PresetNumb&lt;760)) {PresetNumb = 750;}</v>
      </c>
    </row>
    <row r="80" spans="1:9">
      <c r="A80" s="38" t="s">
        <v>841</v>
      </c>
      <c r="B80">
        <v>760</v>
      </c>
      <c r="C80" t="s">
        <v>840</v>
      </c>
      <c r="D80">
        <v>770</v>
      </c>
      <c r="E80" t="s">
        <v>839</v>
      </c>
      <c r="F80">
        <v>760</v>
      </c>
      <c r="G80" t="s">
        <v>479</v>
      </c>
      <c r="H80" t="s">
        <v>105</v>
      </c>
      <c r="I80" t="str">
        <f t="shared" si="2"/>
        <v>if ((PresetNumb &gt;=760) &amp;&amp; (PresetNumb&lt;770)) {PresetNumb = 760;}</v>
      </c>
    </row>
    <row r="81" spans="1:9">
      <c r="A81" s="38" t="s">
        <v>841</v>
      </c>
      <c r="B81">
        <v>770</v>
      </c>
      <c r="C81" t="s">
        <v>840</v>
      </c>
      <c r="D81">
        <v>780</v>
      </c>
      <c r="E81" t="s">
        <v>839</v>
      </c>
      <c r="F81">
        <v>770</v>
      </c>
      <c r="G81" t="s">
        <v>479</v>
      </c>
      <c r="H81" t="s">
        <v>105</v>
      </c>
      <c r="I81" t="str">
        <f t="shared" si="2"/>
        <v>if ((PresetNumb &gt;=770) &amp;&amp; (PresetNumb&lt;780)) {PresetNumb = 770;}</v>
      </c>
    </row>
    <row r="82" spans="1:9">
      <c r="A82" s="38" t="s">
        <v>841</v>
      </c>
      <c r="B82">
        <v>780</v>
      </c>
      <c r="C82" t="s">
        <v>840</v>
      </c>
      <c r="D82">
        <v>790</v>
      </c>
      <c r="E82" t="s">
        <v>839</v>
      </c>
      <c r="F82">
        <v>780</v>
      </c>
      <c r="G82" t="s">
        <v>479</v>
      </c>
      <c r="H82" t="s">
        <v>105</v>
      </c>
      <c r="I82" t="str">
        <f t="shared" si="2"/>
        <v>if ((PresetNumb &gt;=780) &amp;&amp; (PresetNumb&lt;790)) {PresetNumb = 780;}</v>
      </c>
    </row>
    <row r="83" spans="1:9">
      <c r="A83" s="38" t="s">
        <v>841</v>
      </c>
      <c r="B83">
        <v>790</v>
      </c>
      <c r="C83" t="s">
        <v>840</v>
      </c>
      <c r="D83">
        <v>800</v>
      </c>
      <c r="E83" t="s">
        <v>839</v>
      </c>
      <c r="F83">
        <v>790</v>
      </c>
      <c r="G83" t="s">
        <v>479</v>
      </c>
      <c r="H83" t="s">
        <v>105</v>
      </c>
      <c r="I83" t="str">
        <f t="shared" si="2"/>
        <v>if ((PresetNumb &gt;=790) &amp;&amp; (PresetNumb&lt;800)) {PresetNumb = 790;}</v>
      </c>
    </row>
    <row r="84" spans="1:9">
      <c r="A84" s="38" t="s">
        <v>841</v>
      </c>
      <c r="B84">
        <v>800</v>
      </c>
      <c r="C84" t="s">
        <v>840</v>
      </c>
      <c r="D84">
        <v>810</v>
      </c>
      <c r="E84" t="s">
        <v>839</v>
      </c>
      <c r="F84">
        <v>800</v>
      </c>
      <c r="G84" t="s">
        <v>479</v>
      </c>
      <c r="H84" t="s">
        <v>105</v>
      </c>
      <c r="I84" t="str">
        <f t="shared" si="2"/>
        <v>if ((PresetNumb &gt;=800) &amp;&amp; (PresetNumb&lt;810)) {PresetNumb = 800;}</v>
      </c>
    </row>
    <row r="85" spans="1:9">
      <c r="A85" s="38" t="s">
        <v>841</v>
      </c>
      <c r="B85">
        <v>810</v>
      </c>
      <c r="C85" t="s">
        <v>840</v>
      </c>
      <c r="D85">
        <v>820</v>
      </c>
      <c r="E85" t="s">
        <v>839</v>
      </c>
      <c r="F85">
        <v>810</v>
      </c>
      <c r="G85" t="s">
        <v>479</v>
      </c>
      <c r="H85" t="s">
        <v>105</v>
      </c>
      <c r="I85" t="str">
        <f t="shared" si="2"/>
        <v>if ((PresetNumb &gt;=810) &amp;&amp; (PresetNumb&lt;820)) {PresetNumb = 810;}</v>
      </c>
    </row>
    <row r="86" spans="1:9">
      <c r="A86" s="38" t="s">
        <v>841</v>
      </c>
      <c r="B86">
        <v>820</v>
      </c>
      <c r="C86" t="s">
        <v>840</v>
      </c>
      <c r="D86">
        <v>830</v>
      </c>
      <c r="E86" t="s">
        <v>839</v>
      </c>
      <c r="F86">
        <v>820</v>
      </c>
      <c r="G86" t="s">
        <v>479</v>
      </c>
      <c r="H86" t="s">
        <v>105</v>
      </c>
      <c r="I86" t="str">
        <f t="shared" si="2"/>
        <v>if ((PresetNumb &gt;=820) &amp;&amp; (PresetNumb&lt;830)) {PresetNumb = 820;}</v>
      </c>
    </row>
    <row r="87" spans="1:9">
      <c r="A87" s="38" t="s">
        <v>841</v>
      </c>
      <c r="B87">
        <v>830</v>
      </c>
      <c r="C87" t="s">
        <v>840</v>
      </c>
      <c r="D87">
        <v>840</v>
      </c>
      <c r="E87" t="s">
        <v>839</v>
      </c>
      <c r="F87">
        <v>830</v>
      </c>
      <c r="G87" t="s">
        <v>479</v>
      </c>
      <c r="H87" t="s">
        <v>105</v>
      </c>
      <c r="I87" t="str">
        <f t="shared" si="2"/>
        <v>if ((PresetNumb &gt;=830) &amp;&amp; (PresetNumb&lt;840)) {PresetNumb = 830;}</v>
      </c>
    </row>
    <row r="88" spans="1:9">
      <c r="A88" s="38" t="s">
        <v>841</v>
      </c>
      <c r="B88">
        <v>840</v>
      </c>
      <c r="C88" t="s">
        <v>840</v>
      </c>
      <c r="D88">
        <v>850</v>
      </c>
      <c r="E88" t="s">
        <v>839</v>
      </c>
      <c r="F88">
        <v>840</v>
      </c>
      <c r="G88" t="s">
        <v>479</v>
      </c>
      <c r="H88" t="s">
        <v>105</v>
      </c>
      <c r="I88" t="str">
        <f t="shared" si="2"/>
        <v>if ((PresetNumb &gt;=840) &amp;&amp; (PresetNumb&lt;850)) {PresetNumb = 840;}</v>
      </c>
    </row>
    <row r="89" spans="1:9">
      <c r="A89" s="38" t="s">
        <v>841</v>
      </c>
      <c r="B89">
        <v>850</v>
      </c>
      <c r="C89" t="s">
        <v>840</v>
      </c>
      <c r="D89">
        <v>860</v>
      </c>
      <c r="E89" t="s">
        <v>839</v>
      </c>
      <c r="F89">
        <v>850</v>
      </c>
      <c r="G89" t="s">
        <v>479</v>
      </c>
      <c r="H89" t="s">
        <v>105</v>
      </c>
      <c r="I89" t="str">
        <f t="shared" si="2"/>
        <v>if ((PresetNumb &gt;=850) &amp;&amp; (PresetNumb&lt;860)) {PresetNumb = 850;}</v>
      </c>
    </row>
    <row r="90" spans="1:9">
      <c r="A90" s="38" t="s">
        <v>841</v>
      </c>
      <c r="B90">
        <v>860</v>
      </c>
      <c r="C90" t="s">
        <v>840</v>
      </c>
      <c r="D90">
        <v>870</v>
      </c>
      <c r="E90" t="s">
        <v>839</v>
      </c>
      <c r="F90">
        <v>860</v>
      </c>
      <c r="G90" t="s">
        <v>479</v>
      </c>
      <c r="H90" t="s">
        <v>105</v>
      </c>
      <c r="I90" t="str">
        <f t="shared" si="2"/>
        <v>if ((PresetNumb &gt;=860) &amp;&amp; (PresetNumb&lt;870)) {PresetNumb = 860;}</v>
      </c>
    </row>
    <row r="91" spans="1:9">
      <c r="A91" s="38" t="s">
        <v>841</v>
      </c>
      <c r="B91">
        <v>870</v>
      </c>
      <c r="C91" t="s">
        <v>840</v>
      </c>
      <c r="D91">
        <v>880</v>
      </c>
      <c r="E91" t="s">
        <v>839</v>
      </c>
      <c r="F91">
        <v>870</v>
      </c>
      <c r="G91" t="s">
        <v>479</v>
      </c>
      <c r="H91" t="s">
        <v>105</v>
      </c>
      <c r="I91" t="str">
        <f t="shared" si="2"/>
        <v>if ((PresetNumb &gt;=870) &amp;&amp; (PresetNumb&lt;880)) {PresetNumb = 870;}</v>
      </c>
    </row>
    <row r="92" spans="1:9">
      <c r="A92" s="38" t="s">
        <v>841</v>
      </c>
      <c r="B92">
        <v>880</v>
      </c>
      <c r="C92" t="s">
        <v>840</v>
      </c>
      <c r="D92">
        <v>890</v>
      </c>
      <c r="E92" t="s">
        <v>839</v>
      </c>
      <c r="F92">
        <v>880</v>
      </c>
      <c r="G92" t="s">
        <v>479</v>
      </c>
      <c r="H92" t="s">
        <v>105</v>
      </c>
      <c r="I92" t="str">
        <f t="shared" si="2"/>
        <v>if ((PresetNumb &gt;=880) &amp;&amp; (PresetNumb&lt;890)) {PresetNumb = 880;}</v>
      </c>
    </row>
    <row r="93" spans="1:9">
      <c r="A93" s="38" t="s">
        <v>841</v>
      </c>
      <c r="B93">
        <v>890</v>
      </c>
      <c r="C93" t="s">
        <v>840</v>
      </c>
      <c r="D93">
        <v>900</v>
      </c>
      <c r="E93" t="s">
        <v>839</v>
      </c>
      <c r="F93">
        <v>890</v>
      </c>
      <c r="G93" t="s">
        <v>479</v>
      </c>
      <c r="H93" t="s">
        <v>105</v>
      </c>
      <c r="I93" t="str">
        <f t="shared" si="2"/>
        <v>if ((PresetNumb &gt;=890) &amp;&amp; (PresetNumb&lt;900)) {PresetNumb = 890;}</v>
      </c>
    </row>
    <row r="94" spans="1:9">
      <c r="A94" s="38" t="s">
        <v>841</v>
      </c>
      <c r="B94">
        <v>900</v>
      </c>
      <c r="C94" t="s">
        <v>840</v>
      </c>
      <c r="D94">
        <v>910</v>
      </c>
      <c r="E94" t="s">
        <v>839</v>
      </c>
      <c r="F94">
        <v>900</v>
      </c>
      <c r="G94" t="s">
        <v>479</v>
      </c>
      <c r="H94" t="s">
        <v>105</v>
      </c>
      <c r="I94" t="str">
        <f t="shared" si="2"/>
        <v>if ((PresetNumb &gt;=900) &amp;&amp; (PresetNumb&lt;910)) {PresetNumb = 900;}</v>
      </c>
    </row>
    <row r="95" spans="1:9">
      <c r="A95" s="38" t="s">
        <v>841</v>
      </c>
      <c r="B95">
        <v>910</v>
      </c>
      <c r="C95" t="s">
        <v>840</v>
      </c>
      <c r="D95">
        <v>920</v>
      </c>
      <c r="E95" t="s">
        <v>839</v>
      </c>
      <c r="F95">
        <v>910</v>
      </c>
      <c r="G95" t="s">
        <v>479</v>
      </c>
      <c r="H95" t="s">
        <v>105</v>
      </c>
      <c r="I95" t="str">
        <f t="shared" si="2"/>
        <v>if ((PresetNumb &gt;=910) &amp;&amp; (PresetNumb&lt;920)) {PresetNumb = 910;}</v>
      </c>
    </row>
    <row r="96" spans="1:9">
      <c r="A96" s="38" t="s">
        <v>841</v>
      </c>
      <c r="B96">
        <v>920</v>
      </c>
      <c r="C96" t="s">
        <v>840</v>
      </c>
      <c r="D96">
        <v>930</v>
      </c>
      <c r="E96" t="s">
        <v>839</v>
      </c>
      <c r="F96">
        <v>920</v>
      </c>
      <c r="G96" t="s">
        <v>479</v>
      </c>
      <c r="H96" t="s">
        <v>105</v>
      </c>
      <c r="I96" t="str">
        <f t="shared" si="2"/>
        <v>if ((PresetNumb &gt;=920) &amp;&amp; (PresetNumb&lt;930)) {PresetNumb = 920;}</v>
      </c>
    </row>
    <row r="97" spans="1:9">
      <c r="A97" s="38" t="s">
        <v>841</v>
      </c>
      <c r="B97">
        <v>930</v>
      </c>
      <c r="C97" t="s">
        <v>840</v>
      </c>
      <c r="D97">
        <v>940</v>
      </c>
      <c r="E97" t="s">
        <v>839</v>
      </c>
      <c r="F97">
        <v>930</v>
      </c>
      <c r="G97" t="s">
        <v>479</v>
      </c>
      <c r="H97" t="s">
        <v>105</v>
      </c>
      <c r="I97" t="str">
        <f t="shared" si="2"/>
        <v>if ((PresetNumb &gt;=930) &amp;&amp; (PresetNumb&lt;940)) {PresetNumb = 930;}</v>
      </c>
    </row>
    <row r="98" spans="1:9">
      <c r="A98" s="38" t="s">
        <v>841</v>
      </c>
      <c r="B98">
        <v>940</v>
      </c>
      <c r="C98" t="s">
        <v>840</v>
      </c>
      <c r="D98">
        <v>950</v>
      </c>
      <c r="E98" t="s">
        <v>839</v>
      </c>
      <c r="F98">
        <v>940</v>
      </c>
      <c r="G98" t="s">
        <v>479</v>
      </c>
      <c r="H98" t="s">
        <v>105</v>
      </c>
      <c r="I98" t="str">
        <f t="shared" si="2"/>
        <v>if ((PresetNumb &gt;=940) &amp;&amp; (PresetNumb&lt;950)) {PresetNumb = 940;}</v>
      </c>
    </row>
    <row r="99" spans="1:9">
      <c r="A99" s="38" t="s">
        <v>841</v>
      </c>
      <c r="B99">
        <v>950</v>
      </c>
      <c r="C99" t="s">
        <v>840</v>
      </c>
      <c r="D99">
        <v>960</v>
      </c>
      <c r="E99" t="s">
        <v>839</v>
      </c>
      <c r="F99">
        <v>950</v>
      </c>
      <c r="G99" t="s">
        <v>479</v>
      </c>
      <c r="H99" t="s">
        <v>105</v>
      </c>
      <c r="I99" t="str">
        <f t="shared" si="2"/>
        <v>if ((PresetNumb &gt;=950) &amp;&amp; (PresetNumb&lt;960)) {PresetNumb = 950;}</v>
      </c>
    </row>
    <row r="100" spans="1:9">
      <c r="A100" s="38" t="s">
        <v>841</v>
      </c>
      <c r="B100">
        <v>960</v>
      </c>
      <c r="C100" t="s">
        <v>840</v>
      </c>
      <c r="D100">
        <v>970</v>
      </c>
      <c r="E100" t="s">
        <v>839</v>
      </c>
      <c r="F100">
        <v>960</v>
      </c>
      <c r="G100" t="s">
        <v>479</v>
      </c>
      <c r="H100" t="s">
        <v>105</v>
      </c>
      <c r="I100" t="str">
        <f t="shared" ref="I100:I105" si="3">A100&amp;B100&amp;C100&amp;D100&amp;E100&amp;F100&amp;G100&amp;H100</f>
        <v>if ((PresetNumb &gt;=960) &amp;&amp; (PresetNumb&lt;970)) {PresetNumb = 960;}</v>
      </c>
    </row>
    <row r="101" spans="1:9">
      <c r="A101" s="38" t="s">
        <v>841</v>
      </c>
      <c r="B101">
        <v>970</v>
      </c>
      <c r="C101" t="s">
        <v>840</v>
      </c>
      <c r="D101">
        <v>980</v>
      </c>
      <c r="E101" t="s">
        <v>839</v>
      </c>
      <c r="F101">
        <v>970</v>
      </c>
      <c r="G101" t="s">
        <v>479</v>
      </c>
      <c r="H101" t="s">
        <v>105</v>
      </c>
      <c r="I101" t="str">
        <f t="shared" si="3"/>
        <v>if ((PresetNumb &gt;=970) &amp;&amp; (PresetNumb&lt;980)) {PresetNumb = 970;}</v>
      </c>
    </row>
    <row r="102" spans="1:9">
      <c r="A102" s="38" t="s">
        <v>841</v>
      </c>
      <c r="B102">
        <v>980</v>
      </c>
      <c r="C102" t="s">
        <v>840</v>
      </c>
      <c r="D102">
        <v>990</v>
      </c>
      <c r="E102" t="s">
        <v>839</v>
      </c>
      <c r="F102">
        <v>980</v>
      </c>
      <c r="G102" t="s">
        <v>479</v>
      </c>
      <c r="H102" t="s">
        <v>105</v>
      </c>
      <c r="I102" t="str">
        <f t="shared" si="3"/>
        <v>if ((PresetNumb &gt;=980) &amp;&amp; (PresetNumb&lt;990)) {PresetNumb = 980;}</v>
      </c>
    </row>
    <row r="103" spans="1:9">
      <c r="A103" s="38" t="s">
        <v>841</v>
      </c>
      <c r="B103">
        <v>990</v>
      </c>
      <c r="C103" t="s">
        <v>840</v>
      </c>
      <c r="D103">
        <v>1000</v>
      </c>
      <c r="E103" t="s">
        <v>839</v>
      </c>
      <c r="F103">
        <v>990</v>
      </c>
      <c r="G103" t="s">
        <v>479</v>
      </c>
      <c r="H103" t="s">
        <v>105</v>
      </c>
      <c r="I103" t="str">
        <f t="shared" si="3"/>
        <v>if ((PresetNumb &gt;=990) &amp;&amp; (PresetNumb&lt;1000)) {PresetNumb = 990;}</v>
      </c>
    </row>
    <row r="104" spans="1:9">
      <c r="A104" s="38" t="s">
        <v>841</v>
      </c>
      <c r="B104">
        <v>1000</v>
      </c>
      <c r="C104" t="s">
        <v>840</v>
      </c>
      <c r="D104">
        <v>1010</v>
      </c>
      <c r="E104" t="s">
        <v>839</v>
      </c>
      <c r="F104">
        <v>1000</v>
      </c>
      <c r="G104" t="s">
        <v>479</v>
      </c>
      <c r="H104" t="s">
        <v>105</v>
      </c>
      <c r="I104" t="str">
        <f t="shared" si="3"/>
        <v>if ((PresetNumb &gt;=1000) &amp;&amp; (PresetNumb&lt;1010)) {PresetNumb = 1000;}</v>
      </c>
    </row>
    <row r="105" spans="1:9">
      <c r="A105" s="38" t="s">
        <v>841</v>
      </c>
      <c r="B105">
        <v>1010</v>
      </c>
      <c r="C105" t="s">
        <v>840</v>
      </c>
      <c r="D105">
        <v>1020</v>
      </c>
      <c r="E105" t="s">
        <v>839</v>
      </c>
      <c r="F105">
        <v>1010</v>
      </c>
      <c r="G105" t="s">
        <v>479</v>
      </c>
      <c r="H105" t="s">
        <v>105</v>
      </c>
      <c r="I105" t="str">
        <f t="shared" si="3"/>
        <v>if ((PresetNumb &gt;=1010) &amp;&amp; (PresetNumb&lt;1020)) {PresetNumb = 1010;}</v>
      </c>
    </row>
    <row r="107" spans="1:9">
      <c r="I107" t="s">
        <v>838</v>
      </c>
    </row>
    <row r="108" spans="1:9">
      <c r="I108" t="s">
        <v>837</v>
      </c>
    </row>
    <row r="110" spans="1:9">
      <c r="I110" t="s">
        <v>836</v>
      </c>
    </row>
    <row r="111" spans="1:9">
      <c r="I111" t="s">
        <v>835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864F9-547C-4AEE-B72C-7D1ABF511F3B}">
  <sheetPr codeName="Blad6"/>
  <dimension ref="A1:N47"/>
  <sheetViews>
    <sheetView workbookViewId="0"/>
  </sheetViews>
  <sheetFormatPr defaultRowHeight="15"/>
  <cols>
    <col min="1" max="1" width="13.85546875" customWidth="1"/>
    <col min="2" max="3" width="6.140625" bestFit="1" customWidth="1"/>
    <col min="4" max="4" width="12" bestFit="1" customWidth="1"/>
    <col min="5" max="5" width="29" bestFit="1" customWidth="1"/>
    <col min="6" max="7" width="28.5703125" bestFit="1" customWidth="1"/>
    <col min="8" max="8" width="4.85546875" bestFit="1" customWidth="1"/>
    <col min="9" max="9" width="6.5703125" bestFit="1" customWidth="1"/>
    <col min="10" max="10" width="94.7109375" bestFit="1" customWidth="1"/>
    <col min="12" max="12" width="32.42578125" bestFit="1" customWidth="1"/>
    <col min="13" max="13" width="50.7109375" bestFit="1" customWidth="1"/>
    <col min="14" max="14" width="94.7109375" bestFit="1" customWidth="1"/>
  </cols>
  <sheetData>
    <row r="1" spans="1:14">
      <c r="A1" t="s">
        <v>85</v>
      </c>
    </row>
    <row r="4" spans="1:14">
      <c r="A4" t="s">
        <v>48</v>
      </c>
      <c r="B4" t="s">
        <v>49</v>
      </c>
      <c r="C4" t="s">
        <v>50</v>
      </c>
      <c r="E4" t="str">
        <f>$A$26&amp;A4&amp;","&amp;A16&amp;"+1);"</f>
        <v>str1.toCharArray(SCE11, L11+1);</v>
      </c>
      <c r="F4" t="str">
        <f>$A$27&amp;B4&amp;","&amp;B16&amp;"+1);"</f>
        <v>str2.toCharArray(SCE12,L12+1);</v>
      </c>
      <c r="G4" t="str">
        <f>$A$28&amp;C4&amp;","&amp;C16&amp;"+1);"</f>
        <v>str3.toCharArray(SCE13,L13+1);</v>
      </c>
      <c r="H4" t="str">
        <f>$A$29&amp;D4&amp;","&amp;D16&amp;"+1);"</f>
        <v>,+1);</v>
      </c>
      <c r="I4" t="s">
        <v>29</v>
      </c>
      <c r="J4" t="str">
        <f>E4&amp;F4&amp;G4&amp;H4&amp;I4</f>
        <v>str1.toCharArray(SCE11, L11+1);str2.toCharArray(SCE12,L12+1);str3.toCharArray(SCE13,L13+1);,+1);break;</v>
      </c>
      <c r="L4" t="s">
        <v>93</v>
      </c>
      <c r="M4" t="str">
        <f>J16</f>
        <v xml:space="preserve"> L11=str1.length();L12=str2.length();L13=str3.length();=;</v>
      </c>
      <c r="N4" t="str">
        <f>J4</f>
        <v>str1.toCharArray(SCE11, L11+1);str2.toCharArray(SCE12,L12+1);str3.toCharArray(SCE13,L13+1);,+1);break;</v>
      </c>
    </row>
    <row r="5" spans="1:14">
      <c r="A5" t="s">
        <v>51</v>
      </c>
      <c r="B5" t="s">
        <v>52</v>
      </c>
      <c r="C5" t="s">
        <v>53</v>
      </c>
      <c r="E5" t="str">
        <f t="shared" ref="E5:E11" si="0">$A$26&amp;A5&amp;","&amp;A17&amp;"+1);"</f>
        <v>str1.toCharArray(SCE21, L21+1);</v>
      </c>
      <c r="F5" t="str">
        <f t="shared" ref="F5:F11" si="1">$A$27&amp;B5&amp;","&amp;B17&amp;"+1);"</f>
        <v>str2.toCharArray(SCE22,L22+1);</v>
      </c>
      <c r="G5" t="str">
        <f t="shared" ref="G5:G11" si="2">$A$28&amp;C5&amp;","&amp;C17&amp;"+1);"</f>
        <v>str3.toCharArray(SCE23,L23+1);</v>
      </c>
      <c r="H5" t="str">
        <f t="shared" ref="H5:H11" si="3">$A$29&amp;D5&amp;","&amp;D17&amp;"+1);"</f>
        <v>,+1);</v>
      </c>
      <c r="I5" t="s">
        <v>29</v>
      </c>
      <c r="J5" t="str">
        <f t="shared" ref="J5:J11" si="4">E5&amp;F5&amp;G5&amp;H5&amp;I5</f>
        <v>str1.toCharArray(SCE21, L21+1);str2.toCharArray(SCE22,L22+1);str3.toCharArray(SCE23,L23+1);,+1);break;</v>
      </c>
      <c r="L5" t="s">
        <v>92</v>
      </c>
      <c r="M5" t="str">
        <f t="shared" ref="M5:M11" si="5">J17</f>
        <v xml:space="preserve"> L21=str1.length();L22=str2.length();L23=str3.length();=;</v>
      </c>
      <c r="N5" t="str">
        <f t="shared" ref="N5:N11" si="6">J5</f>
        <v>str1.toCharArray(SCE21, L21+1);str2.toCharArray(SCE22,L22+1);str3.toCharArray(SCE23,L23+1);,+1);break;</v>
      </c>
    </row>
    <row r="6" spans="1:14">
      <c r="A6" t="s">
        <v>54</v>
      </c>
      <c r="B6" t="s">
        <v>55</v>
      </c>
      <c r="C6" t="s">
        <v>56</v>
      </c>
      <c r="E6" t="str">
        <f t="shared" si="0"/>
        <v>str1.toCharArray(SCE31, L31+1);</v>
      </c>
      <c r="F6" t="str">
        <f t="shared" si="1"/>
        <v>str2.toCharArray(SCE32,L32+1);</v>
      </c>
      <c r="G6" t="str">
        <f t="shared" si="2"/>
        <v>str3.toCharArray(SCE33,L33+1);</v>
      </c>
      <c r="H6" t="str">
        <f t="shared" si="3"/>
        <v>,+1);</v>
      </c>
      <c r="I6" t="s">
        <v>29</v>
      </c>
      <c r="J6" t="str">
        <f t="shared" si="4"/>
        <v>str1.toCharArray(SCE31, L31+1);str2.toCharArray(SCE32,L32+1);str3.toCharArray(SCE33,L33+1);,+1);break;</v>
      </c>
      <c r="L6" t="s">
        <v>91</v>
      </c>
      <c r="M6" t="str">
        <f t="shared" si="5"/>
        <v xml:space="preserve"> L31=str1.length();L32=str2.length();L33=str3.length();=;</v>
      </c>
      <c r="N6" t="str">
        <f t="shared" si="6"/>
        <v>str1.toCharArray(SCE31, L31+1);str2.toCharArray(SCE32,L32+1);str3.toCharArray(SCE33,L33+1);,+1);break;</v>
      </c>
    </row>
    <row r="7" spans="1:14">
      <c r="A7" t="s">
        <v>57</v>
      </c>
      <c r="B7" t="s">
        <v>58</v>
      </c>
      <c r="C7" t="s">
        <v>59</v>
      </c>
      <c r="E7" t="str">
        <f t="shared" si="0"/>
        <v>str1.toCharArray(SCE41, L41+1);</v>
      </c>
      <c r="F7" t="str">
        <f t="shared" si="1"/>
        <v>str2.toCharArray(SCE42,L42+1);</v>
      </c>
      <c r="G7" t="str">
        <f t="shared" si="2"/>
        <v>str3.toCharArray(SCE43,L43+1);</v>
      </c>
      <c r="H7" t="str">
        <f t="shared" si="3"/>
        <v>,+1);</v>
      </c>
      <c r="I7" t="s">
        <v>29</v>
      </c>
      <c r="J7" t="str">
        <f t="shared" si="4"/>
        <v>str1.toCharArray(SCE41, L41+1);str2.toCharArray(SCE42,L42+1);str3.toCharArray(SCE43,L43+1);,+1);break;</v>
      </c>
      <c r="L7" t="s">
        <v>90</v>
      </c>
      <c r="M7" t="str">
        <f t="shared" si="5"/>
        <v xml:space="preserve"> L41=str1.length();L42=str2.length();L43=str3.length();=;</v>
      </c>
      <c r="N7" t="str">
        <f t="shared" si="6"/>
        <v>str1.toCharArray(SCE41, L41+1);str2.toCharArray(SCE42,L42+1);str3.toCharArray(SCE43,L43+1);,+1);break;</v>
      </c>
    </row>
    <row r="8" spans="1:14">
      <c r="A8" t="s">
        <v>60</v>
      </c>
      <c r="B8" t="s">
        <v>61</v>
      </c>
      <c r="C8" t="s">
        <v>62</v>
      </c>
      <c r="E8" t="str">
        <f t="shared" si="0"/>
        <v>str1.toCharArray(SCE51, L51+1);</v>
      </c>
      <c r="F8" t="str">
        <f t="shared" si="1"/>
        <v>str2.toCharArray(SCE52,L52+1);</v>
      </c>
      <c r="G8" t="str">
        <f t="shared" si="2"/>
        <v>str3.toCharArray(SCE53,L53+1);</v>
      </c>
      <c r="H8" t="str">
        <f t="shared" si="3"/>
        <v>,+1);</v>
      </c>
      <c r="I8" t="s">
        <v>29</v>
      </c>
      <c r="J8" t="str">
        <f t="shared" si="4"/>
        <v>str1.toCharArray(SCE51, L51+1);str2.toCharArray(SCE52,L52+1);str3.toCharArray(SCE53,L53+1);,+1);break;</v>
      </c>
      <c r="L8" t="s">
        <v>89</v>
      </c>
      <c r="M8" t="str">
        <f t="shared" si="5"/>
        <v xml:space="preserve"> L51=str1.length();L52=str2.length();L53=str3.length();=;</v>
      </c>
      <c r="N8" t="str">
        <f t="shared" si="6"/>
        <v>str1.toCharArray(SCE51, L51+1);str2.toCharArray(SCE52,L52+1);str3.toCharArray(SCE53,L53+1);,+1);break;</v>
      </c>
    </row>
    <row r="9" spans="1:14">
      <c r="A9" t="s">
        <v>63</v>
      </c>
      <c r="B9" t="s">
        <v>64</v>
      </c>
      <c r="C9" t="s">
        <v>65</v>
      </c>
      <c r="E9" t="str">
        <f t="shared" si="0"/>
        <v>str1.toCharArray(SCE61, L61+1);</v>
      </c>
      <c r="F9" t="str">
        <f t="shared" si="1"/>
        <v>str2.toCharArray(SCE62,L62+1);</v>
      </c>
      <c r="G9" t="str">
        <f t="shared" si="2"/>
        <v>str3.toCharArray(SCE63,L63+1);</v>
      </c>
      <c r="H9" t="str">
        <f t="shared" si="3"/>
        <v>,+1);</v>
      </c>
      <c r="I9" t="s">
        <v>29</v>
      </c>
      <c r="J9" t="str">
        <f t="shared" si="4"/>
        <v>str1.toCharArray(SCE61, L61+1);str2.toCharArray(SCE62,L62+1);str3.toCharArray(SCE63,L63+1);,+1);break;</v>
      </c>
      <c r="L9" t="s">
        <v>88</v>
      </c>
      <c r="M9" t="str">
        <f t="shared" si="5"/>
        <v xml:space="preserve"> L61=str1.length();L62=str2.length();L63=str3.length();=;</v>
      </c>
      <c r="N9" t="str">
        <f t="shared" si="6"/>
        <v>str1.toCharArray(SCE61, L61+1);str2.toCharArray(SCE62,L62+1);str3.toCharArray(SCE63,L63+1);,+1);break;</v>
      </c>
    </row>
    <row r="10" spans="1:14">
      <c r="A10" t="s">
        <v>66</v>
      </c>
      <c r="B10" t="s">
        <v>67</v>
      </c>
      <c r="C10" t="s">
        <v>68</v>
      </c>
      <c r="E10" t="str">
        <f t="shared" si="0"/>
        <v>str1.toCharArray(SCE71, L71+1);</v>
      </c>
      <c r="F10" t="str">
        <f t="shared" si="1"/>
        <v>str2.toCharArray(SCE72,L72+1);</v>
      </c>
      <c r="G10" t="str">
        <f t="shared" si="2"/>
        <v>str3.toCharArray(SCE73,L73+1);</v>
      </c>
      <c r="H10" t="str">
        <f t="shared" si="3"/>
        <v>,+1);</v>
      </c>
      <c r="I10" t="s">
        <v>29</v>
      </c>
      <c r="J10" t="str">
        <f t="shared" si="4"/>
        <v>str1.toCharArray(SCE71, L71+1);str2.toCharArray(SCE72,L72+1);str3.toCharArray(SCE73,L73+1);,+1);break;</v>
      </c>
      <c r="L10" t="s">
        <v>87</v>
      </c>
      <c r="M10" t="str">
        <f t="shared" si="5"/>
        <v xml:space="preserve"> L71=str1.length();L72=str2.length();L73=str3.length();=;</v>
      </c>
      <c r="N10" t="str">
        <f t="shared" si="6"/>
        <v>str1.toCharArray(SCE71, L71+1);str2.toCharArray(SCE72,L72+1);str3.toCharArray(SCE73,L73+1);,+1);break;</v>
      </c>
    </row>
    <row r="11" spans="1:14">
      <c r="A11" t="s">
        <v>69</v>
      </c>
      <c r="B11" t="s">
        <v>70</v>
      </c>
      <c r="C11" t="s">
        <v>71</v>
      </c>
      <c r="E11" t="str">
        <f t="shared" si="0"/>
        <v>str1.toCharArray(SCE81, L81+1);</v>
      </c>
      <c r="F11" t="str">
        <f t="shared" si="1"/>
        <v>str2.toCharArray(SCE82,L82+1);</v>
      </c>
      <c r="G11" t="str">
        <f t="shared" si="2"/>
        <v>str3.toCharArray(SCE83,L83+1);</v>
      </c>
      <c r="H11" t="str">
        <f t="shared" si="3"/>
        <v>,+1);</v>
      </c>
      <c r="I11" t="s">
        <v>29</v>
      </c>
      <c r="J11" t="str">
        <f t="shared" si="4"/>
        <v>str1.toCharArray(SCE81, L81+1);str2.toCharArray(SCE82,L82+1);str3.toCharArray(SCE83,L83+1);,+1);break;</v>
      </c>
      <c r="L11" t="s">
        <v>86</v>
      </c>
      <c r="M11" t="str">
        <f t="shared" si="5"/>
        <v xml:space="preserve"> L81=str1.length();L82=str2.length();L83=str3.length();=;</v>
      </c>
      <c r="N11" t="str">
        <f t="shared" si="6"/>
        <v>str1.toCharArray(SCE81, L81+1);str2.toCharArray(SCE82,L82+1);str3.toCharArray(SCE83,L83+1);,+1);break;</v>
      </c>
    </row>
    <row r="13" spans="1:14">
      <c r="A13" t="s">
        <v>31</v>
      </c>
    </row>
    <row r="16" spans="1:14">
      <c r="A16" t="s">
        <v>77</v>
      </c>
      <c r="B16" t="s">
        <v>32</v>
      </c>
      <c r="C16" t="s">
        <v>33</v>
      </c>
      <c r="E16" t="str">
        <f>A16&amp;"="&amp;$D$26&amp;";"</f>
        <v xml:space="preserve"> L11=str1.length();</v>
      </c>
      <c r="F16" t="str">
        <f>B16&amp;"="&amp;$D$27&amp;";"</f>
        <v>L12=str2.length();</v>
      </c>
      <c r="G16" t="str">
        <f>C16&amp;"="&amp;$D$28&amp;";"</f>
        <v>L13=str3.length();</v>
      </c>
      <c r="H16" t="str">
        <f t="shared" ref="H16:H23" si="7">D16&amp;"="&amp;$D$29&amp;";"</f>
        <v>=;</v>
      </c>
      <c r="J16" t="str">
        <f>E16&amp;F16&amp;G16&amp;H16&amp;I16</f>
        <v xml:space="preserve"> L11=str1.length();L12=str2.length();L13=str3.length();=;</v>
      </c>
    </row>
    <row r="17" spans="1:10">
      <c r="A17" t="s">
        <v>78</v>
      </c>
      <c r="B17" t="s">
        <v>34</v>
      </c>
      <c r="C17" t="s">
        <v>35</v>
      </c>
      <c r="E17" t="str">
        <f t="shared" ref="E17:E23" si="8">A17&amp;"="&amp;$D$26&amp;";"</f>
        <v xml:space="preserve"> L21=str1.length();</v>
      </c>
      <c r="F17" t="str">
        <f t="shared" ref="F17:F23" si="9">B17&amp;"="&amp;$D$27&amp;";"</f>
        <v>L22=str2.length();</v>
      </c>
      <c r="G17" t="str">
        <f t="shared" ref="G17:G23" si="10">C17&amp;"="&amp;$D$28&amp;";"</f>
        <v>L23=str3.length();</v>
      </c>
      <c r="H17" t="str">
        <f t="shared" si="7"/>
        <v>=;</v>
      </c>
      <c r="J17" t="str">
        <f t="shared" ref="J17:J23" si="11">E17&amp;F17&amp;G17&amp;H17&amp;I17</f>
        <v xml:space="preserve"> L21=str1.length();L22=str2.length();L23=str3.length();=;</v>
      </c>
    </row>
    <row r="18" spans="1:10">
      <c r="A18" t="s">
        <v>79</v>
      </c>
      <c r="B18" t="s">
        <v>36</v>
      </c>
      <c r="C18" t="s">
        <v>37</v>
      </c>
      <c r="E18" t="str">
        <f t="shared" si="8"/>
        <v xml:space="preserve"> L31=str1.length();</v>
      </c>
      <c r="F18" t="str">
        <f t="shared" si="9"/>
        <v>L32=str2.length();</v>
      </c>
      <c r="G18" t="str">
        <f t="shared" si="10"/>
        <v>L33=str3.length();</v>
      </c>
      <c r="H18" t="str">
        <f t="shared" si="7"/>
        <v>=;</v>
      </c>
      <c r="J18" t="str">
        <f t="shared" si="11"/>
        <v xml:space="preserve"> L31=str1.length();L32=str2.length();L33=str3.length();=;</v>
      </c>
    </row>
    <row r="19" spans="1:10">
      <c r="A19" t="s">
        <v>80</v>
      </c>
      <c r="B19" t="s">
        <v>38</v>
      </c>
      <c r="C19" t="s">
        <v>39</v>
      </c>
      <c r="E19" t="str">
        <f t="shared" si="8"/>
        <v xml:space="preserve"> L41=str1.length();</v>
      </c>
      <c r="F19" t="str">
        <f t="shared" si="9"/>
        <v>L42=str2.length();</v>
      </c>
      <c r="G19" t="str">
        <f t="shared" si="10"/>
        <v>L43=str3.length();</v>
      </c>
      <c r="H19" t="str">
        <f t="shared" si="7"/>
        <v>=;</v>
      </c>
      <c r="J19" t="str">
        <f t="shared" si="11"/>
        <v xml:space="preserve"> L41=str1.length();L42=str2.length();L43=str3.length();=;</v>
      </c>
    </row>
    <row r="20" spans="1:10">
      <c r="A20" t="s">
        <v>81</v>
      </c>
      <c r="B20" t="s">
        <v>40</v>
      </c>
      <c r="C20" t="s">
        <v>41</v>
      </c>
      <c r="E20" t="str">
        <f t="shared" si="8"/>
        <v xml:space="preserve"> L51=str1.length();</v>
      </c>
      <c r="F20" t="str">
        <f t="shared" si="9"/>
        <v>L52=str2.length();</v>
      </c>
      <c r="G20" t="str">
        <f t="shared" si="10"/>
        <v>L53=str3.length();</v>
      </c>
      <c r="H20" t="str">
        <f t="shared" si="7"/>
        <v>=;</v>
      </c>
      <c r="J20" t="str">
        <f t="shared" si="11"/>
        <v xml:space="preserve"> L51=str1.length();L52=str2.length();L53=str3.length();=;</v>
      </c>
    </row>
    <row r="21" spans="1:10">
      <c r="A21" t="s">
        <v>82</v>
      </c>
      <c r="B21" t="s">
        <v>42</v>
      </c>
      <c r="C21" t="s">
        <v>43</v>
      </c>
      <c r="E21" t="str">
        <f t="shared" si="8"/>
        <v xml:space="preserve"> L61=str1.length();</v>
      </c>
      <c r="F21" t="str">
        <f t="shared" si="9"/>
        <v>L62=str2.length();</v>
      </c>
      <c r="G21" t="str">
        <f t="shared" si="10"/>
        <v>L63=str3.length();</v>
      </c>
      <c r="H21" t="str">
        <f t="shared" si="7"/>
        <v>=;</v>
      </c>
      <c r="J21" t="str">
        <f t="shared" si="11"/>
        <v xml:space="preserve"> L61=str1.length();L62=str2.length();L63=str3.length();=;</v>
      </c>
    </row>
    <row r="22" spans="1:10">
      <c r="A22" t="s">
        <v>83</v>
      </c>
      <c r="B22" t="s">
        <v>44</v>
      </c>
      <c r="C22" t="s">
        <v>45</v>
      </c>
      <c r="E22" t="str">
        <f t="shared" si="8"/>
        <v xml:space="preserve"> L71=str1.length();</v>
      </c>
      <c r="F22" t="str">
        <f t="shared" si="9"/>
        <v>L72=str2.length();</v>
      </c>
      <c r="G22" t="str">
        <f t="shared" si="10"/>
        <v>L73=str3.length();</v>
      </c>
      <c r="H22" t="str">
        <f t="shared" si="7"/>
        <v>=;</v>
      </c>
      <c r="J22" t="str">
        <f t="shared" si="11"/>
        <v xml:space="preserve"> L71=str1.length();L72=str2.length();L73=str3.length();=;</v>
      </c>
    </row>
    <row r="23" spans="1:10">
      <c r="A23" t="s">
        <v>84</v>
      </c>
      <c r="B23" t="s">
        <v>46</v>
      </c>
      <c r="C23" t="s">
        <v>47</v>
      </c>
      <c r="E23" t="str">
        <f t="shared" si="8"/>
        <v xml:space="preserve"> L81=str1.length();</v>
      </c>
      <c r="F23" t="str">
        <f t="shared" si="9"/>
        <v>L82=str2.length();</v>
      </c>
      <c r="G23" t="str">
        <f t="shared" si="10"/>
        <v>L83=str3.length();</v>
      </c>
      <c r="H23" t="str">
        <f t="shared" si="7"/>
        <v>=;</v>
      </c>
      <c r="J23" t="str">
        <f t="shared" si="11"/>
        <v xml:space="preserve"> L81=str1.length();L82=str2.length();L83=str3.length();=;</v>
      </c>
    </row>
    <row r="25" spans="1:10">
      <c r="A25" t="s">
        <v>75</v>
      </c>
    </row>
    <row r="26" spans="1:10">
      <c r="A26" t="s">
        <v>72</v>
      </c>
      <c r="C26" t="s">
        <v>76</v>
      </c>
      <c r="D26" t="s">
        <v>94</v>
      </c>
    </row>
    <row r="27" spans="1:10">
      <c r="A27" t="s">
        <v>73</v>
      </c>
      <c r="C27" t="s">
        <v>76</v>
      </c>
      <c r="D27" t="s">
        <v>95</v>
      </c>
    </row>
    <row r="28" spans="1:10">
      <c r="A28" t="s">
        <v>74</v>
      </c>
      <c r="C28" t="s">
        <v>76</v>
      </c>
      <c r="D28" t="s">
        <v>96</v>
      </c>
    </row>
    <row r="31" spans="1:10">
      <c r="A31" t="str">
        <f>L4&amp;M4&amp;N4</f>
        <v>case 1: SceneName_helper(name); L11=str1.length();L12=str2.length();L13=str3.length();=;str1.toCharArray(SCE11, L11+1);str2.toCharArray(SCE12,L12+1);str3.toCharArray(SCE13,L13+1);,+1);break;</v>
      </c>
    </row>
    <row r="32" spans="1:10">
      <c r="A32" t="str">
        <f t="shared" ref="A32:A38" si="12">L5&amp;M5&amp;N5</f>
        <v>case 2: SceneName_helper(name); L21=str1.length();L22=str2.length();L23=str3.length();=;str1.toCharArray(SCE21, L21+1);str2.toCharArray(SCE22,L22+1);str3.toCharArray(SCE23,L23+1);,+1);break;</v>
      </c>
    </row>
    <row r="33" spans="1:1">
      <c r="A33" t="str">
        <f t="shared" si="12"/>
        <v>case 3: SceneName_helper(name); L31=str1.length();L32=str2.length();L33=str3.length();=;str1.toCharArray(SCE31, L31+1);str2.toCharArray(SCE32,L32+1);str3.toCharArray(SCE33,L33+1);,+1);break;</v>
      </c>
    </row>
    <row r="34" spans="1:1">
      <c r="A34" t="str">
        <f t="shared" si="12"/>
        <v>case 4: SceneName_helper(name); L41=str1.length();L42=str2.length();L43=str3.length();=;str1.toCharArray(SCE41, L41+1);str2.toCharArray(SCE42,L42+1);str3.toCharArray(SCE43,L43+1);,+1);break;</v>
      </c>
    </row>
    <row r="35" spans="1:1">
      <c r="A35" t="str">
        <f t="shared" si="12"/>
        <v>case 5: SceneName_helper(name); L51=str1.length();L52=str2.length();L53=str3.length();=;str1.toCharArray(SCE51, L51+1);str2.toCharArray(SCE52,L52+1);str3.toCharArray(SCE53,L53+1);,+1);break;</v>
      </c>
    </row>
    <row r="36" spans="1:1">
      <c r="A36" t="str">
        <f t="shared" si="12"/>
        <v>case 6: SceneName_helper(name); L61=str1.length();L62=str2.length();L63=str3.length();=;str1.toCharArray(SCE61, L61+1);str2.toCharArray(SCE62,L62+1);str3.toCharArray(SCE63,L63+1);,+1);break;</v>
      </c>
    </row>
    <row r="37" spans="1:1">
      <c r="A37" t="str">
        <f t="shared" si="12"/>
        <v>case 7: SceneName_helper(name); L71=str1.length();L72=str2.length();L73=str3.length();=;str1.toCharArray(SCE71, L71+1);str2.toCharArray(SCE72,L72+1);str3.toCharArray(SCE73,L73+1);,+1);break;</v>
      </c>
    </row>
    <row r="38" spans="1:1">
      <c r="A38" t="str">
        <f t="shared" si="12"/>
        <v>case 8: SceneName_helper(name); L81=str1.length();L82=str2.length();L83=str3.length();=;str1.toCharArray(SCE81, L81+1);str2.toCharArray(SCE82,L82+1);str3.toCharArray(SCE83,L83+1);,+1);break;</v>
      </c>
    </row>
    <row r="40" spans="1:1">
      <c r="A40" t="s">
        <v>97</v>
      </c>
    </row>
    <row r="41" spans="1:1">
      <c r="A41" t="s">
        <v>98</v>
      </c>
    </row>
    <row r="42" spans="1:1">
      <c r="A42" t="s">
        <v>99</v>
      </c>
    </row>
    <row r="43" spans="1:1">
      <c r="A43" t="s">
        <v>100</v>
      </c>
    </row>
    <row r="44" spans="1:1">
      <c r="A44" t="s">
        <v>101</v>
      </c>
    </row>
    <row r="45" spans="1:1">
      <c r="A45" t="s">
        <v>102</v>
      </c>
    </row>
    <row r="46" spans="1:1">
      <c r="A46" t="s">
        <v>103</v>
      </c>
    </row>
    <row r="47" spans="1:1">
      <c r="A47" t="s">
        <v>104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83DA1-9960-4469-8060-210D60E8B9B5}">
  <sheetPr codeName="Blad7"/>
  <dimension ref="A1:B168"/>
  <sheetViews>
    <sheetView workbookViewId="0"/>
  </sheetViews>
  <sheetFormatPr defaultRowHeight="15"/>
  <cols>
    <col min="1" max="1" width="9.5703125" style="34" customWidth="1"/>
    <col min="2" max="2" width="21" bestFit="1" customWidth="1"/>
  </cols>
  <sheetData>
    <row r="1" spans="1:2">
      <c r="A1" s="34" t="s">
        <v>625</v>
      </c>
      <c r="B1" t="s">
        <v>624</v>
      </c>
    </row>
    <row r="2" spans="1:2">
      <c r="A2" s="34">
        <v>2</v>
      </c>
      <c r="B2" t="s">
        <v>626</v>
      </c>
    </row>
    <row r="3" spans="1:2">
      <c r="A3" s="34">
        <v>35</v>
      </c>
      <c r="B3" t="s">
        <v>627</v>
      </c>
    </row>
    <row r="4" spans="1:2">
      <c r="A4" s="34">
        <v>36</v>
      </c>
      <c r="B4" t="s">
        <v>628</v>
      </c>
    </row>
    <row r="5" spans="1:2">
      <c r="A5" s="34">
        <v>37</v>
      </c>
      <c r="B5" t="s">
        <v>629</v>
      </c>
    </row>
    <row r="6" spans="1:2">
      <c r="A6" s="34">
        <v>38</v>
      </c>
      <c r="B6" t="s">
        <v>630</v>
      </c>
    </row>
    <row r="7" spans="1:2">
      <c r="A7" s="34">
        <v>39</v>
      </c>
      <c r="B7" t="s">
        <v>631</v>
      </c>
    </row>
    <row r="8" spans="1:2">
      <c r="A8" s="34">
        <v>40</v>
      </c>
      <c r="B8" t="s">
        <v>632</v>
      </c>
    </row>
    <row r="9" spans="1:2">
      <c r="A9" s="34">
        <v>41</v>
      </c>
      <c r="B9" t="s">
        <v>633</v>
      </c>
    </row>
    <row r="10" spans="1:2">
      <c r="A10" s="34">
        <v>42</v>
      </c>
      <c r="B10" t="s">
        <v>634</v>
      </c>
    </row>
    <row r="11" spans="1:2">
      <c r="A11" s="34">
        <v>43</v>
      </c>
      <c r="B11" t="s">
        <v>635</v>
      </c>
    </row>
    <row r="12" spans="1:2">
      <c r="A12" s="34">
        <v>44</v>
      </c>
      <c r="B12" t="s">
        <v>636</v>
      </c>
    </row>
    <row r="13" spans="1:2">
      <c r="A13" s="34">
        <v>45</v>
      </c>
      <c r="B13" t="s">
        <v>637</v>
      </c>
    </row>
    <row r="14" spans="1:2">
      <c r="A14" s="34">
        <v>46</v>
      </c>
      <c r="B14" t="s">
        <v>638</v>
      </c>
    </row>
    <row r="15" spans="1:2">
      <c r="A15" s="34">
        <v>47</v>
      </c>
      <c r="B15" t="s">
        <v>639</v>
      </c>
    </row>
    <row r="16" spans="1:2">
      <c r="A16" s="34">
        <v>48</v>
      </c>
      <c r="B16" t="s">
        <v>640</v>
      </c>
    </row>
    <row r="17" spans="1:2">
      <c r="A17" s="34">
        <v>49</v>
      </c>
      <c r="B17" t="s">
        <v>641</v>
      </c>
    </row>
    <row r="18" spans="1:2">
      <c r="A18" s="34">
        <v>50</v>
      </c>
      <c r="B18" t="s">
        <v>642</v>
      </c>
    </row>
    <row r="19" spans="1:2">
      <c r="A19" s="34">
        <v>51</v>
      </c>
      <c r="B19" t="s">
        <v>643</v>
      </c>
    </row>
    <row r="20" spans="1:2">
      <c r="A20" s="34">
        <v>52</v>
      </c>
      <c r="B20" t="s">
        <v>644</v>
      </c>
    </row>
    <row r="21" spans="1:2">
      <c r="A21" s="34">
        <v>53</v>
      </c>
      <c r="B21" t="s">
        <v>645</v>
      </c>
    </row>
    <row r="22" spans="1:2">
      <c r="A22" s="34">
        <v>54</v>
      </c>
      <c r="B22" t="s">
        <v>646</v>
      </c>
    </row>
    <row r="23" spans="1:2">
      <c r="A23" s="34">
        <v>55</v>
      </c>
      <c r="B23" t="s">
        <v>647</v>
      </c>
    </row>
    <row r="24" spans="1:2">
      <c r="A24" s="34">
        <v>56</v>
      </c>
      <c r="B24" t="s">
        <v>648</v>
      </c>
    </row>
    <row r="25" spans="1:2">
      <c r="A25" s="34">
        <v>57</v>
      </c>
      <c r="B25" t="s">
        <v>649</v>
      </c>
    </row>
    <row r="26" spans="1:2">
      <c r="A26" s="34">
        <v>58</v>
      </c>
      <c r="B26" t="s">
        <v>650</v>
      </c>
    </row>
    <row r="27" spans="1:2">
      <c r="A27" s="34">
        <v>59</v>
      </c>
      <c r="B27" t="s">
        <v>651</v>
      </c>
    </row>
    <row r="28" spans="1:2">
      <c r="A28" s="34">
        <v>60</v>
      </c>
      <c r="B28" t="s">
        <v>652</v>
      </c>
    </row>
    <row r="29" spans="1:2">
      <c r="A29" s="34">
        <v>61</v>
      </c>
      <c r="B29" t="s">
        <v>653</v>
      </c>
    </row>
    <row r="30" spans="1:2">
      <c r="A30" s="34">
        <v>62</v>
      </c>
      <c r="B30" t="s">
        <v>654</v>
      </c>
    </row>
    <row r="31" spans="1:2">
      <c r="A31" s="34">
        <v>63</v>
      </c>
      <c r="B31" t="s">
        <v>655</v>
      </c>
    </row>
    <row r="32" spans="1:2">
      <c r="A32" s="34">
        <v>64</v>
      </c>
      <c r="B32" t="s">
        <v>656</v>
      </c>
    </row>
    <row r="33" spans="1:2">
      <c r="A33" s="34">
        <v>65</v>
      </c>
      <c r="B33" t="s">
        <v>657</v>
      </c>
    </row>
    <row r="34" spans="1:2">
      <c r="A34" s="34">
        <v>66</v>
      </c>
      <c r="B34" t="s">
        <v>658</v>
      </c>
    </row>
    <row r="35" spans="1:2">
      <c r="A35" s="34">
        <v>67</v>
      </c>
      <c r="B35" t="s">
        <v>659</v>
      </c>
    </row>
    <row r="36" spans="1:2">
      <c r="A36" s="34">
        <v>68</v>
      </c>
      <c r="B36" t="s">
        <v>660</v>
      </c>
    </row>
    <row r="37" spans="1:2">
      <c r="A37" s="34">
        <v>69</v>
      </c>
      <c r="B37" t="s">
        <v>661</v>
      </c>
    </row>
    <row r="38" spans="1:2">
      <c r="A38" s="34">
        <v>70</v>
      </c>
      <c r="B38" t="s">
        <v>662</v>
      </c>
    </row>
    <row r="39" spans="1:2">
      <c r="A39" s="34">
        <v>71</v>
      </c>
      <c r="B39" t="s">
        <v>663</v>
      </c>
    </row>
    <row r="40" spans="1:2">
      <c r="A40" s="34">
        <v>72</v>
      </c>
      <c r="B40" t="s">
        <v>664</v>
      </c>
    </row>
    <row r="41" spans="1:2">
      <c r="A41" s="34">
        <v>73</v>
      </c>
      <c r="B41" t="s">
        <v>665</v>
      </c>
    </row>
    <row r="42" spans="1:2">
      <c r="A42" s="34">
        <v>74</v>
      </c>
      <c r="B42" t="s">
        <v>666</v>
      </c>
    </row>
    <row r="43" spans="1:2">
      <c r="A43" s="34">
        <v>75</v>
      </c>
      <c r="B43" t="s">
        <v>667</v>
      </c>
    </row>
    <row r="44" spans="1:2">
      <c r="A44" s="34">
        <v>76</v>
      </c>
      <c r="B44" t="s">
        <v>668</v>
      </c>
    </row>
    <row r="45" spans="1:2">
      <c r="A45" s="34">
        <v>77</v>
      </c>
      <c r="B45" t="s">
        <v>669</v>
      </c>
    </row>
    <row r="46" spans="1:2">
      <c r="A46" s="34">
        <v>78</v>
      </c>
      <c r="B46" t="s">
        <v>670</v>
      </c>
    </row>
    <row r="47" spans="1:2">
      <c r="A47" s="34">
        <v>79</v>
      </c>
      <c r="B47" t="s">
        <v>671</v>
      </c>
    </row>
    <row r="48" spans="1:2">
      <c r="A48" s="34">
        <v>80</v>
      </c>
      <c r="B48" t="s">
        <v>672</v>
      </c>
    </row>
    <row r="49" spans="1:2">
      <c r="A49" s="34">
        <v>81</v>
      </c>
      <c r="B49" t="s">
        <v>673</v>
      </c>
    </row>
    <row r="50" spans="1:2">
      <c r="A50" s="34">
        <v>82</v>
      </c>
      <c r="B50" t="s">
        <v>674</v>
      </c>
    </row>
    <row r="51" spans="1:2">
      <c r="A51" s="34">
        <v>83</v>
      </c>
      <c r="B51" t="s">
        <v>675</v>
      </c>
    </row>
    <row r="52" spans="1:2">
      <c r="A52" s="34">
        <v>84</v>
      </c>
      <c r="B52" t="s">
        <v>676</v>
      </c>
    </row>
    <row r="53" spans="1:2">
      <c r="A53" s="34">
        <v>85</v>
      </c>
      <c r="B53" t="s">
        <v>677</v>
      </c>
    </row>
    <row r="54" spans="1:2">
      <c r="A54" s="34">
        <v>86</v>
      </c>
      <c r="B54" t="s">
        <v>678</v>
      </c>
    </row>
    <row r="55" spans="1:2">
      <c r="A55" s="34">
        <v>87</v>
      </c>
      <c r="B55" t="s">
        <v>679</v>
      </c>
    </row>
    <row r="56" spans="1:2">
      <c r="A56" s="34">
        <v>88</v>
      </c>
      <c r="B56" t="s">
        <v>680</v>
      </c>
    </row>
    <row r="57" spans="1:2">
      <c r="A57" s="34">
        <v>89</v>
      </c>
      <c r="B57" t="s">
        <v>681</v>
      </c>
    </row>
    <row r="58" spans="1:2">
      <c r="A58" s="34">
        <v>90</v>
      </c>
      <c r="B58" t="s">
        <v>682</v>
      </c>
    </row>
    <row r="59" spans="1:2">
      <c r="A59" s="34">
        <v>91</v>
      </c>
      <c r="B59" t="s">
        <v>683</v>
      </c>
    </row>
    <row r="60" spans="1:2">
      <c r="A60" s="34">
        <v>92</v>
      </c>
      <c r="B60" t="s">
        <v>684</v>
      </c>
    </row>
    <row r="61" spans="1:2">
      <c r="A61" s="34">
        <v>93</v>
      </c>
      <c r="B61" t="s">
        <v>685</v>
      </c>
    </row>
    <row r="62" spans="1:2">
      <c r="A62" s="34">
        <v>94</v>
      </c>
      <c r="B62" t="s">
        <v>686</v>
      </c>
    </row>
    <row r="63" spans="1:2">
      <c r="A63" s="34">
        <v>95</v>
      </c>
      <c r="B63" t="s">
        <v>687</v>
      </c>
    </row>
    <row r="64" spans="1:2">
      <c r="A64" s="34">
        <v>96</v>
      </c>
      <c r="B64" t="s">
        <v>688</v>
      </c>
    </row>
    <row r="65" spans="1:2">
      <c r="A65" s="34">
        <v>97</v>
      </c>
      <c r="B65" t="s">
        <v>689</v>
      </c>
    </row>
    <row r="66" spans="1:2">
      <c r="A66" s="34">
        <v>98</v>
      </c>
      <c r="B66" t="s">
        <v>690</v>
      </c>
    </row>
    <row r="67" spans="1:2">
      <c r="A67" s="34">
        <v>99</v>
      </c>
      <c r="B67" t="s">
        <v>691</v>
      </c>
    </row>
    <row r="68" spans="1:2">
      <c r="A68" s="34">
        <v>100</v>
      </c>
      <c r="B68" t="s">
        <v>692</v>
      </c>
    </row>
    <row r="69" spans="1:2">
      <c r="A69" s="34">
        <v>101</v>
      </c>
      <c r="B69" t="s">
        <v>693</v>
      </c>
    </row>
    <row r="70" spans="1:2">
      <c r="A70" s="34">
        <v>102</v>
      </c>
      <c r="B70" t="s">
        <v>694</v>
      </c>
    </row>
    <row r="71" spans="1:2">
      <c r="A71" s="34">
        <v>103</v>
      </c>
      <c r="B71" t="s">
        <v>695</v>
      </c>
    </row>
    <row r="72" spans="1:2">
      <c r="A72" s="34">
        <v>104</v>
      </c>
      <c r="B72" t="s">
        <v>696</v>
      </c>
    </row>
    <row r="73" spans="1:2">
      <c r="A73" s="34">
        <v>105</v>
      </c>
      <c r="B73" t="s">
        <v>697</v>
      </c>
    </row>
    <row r="74" spans="1:2">
      <c r="A74" s="34">
        <v>106</v>
      </c>
      <c r="B74" t="s">
        <v>698</v>
      </c>
    </row>
    <row r="75" spans="1:2">
      <c r="A75" s="34">
        <v>107</v>
      </c>
      <c r="B75" t="s">
        <v>699</v>
      </c>
    </row>
    <row r="76" spans="1:2">
      <c r="A76" s="34">
        <v>108</v>
      </c>
      <c r="B76" t="s">
        <v>700</v>
      </c>
    </row>
    <row r="77" spans="1:2">
      <c r="A77" s="34">
        <v>109</v>
      </c>
      <c r="B77" t="s">
        <v>701</v>
      </c>
    </row>
    <row r="78" spans="1:2">
      <c r="A78" s="34">
        <v>110</v>
      </c>
      <c r="B78" t="s">
        <v>702</v>
      </c>
    </row>
    <row r="79" spans="1:2">
      <c r="A79" s="34">
        <v>111</v>
      </c>
      <c r="B79" t="s">
        <v>703</v>
      </c>
    </row>
    <row r="80" spans="1:2">
      <c r="A80" s="34">
        <v>112</v>
      </c>
      <c r="B80" t="s">
        <v>704</v>
      </c>
    </row>
    <row r="81" spans="1:2">
      <c r="A81" s="34">
        <v>113</v>
      </c>
      <c r="B81" t="s">
        <v>705</v>
      </c>
    </row>
    <row r="82" spans="1:2">
      <c r="A82" s="34">
        <v>114</v>
      </c>
      <c r="B82" t="s">
        <v>706</v>
      </c>
    </row>
    <row r="83" spans="1:2">
      <c r="A83" s="34">
        <v>115</v>
      </c>
      <c r="B83" t="s">
        <v>707</v>
      </c>
    </row>
    <row r="84" spans="1:2">
      <c r="A84" s="34">
        <v>116</v>
      </c>
      <c r="B84" t="s">
        <v>708</v>
      </c>
    </row>
    <row r="85" spans="1:2">
      <c r="A85" s="34">
        <v>117</v>
      </c>
      <c r="B85" t="s">
        <v>709</v>
      </c>
    </row>
    <row r="86" spans="1:2">
      <c r="A86" s="34">
        <v>118</v>
      </c>
      <c r="B86" t="s">
        <v>710</v>
      </c>
    </row>
    <row r="87" spans="1:2">
      <c r="A87" s="34">
        <v>119</v>
      </c>
      <c r="B87" t="s">
        <v>711</v>
      </c>
    </row>
    <row r="88" spans="1:2">
      <c r="A88" s="34">
        <v>120</v>
      </c>
      <c r="B88" t="s">
        <v>712</v>
      </c>
    </row>
    <row r="89" spans="1:2">
      <c r="A89" s="34">
        <v>121</v>
      </c>
      <c r="B89" t="s">
        <v>713</v>
      </c>
    </row>
    <row r="90" spans="1:2">
      <c r="A90" s="34">
        <v>122</v>
      </c>
      <c r="B90" t="s">
        <v>714</v>
      </c>
    </row>
    <row r="91" spans="1:2">
      <c r="A91" s="34">
        <v>123</v>
      </c>
      <c r="B91" t="s">
        <v>715</v>
      </c>
    </row>
    <row r="92" spans="1:2">
      <c r="A92" s="34">
        <v>124</v>
      </c>
      <c r="B92" t="s">
        <v>716</v>
      </c>
    </row>
    <row r="93" spans="1:2">
      <c r="A93" s="34">
        <v>125</v>
      </c>
      <c r="B93" t="s">
        <v>717</v>
      </c>
    </row>
    <row r="94" spans="1:2">
      <c r="A94" s="34">
        <v>126</v>
      </c>
      <c r="B94" t="s">
        <v>718</v>
      </c>
    </row>
    <row r="95" spans="1:2">
      <c r="A95" s="34">
        <v>127</v>
      </c>
      <c r="B95" t="s">
        <v>719</v>
      </c>
    </row>
    <row r="96" spans="1:2">
      <c r="A96" s="34">
        <v>128</v>
      </c>
      <c r="B96" t="s">
        <v>720</v>
      </c>
    </row>
    <row r="97" spans="1:2">
      <c r="A97" s="34">
        <v>129</v>
      </c>
      <c r="B97" t="s">
        <v>721</v>
      </c>
    </row>
    <row r="98" spans="1:2">
      <c r="A98" s="34">
        <v>130</v>
      </c>
      <c r="B98" t="s">
        <v>722</v>
      </c>
    </row>
    <row r="99" spans="1:2">
      <c r="A99" s="34">
        <v>131</v>
      </c>
      <c r="B99" t="s">
        <v>723</v>
      </c>
    </row>
    <row r="100" spans="1:2">
      <c r="A100" s="34">
        <v>132</v>
      </c>
      <c r="B100" t="s">
        <v>724</v>
      </c>
    </row>
    <row r="101" spans="1:2">
      <c r="A101" s="34">
        <v>133</v>
      </c>
      <c r="B101" t="s">
        <v>725</v>
      </c>
    </row>
    <row r="102" spans="1:2">
      <c r="A102" s="34">
        <v>134</v>
      </c>
      <c r="B102" t="s">
        <v>726</v>
      </c>
    </row>
    <row r="103" spans="1:2">
      <c r="A103" s="34">
        <v>135</v>
      </c>
      <c r="B103" t="s">
        <v>727</v>
      </c>
    </row>
    <row r="104" spans="1:2">
      <c r="A104" s="34">
        <v>136</v>
      </c>
      <c r="B104" t="s">
        <v>728</v>
      </c>
    </row>
    <row r="105" spans="1:2">
      <c r="A105" s="34">
        <v>137</v>
      </c>
      <c r="B105" t="s">
        <v>729</v>
      </c>
    </row>
    <row r="106" spans="1:2">
      <c r="A106" s="34">
        <v>138</v>
      </c>
      <c r="B106" t="s">
        <v>730</v>
      </c>
    </row>
    <row r="107" spans="1:2">
      <c r="A107" s="34">
        <v>139</v>
      </c>
      <c r="B107" t="s">
        <v>731</v>
      </c>
    </row>
    <row r="108" spans="1:2">
      <c r="A108" s="34">
        <v>140</v>
      </c>
      <c r="B108" t="s">
        <v>732</v>
      </c>
    </row>
    <row r="109" spans="1:2">
      <c r="A109" s="34">
        <v>141</v>
      </c>
      <c r="B109" t="s">
        <v>733</v>
      </c>
    </row>
    <row r="110" spans="1:2">
      <c r="A110" s="34">
        <v>142</v>
      </c>
      <c r="B110" t="s">
        <v>734</v>
      </c>
    </row>
    <row r="111" spans="1:2">
      <c r="A111" s="34">
        <v>143</v>
      </c>
      <c r="B111" t="s">
        <v>735</v>
      </c>
    </row>
    <row r="112" spans="1:2">
      <c r="A112" s="34">
        <v>144</v>
      </c>
      <c r="B112" t="s">
        <v>736</v>
      </c>
    </row>
    <row r="113" spans="1:2">
      <c r="A113" s="34">
        <v>145</v>
      </c>
      <c r="B113" t="s">
        <v>737</v>
      </c>
    </row>
    <row r="114" spans="1:2">
      <c r="A114" s="34">
        <v>146</v>
      </c>
      <c r="B114" t="s">
        <v>738</v>
      </c>
    </row>
    <row r="115" spans="1:2">
      <c r="A115" s="34">
        <v>147</v>
      </c>
      <c r="B115" t="s">
        <v>739</v>
      </c>
    </row>
    <row r="116" spans="1:2">
      <c r="A116" s="34">
        <v>148</v>
      </c>
      <c r="B116" t="s">
        <v>740</v>
      </c>
    </row>
    <row r="117" spans="1:2">
      <c r="A117" s="34">
        <v>149</v>
      </c>
      <c r="B117" t="s">
        <v>741</v>
      </c>
    </row>
    <row r="118" spans="1:2">
      <c r="A118" s="34">
        <v>150</v>
      </c>
      <c r="B118" t="s">
        <v>742</v>
      </c>
    </row>
    <row r="119" spans="1:2">
      <c r="A119" s="34">
        <v>151</v>
      </c>
      <c r="B119" t="s">
        <v>743</v>
      </c>
    </row>
    <row r="120" spans="1:2">
      <c r="A120" s="34">
        <v>152</v>
      </c>
      <c r="B120" t="s">
        <v>744</v>
      </c>
    </row>
    <row r="121" spans="1:2">
      <c r="A121" s="34">
        <v>153</v>
      </c>
      <c r="B121" t="s">
        <v>745</v>
      </c>
    </row>
    <row r="122" spans="1:2">
      <c r="A122" s="34">
        <v>154</v>
      </c>
      <c r="B122" t="s">
        <v>746</v>
      </c>
    </row>
    <row r="123" spans="1:2">
      <c r="A123" s="34">
        <v>155</v>
      </c>
      <c r="B123" t="s">
        <v>747</v>
      </c>
    </row>
    <row r="124" spans="1:2">
      <c r="A124" s="34">
        <v>156</v>
      </c>
      <c r="B124" t="s">
        <v>748</v>
      </c>
    </row>
    <row r="125" spans="1:2">
      <c r="A125" s="34">
        <v>157</v>
      </c>
      <c r="B125" t="s">
        <v>749</v>
      </c>
    </row>
    <row r="126" spans="1:2">
      <c r="A126" s="34">
        <v>158</v>
      </c>
      <c r="B126" t="s">
        <v>750</v>
      </c>
    </row>
    <row r="127" spans="1:2">
      <c r="A127" s="34">
        <v>159</v>
      </c>
      <c r="B127" t="s">
        <v>751</v>
      </c>
    </row>
    <row r="128" spans="1:2">
      <c r="A128" s="34">
        <v>160</v>
      </c>
      <c r="B128" t="s">
        <v>752</v>
      </c>
    </row>
    <row r="129" spans="1:2">
      <c r="A129" s="34">
        <v>161</v>
      </c>
      <c r="B129" t="s">
        <v>753</v>
      </c>
    </row>
    <row r="130" spans="1:2">
      <c r="A130" s="34">
        <v>162</v>
      </c>
      <c r="B130" t="s">
        <v>754</v>
      </c>
    </row>
    <row r="131" spans="1:2">
      <c r="A131" s="34">
        <v>163</v>
      </c>
      <c r="B131" t="s">
        <v>755</v>
      </c>
    </row>
    <row r="132" spans="1:2">
      <c r="A132" s="34">
        <v>164</v>
      </c>
      <c r="B132" t="s">
        <v>756</v>
      </c>
    </row>
    <row r="133" spans="1:2">
      <c r="A133" s="34">
        <v>165</v>
      </c>
      <c r="B133" t="s">
        <v>757</v>
      </c>
    </row>
    <row r="134" spans="1:2">
      <c r="A134" s="34">
        <v>166</v>
      </c>
      <c r="B134" t="s">
        <v>758</v>
      </c>
    </row>
    <row r="135" spans="1:2">
      <c r="A135" s="34">
        <v>167</v>
      </c>
      <c r="B135" t="s">
        <v>759</v>
      </c>
    </row>
    <row r="136" spans="1:2">
      <c r="A136" s="34">
        <v>168</v>
      </c>
      <c r="B136" t="s">
        <v>760</v>
      </c>
    </row>
    <row r="137" spans="1:2">
      <c r="A137" s="34">
        <v>169</v>
      </c>
      <c r="B137" t="s">
        <v>761</v>
      </c>
    </row>
    <row r="138" spans="1:2">
      <c r="A138" s="34">
        <v>170</v>
      </c>
      <c r="B138" t="s">
        <v>762</v>
      </c>
    </row>
    <row r="139" spans="1:2">
      <c r="A139" s="34">
        <v>171</v>
      </c>
      <c r="B139" t="s">
        <v>763</v>
      </c>
    </row>
    <row r="140" spans="1:2">
      <c r="A140" s="34">
        <v>172</v>
      </c>
      <c r="B140" t="s">
        <v>764</v>
      </c>
    </row>
    <row r="141" spans="1:2">
      <c r="A141" s="34">
        <v>173</v>
      </c>
      <c r="B141" t="s">
        <v>765</v>
      </c>
    </row>
    <row r="142" spans="1:2">
      <c r="A142" s="34">
        <v>174</v>
      </c>
      <c r="B142" t="s">
        <v>766</v>
      </c>
    </row>
    <row r="143" spans="1:2">
      <c r="A143" s="34">
        <v>175</v>
      </c>
      <c r="B143" t="s">
        <v>767</v>
      </c>
    </row>
    <row r="144" spans="1:2">
      <c r="A144" s="34">
        <v>176</v>
      </c>
      <c r="B144" t="s">
        <v>768</v>
      </c>
    </row>
    <row r="145" spans="1:2">
      <c r="A145" s="34">
        <v>177</v>
      </c>
      <c r="B145" t="s">
        <v>769</v>
      </c>
    </row>
    <row r="146" spans="1:2">
      <c r="A146" s="34">
        <v>178</v>
      </c>
      <c r="B146" t="s">
        <v>770</v>
      </c>
    </row>
    <row r="147" spans="1:2">
      <c r="A147" s="34">
        <v>179</v>
      </c>
      <c r="B147" t="s">
        <v>771</v>
      </c>
    </row>
    <row r="148" spans="1:2">
      <c r="A148" s="34">
        <v>180</v>
      </c>
      <c r="B148" t="s">
        <v>772</v>
      </c>
    </row>
    <row r="149" spans="1:2">
      <c r="A149" s="34">
        <v>181</v>
      </c>
      <c r="B149" t="s">
        <v>773</v>
      </c>
    </row>
    <row r="150" spans="1:2">
      <c r="A150" s="34">
        <v>182</v>
      </c>
      <c r="B150" t="s">
        <v>774</v>
      </c>
    </row>
    <row r="151" spans="1:2">
      <c r="A151" s="34">
        <v>183</v>
      </c>
      <c r="B151" t="s">
        <v>775</v>
      </c>
    </row>
    <row r="152" spans="1:2">
      <c r="A152" s="34">
        <v>184</v>
      </c>
      <c r="B152" t="s">
        <v>776</v>
      </c>
    </row>
    <row r="153" spans="1:2">
      <c r="A153" s="34">
        <v>185</v>
      </c>
      <c r="B153" t="s">
        <v>777</v>
      </c>
    </row>
    <row r="154" spans="1:2">
      <c r="A154" s="34">
        <v>186</v>
      </c>
      <c r="B154" t="s">
        <v>778</v>
      </c>
    </row>
    <row r="155" spans="1:2">
      <c r="A155" s="34">
        <v>187</v>
      </c>
      <c r="B155" t="s">
        <v>779</v>
      </c>
    </row>
    <row r="156" spans="1:2">
      <c r="A156" s="34">
        <v>188</v>
      </c>
      <c r="B156" t="s">
        <v>780</v>
      </c>
    </row>
    <row r="157" spans="1:2">
      <c r="A157" s="34">
        <v>189</v>
      </c>
      <c r="B157" t="s">
        <v>781</v>
      </c>
    </row>
    <row r="158" spans="1:2">
      <c r="A158" s="34">
        <v>190</v>
      </c>
      <c r="B158" t="s">
        <v>782</v>
      </c>
    </row>
    <row r="159" spans="1:2">
      <c r="A159" s="34">
        <v>191</v>
      </c>
      <c r="B159" t="s">
        <v>783</v>
      </c>
    </row>
    <row r="160" spans="1:2">
      <c r="A160" s="34">
        <v>192</v>
      </c>
      <c r="B160" t="s">
        <v>784</v>
      </c>
    </row>
    <row r="161" spans="1:2">
      <c r="A161" s="34">
        <v>193</v>
      </c>
      <c r="B161" t="s">
        <v>785</v>
      </c>
    </row>
    <row r="162" spans="1:2">
      <c r="A162" s="34">
        <v>194</v>
      </c>
      <c r="B162" t="s">
        <v>786</v>
      </c>
    </row>
    <row r="163" spans="1:2">
      <c r="A163" s="34">
        <v>195</v>
      </c>
      <c r="B163" t="s">
        <v>787</v>
      </c>
    </row>
    <row r="164" spans="1:2">
      <c r="A164" s="34">
        <v>196</v>
      </c>
      <c r="B164" t="s">
        <v>788</v>
      </c>
    </row>
    <row r="165" spans="1:2">
      <c r="A165" s="34">
        <v>197</v>
      </c>
      <c r="B165" t="s">
        <v>789</v>
      </c>
    </row>
    <row r="166" spans="1:2">
      <c r="A166" s="34">
        <v>198</v>
      </c>
      <c r="B166" t="s">
        <v>790</v>
      </c>
    </row>
    <row r="167" spans="1:2">
      <c r="A167" s="34">
        <v>199</v>
      </c>
      <c r="B167" t="s">
        <v>791</v>
      </c>
    </row>
    <row r="168" spans="1:2">
      <c r="A168" s="34">
        <v>200</v>
      </c>
      <c r="B168" t="s">
        <v>792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30D401-9EFB-494E-A772-2216990B16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preset_Names</vt:lpstr>
      <vt:lpstr>preset_AMP</vt:lpstr>
      <vt:lpstr>AMP models AxeFxIII</vt:lpstr>
      <vt:lpstr>Sysex HEX conversion</vt:lpstr>
      <vt:lpstr>Preset_Numb</vt:lpstr>
      <vt:lpstr>Copy and paste code</vt:lpstr>
      <vt:lpstr>EffectId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Mediacenter</dc:creator>
  <cp:lastModifiedBy>Mediacenter</cp:lastModifiedBy>
  <dcterms:created xsi:type="dcterms:W3CDTF">2021-02-15T15:58:25Z</dcterms:created>
  <dcterms:modified xsi:type="dcterms:W3CDTF">2022-04-05T20:39:09Z</dcterms:modified>
</cp:coreProperties>
</file>